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mpt IA" sheetId="1" r:id="rId5"/>
    <sheet state="visible" name="Springer" sheetId="2" r:id="rId6"/>
    <sheet state="visible" name="IEEE" sheetId="3" r:id="rId7"/>
    <sheet state="visible" name="SD" sheetId="4" r:id="rId8"/>
    <sheet state="visible" name="Emerald" sheetId="5" r:id="rId9"/>
    <sheet state="visible" name="Scopus" sheetId="6" r:id="rId10"/>
    <sheet state="visible" name="Análise precisão IA" sheetId="7" r:id="rId11"/>
    <sheet state="visible" name="Qualidade dos estudos" sheetId="8" r:id="rId12"/>
    <sheet state="visible" name="Seleção de Artigos para Análise" sheetId="9" r:id="rId13"/>
    <sheet state="visible" name="Prompt para análise" sheetId="10" r:id="rId14"/>
    <sheet state="visible" name="Extração Respostas e Categoraza" sheetId="11" r:id="rId15"/>
    <sheet state="visible" name="Category Summary" sheetId="12" r:id="rId16"/>
    <sheet state="visible" name="Classification Logic" sheetId="13" r:id="rId17"/>
  </sheets>
  <definedNames>
    <definedName hidden="1" localSheetId="1" name="_xlnm._FilterDatabase">Springer!$A$1:$AE$76</definedName>
    <definedName hidden="1" localSheetId="2" name="_xlnm._FilterDatabase">IEEE!$A$1:$V$78</definedName>
    <definedName hidden="1" localSheetId="3" name="_xlnm._FilterDatabase">SD!$A$1:$Z$61</definedName>
    <definedName hidden="1" localSheetId="4" name="_xlnm._FilterDatabase">Emerald!$A$1:$Q$56</definedName>
    <definedName hidden="1" localSheetId="5" name="_xlnm._FilterDatabase">Scopus!$A$1:$AG$73</definedName>
    <definedName hidden="1" localSheetId="7" name="_xlnm._FilterDatabase">'Qualidade dos estudos'!$A$1:$Z$227</definedName>
    <definedName hidden="1" localSheetId="8" name="_xlnm._FilterDatabase">'Seleção de Artigos para Análise'!$A$1:$Z$1000</definedName>
  </definedNames>
  <calcPr/>
</workbook>
</file>

<file path=xl/sharedStrings.xml><?xml version="1.0" encoding="utf-8"?>
<sst xmlns="http://schemas.openxmlformats.org/spreadsheetml/2006/main" count="8228" uniqueCount="3599">
  <si>
    <t xml:space="preserve">Your task is to evaluate candidate studies based on predefined inclusion and exclusion criteria.
Research Topic:
Technologies associated with Business Process Management in Digital Transformation.
---
Inclusion Criteria (CI):
CI01 — The study explicitly mentions Business Process Management (BPM) or the term "BPM"
CI02 — The study addresses digital transformation, digitalization, or digital innovation
CI03 — The study explicitly mentions or applies technologies (e.g., AI, RPA, process mining, big data, blockchain, IoT, or software systems)
CI04 — The study presents an application, framework, model, method, or empirical analysis
CI05 — The study is written in English
---
Exclusion Criteria (CE):
CE01 — The study is unrelated to BPM, digital transformation, or technologies
CE02 — The study is not related to an organizational or business context
CE03 — The study is a secondary study (e.g., systematic literature review, mapping study, or literature review)
CE04 — The study does not provide enough information in the title or abstract to assess relevance
---
Important Notes:
- Evaluate ONLY based on the title and abstract
- If a criterion is not clearly supported, consider it as NOT met
- Do NOT compensate missing criteria with others
- When in doubt, assign Score = 0
- Base your justification on explicit evidence from the text (quote or paraphrase when possible)
---
Scoring Rules:
- Assign Score = 1 ONLY if ALL inclusion criteria (CI01-CI05) are clearly met AND no exclusion criteria apply
- Assign Score = 0 if ANY inclusion criterion is not met OR if ANY exclusion criterion applies
---
Response Format:
Score: X
Justification:
- CI01: (met / not met) + evidence
- CI02: (met / not met) + evidence
- CI03: (met / not met) + evidence
- CI04: (met / not met) + evidence
- CI05: (met / not met) + evidence
- CE01–CE05: indicate if any apply + justification
</t>
  </si>
  <si>
    <t>ChatGPT</t>
  </si>
  <si>
    <t>ChatGPT Justificativa</t>
  </si>
  <si>
    <t>Claude</t>
  </si>
  <si>
    <t>Claude Justificativa</t>
  </si>
  <si>
    <t>Gemini</t>
  </si>
  <si>
    <t>Humano</t>
  </si>
  <si>
    <t>Author</t>
  </si>
  <si>
    <t>Publication Year</t>
  </si>
  <si>
    <t>Item Type</t>
  </si>
  <si>
    <t>Title</t>
  </si>
  <si>
    <t>Url</t>
  </si>
  <si>
    <t>Pages</t>
  </si>
  <si>
    <t>Abstract Note</t>
  </si>
  <si>
    <t>DOI</t>
  </si>
  <si>
    <t>Publication Title</t>
  </si>
  <si>
    <t>ISBN</t>
  </si>
  <si>
    <t>ISSN</t>
  </si>
  <si>
    <t>Inconforme</t>
  </si>
  <si>
    <t>Score: 0
Justification:
        •        CI01: met — O estudo menciona explicitamente BPM: “realizing BPM value” e relaciona com processos de negócio.
        •        CI02: met — Aborda transformação/digitalização no contexto de “Industry 4.0” e “digitally enabled organizations”.
        •        CI03: met — Menciona tecnologias claramente, como “process mining tools”, além de uso de dados e aplicações como “predictive maintenance”.
        •        CI04: met — Apresenta aplicação/modelo: “qualitative research approach”, “hypothetical case study”, “comparative framework” e “tactical roadmap”.
        •        CI05: met — O texto está em inglês.
        •        CE01: not applicable — O estudo está diretamente relacionado a BPM, transformação digital e tecnologias.
        •        CE02: not applicable — Está inserido em contexto organizacional (eficiência de processos, funções de negócio).
        •        CE03: applies — O estudo declara explicitamente: “By analyzing secondary data”, indicando que se trata de uma análise baseada em dados secundários, caracterizando um estudo secundário (revisão/compilação), o que viola o critério.
        •        CE04: not applicable — O abstract fornece informações suficientes.</t>
  </si>
  <si>
    <t>Conforme</t>
  </si>
  <si>
    <t>**Score: 1**
**Justification:**
- **CI01: Met** — The abstract explicitly mentions "BPM value" and "Business Process Management" is referenced throughout, including in the title ("Business Process Efficiency") and abstract ("realizing BPM value," "relevant to Industry 4.0 and BPM").
- **CI02: Met** — The study is set within the Industry 4.0 context and explicitly refers to "digitally enabled organizations" leveraging "data-driven insights to revamp legacy systems," directly addressing digitalization and digital-era organizational transformation.
- **CI03: Met** — Process mining is the central technology examined. The abstract also references process mining tools, predictive maintenance, asset management systems, and data-driven approaches — all concrete technology applications.
- **CI04: Met** — The study presents multiple deliverables: a "comparative framework for selecting tools," a "tactical roadmap," "selection criteria," and a "hypothetical case study" demonstrating process mining in predictive maintenance and asset management.
- **CI05: Met** — Title and abstract are written in English.
- **CE01–CE04: None apply** — The study is clearly related to BPM, technologies, and an organizational/business context (Industry 4.0). Although it analyzes "secondary data," it does not present itself as a systematic literature review or mapping study — it is described as a qualitative study with a hypothetical case study and framework development, which falls outside the CE03 definition. Sufficient information is available to assess relevance.</t>
  </si>
  <si>
    <t>Bhaskar, Hari Lal; Osama, Mohammad; Reeta</t>
  </si>
  <si>
    <t>journalArticle</t>
  </si>
  <si>
    <t>Maximizing Business Process Efficiency in Industry 4.0: A Techno-Functional Exploration of Process Mining Tools</t>
  </si>
  <si>
    <r>
      <rPr>
        <rFont val="Helvetica Neue"/>
        <color rgb="FF1155CC"/>
        <u/>
      </rPr>
      <t>https://link.springer.com/10.1007/s43069-025-00428-x</t>
    </r>
  </si>
  <si>
    <t>Abstract
This paper examines business process optimization through process mining in the context of Industry 4.0 using a qualitative research approach. It underscores how process mining facilitates microeconomic principles and efficiency and discusses a techno-functional approach to realizing BPM value, which can propel organizational change management. By analyzing secondary data, the study identifies key process mining tools relevant to Industry 4.0 and BPM, establishing selection criteria and exploring real-world applications. A hypothetical case study demonstrates the role of process mining in enhancing predictive maintenance and asset management by analyzing established processes. Additionally, the paper provides a tactical roadmap and a comparative framework for selecting tools aimed at optimizing or re-engineering business processes applicable across various business functions. It highlights how digitally enabled organizations can leverage data-driven insights to revamp legacy systems and achieve operational excellence.</t>
  </si>
  <si>
    <t>10.1007/s43069-025-00428-x</t>
  </si>
  <si>
    <t>Score: 1
Justification:
        •        CI01: met — Menciona explicitamente BPM: “Business Process Management (BPM) environment”.
        •        CI02: met — Relaciona-se à digitalização ao tratar da adoção de process mining para tornar o ambiente mais “agile and flexible”.
        •        CI03: met — Tecnologia explicitamente mencionada: “process mining”.
        •        CI04: met — Apresenta modelo e evidência empírica: “Process Mining Maturity Model (P3M)” e “analysis of data gathered in eleven qualitative interviews”.
        •        CI05: met — Texto em inglês.
        •        CE01: not applicable — Relacionado a BPM, tecnologia e contexto organizacional.
        •        CE02: not applicable — Contexto organizacional explícito: “organizations face challenges…”.
        •        CE03: not applicable — Não é estudo secundário; há modelo e coleta de dados.
        •        CE04: not applicable — Informações suficientes no abstract.</t>
  </si>
  <si>
    <t>**Score: 0**
**Justification:**
- **CI01: Met** — The abstract explicitly mentions "Business Process Management (BPM)" multiple times: "fostering a more agile and flexible Business Process Management (BPM) environment" and "establish a more responsive and dynamic BPM environment."
- **CI02: Not met** — The abstract does not explicitly mention "digital transformation," "digitalization," or "digital innovation." The study focuses on process mining maturity, readiness, and the intention-action gap within a BPM context, but no explicit connection to digital transformation is made. Per the evaluation rules, this criterion cannot be considered met by inference alone.
- **CI03: Met** — Process mining is explicitly identified as the central technology throughout the abstract, including references to process mining tools, readiness dimensions, and implementation challenges.
- **CI04: Met** — The study presents a Process Mining Maturity Model (P3M) with five factors and 23 elements, complemented by empirical data from 11 qualitative interviews yielding 30 actionable recommendations.
- **CI05: Met** — Title and abstract are written in English.
- **CE01–CE04: None apply** — The study is clearly related to BPM and technology in an organizational context, is a primary study (qualitative interviews), and provides sufficient information for assessment.
**Decisive factor:** CI02 is not met. The absence of any explicit reference to digital transformation, digitalization, or digital innovation is sufficient to assign **Score = 0**, regardless of the strength of the remaining criteria.</t>
  </si>
  <si>
    <t>Brock, Jonathan; Brennig, Katharina; Löhr, Bernd; Bartelheimer, Christian; Von Enzberg, Sebastian; Dumitrescu, Roman</t>
  </si>
  <si>
    <t>Improving Process Mining Maturity – From Intentions to Actions</t>
  </si>
  <si>
    <r>
      <rPr>
        <rFont val="Helvetica Neue"/>
        <color rgb="FF1155CC"/>
        <u/>
      </rPr>
      <t>https://link.springer.com/10.1007/s12599-024-00882-7</t>
    </r>
  </si>
  <si>
    <t>585-605</t>
  </si>
  <si>
    <t>Abstract  Process mining is advancing as a powerful tool for revealing valuable insights about process dynamics. Nevertheless, the imperative to employ process mining to enhance process transparency is a prevailing concern for organizations. Despite the widespread desire to integrate process mining as a pivotal catalyst for fostering a more agile and flexible Business Process Management (BPM) environment, many organizations face challenges in achieving widespread implementation and adoption due to deficiencies in various dimensions of process mining readiness. The current Information Systems (IS) knowledge base lacks a comprehensive framework to aid organizations in augmenting their process mining readiness and bridging this intention-action gap. The paper presents a Process Mining Maturity Model (P3M), refined through multiple iterations, which outlines five factors and 23 elements that organizations must address to increase their process mining readiness. The maturity model advances the understanding of how to close the intention-action gap of process mining initiatives in multiple dimensions. Furthermore, insights from a comprehensive analysis of data gathered in eleven qualitative interviews are drawn, elucidating 30 possible actions that organizations can implement to establish a more responsive and dynamic BPM environment by means of process mining.</t>
  </si>
  <si>
    <t>10.1007/s12599-024-00882-7</t>
  </si>
  <si>
    <t>Score: 1
Justification:
	•	CI01: met — Menciona explicitamente BPM: “Explorative BPM” e “BPM research suggests…”.
	•	CI02: met — Aborda transformação/digitalização: “modern digital age”, “digital technologies”, “digital process innovation”.
	•	CI03: met — Tecnologia explicitamente mencionada: “Machine Learning (ML)” e “lightweight IT”.
	•	CI04: met — Apresenta estudo empírico: “analyzing four action cases from a large Danish manufacturer”.
	•	CI05: met — Texto em inglês.
	•	CE01: not applicable — Relacionado a BPM, tecnologias e transformação digital.
	•	CE02: not applicable — Contexto organizacional: “companies”, “manufacturer”.
	•	CE03: not applicable — Não é estudo secundário; apresenta casos empíricos.
	•	CE04: not applicable — Informações suficientes no abstract.</t>
  </si>
  <si>
    <t>**Score: 1**
**Justification:**
- **CI01: Met** — "BPM" is explicitly present in the title ("Explorative BPM") and referenced multiple times in the abstract: "BPM research," "explorative BPM," and "digital process innovation" in a BPM context.
- **CI02: Met** — The abstract explicitly addresses digitalization and digital innovation: "the modern digital age," "process innovation affordances of digital technologies," and "digital process innovation" are all direct references.
- **CI03: Met** — Machine Learning (ML) is the central technology examined. The abstract also references Lightweight IT and IT infrastructure as enabling technologies for embedding ML into business processes.
- **CI04: Met** — The study presents an empirical analysis based on "four action cases from a large Danish manufacturer," contributing findings on enabling factors (loose coupling of IT infrastructure, use of building blocks) for lightweight ML implementation.
- **CI05: Met** — Title and abstract are written in English.
- **CE01–CE04: None apply** — The study is clearly related to BPM, digital innovation, and technology in an organizational/business context (manufacturing company). It is a primary empirical study using action cases, not a secondary study. Sufficient information is provided to assess relevance.
**All inclusion criteria are met and no exclusion criteria apply → Score = 1.**</t>
  </si>
  <si>
    <t>Bojer, Casper Solheim; Bygstad, Bendik; Øvrelid, Egil</t>
  </si>
  <si>
    <t>Speeding up Explorative BPM with Lightweight IT: the Case of Machine Learning</t>
  </si>
  <si>
    <r>
      <rPr>
        <rFont val="Helvetica Neue"/>
        <color rgb="FF1155CC"/>
        <u/>
      </rPr>
      <t>https://link.springer.com/10.1007/s10796-024-10474-1</t>
    </r>
  </si>
  <si>
    <t>823-840</t>
  </si>
  <si>
    <t>Abstract In the modern digital age, companies need to be able to quickly explore the process innovation affordances of digital technologies. This includes exploration of Machine Learning (ML), which when embedded in processes can augment or automate decisions. BPM research suggests using lightweight IT (Bygstad,  Journal of Information Technology, 32  (2), 180–193 2017) for digital process innovation, but existing research provides conflicting views on whether ML is lightweight or heavyweight. We therefore address the research question  “How can Lightweight IT contribute to explorative BPM for embedded ML?”  by analyzing four action cases from a large Danish manufacturer. We contribute to explorative BPM by showing that lightweight ML considerably speeds up opportunity assessment and technical implementation in the exploration process thus reducing process innovation latency. We furthermore show that succesful lightweight ML requires the presence of two enabling factors: 1) loose coupling of the IT infrastructure, and 2) extensive use of building blocks to reduce custom development.</t>
  </si>
  <si>
    <t>10.1007/s10796-024-10474-1</t>
  </si>
  <si>
    <t>Score: 0
Justification:
	•	CI01: not met — Não há menção explícita a BPM ou “Business Process Management”.
	•	CI02: not met — Não menciona explicitamente transformação digital, digitalização ou inovação digital (fala de automação, mas não nesses termos).
	•	CI03: met — Tecnologia explicitamente mencionada: “Robotic Process Automation (RPA)”.
	•	CI04: met — Apresenta estudo empírico: “empirical study of service companies”, com “surveys and statistical analysis”.
	•	CI05: met — Texto em inglês.
	•	CE01: applies — Ausência de BPM e transformação digital explícitos torna o estudo fora do escopo definido.
	•	CE02: not applicable — Contexto organizacional: “service enterprises”.
	•	CE03: not applicable — Não é estudo secundário (há componente empírico).
	•	CE04: not applicable — Informações suficientes no abstract.</t>
  </si>
  <si>
    <t>**Score: 0**
**Justification:**
- **CI01: Not met** — The abstract refers to "business processes" in a general sense ("automate repetitive business processes traditionally performed by humans") but never explicitly uses the term "Business Process Management" or the acronym "BPM." A reference to business processes alone is insufficient to satisfy this criterion.
- **CI02: Not met** — The abstract does not explicitly mention "digital transformation," "digitalization," or "digital innovation." The study focuses on RPA implementation strategy and organizational ambidexterity, without framing it within a digital transformation context.
- **CI03: Met** — Robotic Process Automation (RPA) is the central technology examined, explicitly described as leveraging "software bots to automate repetitive business processes."
- **CI04: Met** — The study employs an empirical approach combining literature review, opinion surveys, and statistical analysis to identify key factors supporting RPA implementation.
- **CI05: Met** — Title and abstract are written in English.
- **CE01–CE04: None clearly apply** — The study is related to automation technology in a business/organizational context (service enterprises), is primarily an empirical study (not a pure secondary study), and provides sufficient information for assessment.
**Decisive factors:** CI01 and CI02 are not met. The absence of explicit references to BPM/Business Process Management and to digital transformation/digitalization is sufficient to assign **Score = 0**.</t>
  </si>
  <si>
    <t>Sliż, Piotr; Siciński, Jędrzej; Jackowska, Beata</t>
  </si>
  <si>
    <t>The impact of ambidexterity on robotic process automation implementation strategy in service enterprises</t>
  </si>
  <si>
    <r>
      <rPr>
        <rFont val="Helvetica Neue"/>
        <color rgb="FF1155CC"/>
        <u/>
      </rPr>
      <t>https://fbj.springeropen.com/articles/10.1186/s43093-023-00296-z</t>
    </r>
  </si>
  <si>
    <t>Abstract  Robotic Process Automation (RPA) has gained increasing significance in recent years. RPA leverages software bots to automate repetitive business processes traditionally performed by humans, making it one of the easiest, least invasive, and fastest automation approaches. Publications on the topic are scarce, however, and concerns regarding job loss and employee acceptance of new operational processes and technologies remain significant challenges. The additional motivation behind this study is to address the lack of research on the implementation strategy of RPA in the context of ambidexterity, i.e., optimizing enterprise capability in balancing between exploration and exploitation. The paper adopts a managerial perspective and aims to identify the key factors supporting the implementation of RPA in the context of ambidexterity, using an empirical study of service companies as an example. The research methodology employed includes literature review, opinion surveys, and statistical analysis. The paper highlights the stimulating role of the ambidexterity concept in RPA implementation projects and strategies, with a hybrid approach to dynamic balancing of exploitation and exploration. The findings of this paper will be of use for researchers and practitioners in developing effective RPA implementation strategies that balance the needs for exploitation and exploration while factoring in the concerns raised by employees.</t>
  </si>
  <si>
    <t>10.1186/s43093-023-00296-z</t>
  </si>
  <si>
    <t>Score: 0
Justification:
	•	CI01: not met — Não há menção explícita a BPM ou “Business Process Management”.
	•	CI02: not met — Não menciona explicitamente transformação digital, digitalização ou inovação digital.
	•	CI03: met — Tecnologia explicitamente mencionada: “Process Mining techniques”, “Alpha Miner, Heuristic Miner, Genetic Miner”.
	•	CI04: met — Apresenta aplicação empírica: “applying Process Mining techniques to real-world and simulated environments”, “case study involving Samsung Electro-Mechanics”.
	•	CI05: met — Texto em inglês.
	•	CE01: applies — Apesar de tratar de processos e tecnologia, não há menção explícita a BPM nem transformação digital, ficando fora do escopo definido.
	•	CE02: not applicable — Contexto organizacional: manufatura e indústria.
	•	CE03: not applicable — Não é estudo secundário; há aplicação empírica.
	•	CE04: not applicable — Informações suficientes no abstract.</t>
  </si>
  <si>
    <t>**Score: 0**
**Justification:**
- **CI01: Not met** — Neither the title nor the abstract explicitly mentions "Business Process Management" or the acronym "BPM." While the title refers to "business processes" and the study applies process mining, this falls short of the explicit mention required by CI01.
- **CI02: Not met** — The abstract does not explicitly mention "digital transformation," "digitalization," or "digital innovation." The study focuses on process transparency, operational efficiency, and data-driven decision-making within manufacturing environments, without framing the work in a digital transformation context.
- **CI03: Met** — Multiple technologies are explicitly named and applied: Process Mining methodologies (Alpha Miner, Heuristic Miner, Genetic Miner), Manufacturing Execution Systems (MES), and a GoLang-based event log generator and simulation framework.
- **CI04: Met** — The study presents both a real-world case study (Samsung Electro-Mechanics) and a custom simulation framework, offering empirical analysis and a validated simulation approach.
- **CI05: Met** — Title and abstract are written in English.
- **CE01–CE04: None clearly apply** — The study is related to process mining technology in an industrial/organizational context, is a primary study, and provides sufficient information for assessment.
**Decisive factors:** CI01 and CI02 are not met. The absence of explicit references to "BPM"/"Business Process Management" and "digital transformation"/"digitalization" is sufficient to assign **Score = 0**.</t>
  </si>
  <si>
    <t>Faisal, Habibullah; Wahid, Sk Ayub Al; Chowdhury, Sufi Sudruddin; Rana, Md Sohel; Farhana, Tisha</t>
  </si>
  <si>
    <t>Unveiling the dynamics of business processes: the role of process mining in enhancing efficiency, ensuring compliance, and driving continuous improvement</t>
  </si>
  <si>
    <r>
      <rPr>
        <rFont val="Helvetica Neue"/>
        <color rgb="FF1155CC"/>
        <u/>
      </rPr>
      <t>https://link.springer.com/10.1007/s41870-025-02593-y</t>
    </r>
  </si>
  <si>
    <t>Abstract
Modern Manufacturing Execution Systems (MES) produce vast amounts of event data, yet translating this data into meaningful, actionable insights remains a significant challenge. This study addresses that gap by applying Process Mining techniques to both real-world and simulated manufacturing environments, aiming to improve process transparency, operational efficiency, and data-driven decision-making. Using methodologies such as Alpha Miner, Heuristic Miner, and Genetic Miner, the research uncovers inefficiencies, ensures process compliance, and enhances performance across various industrial domains. A key case study involving Samsung Electro-Mechanics revealed underlying process inefficiencies and machine workload imbalances, despite initially high model fitness scores. To further validate the findings, a custom simulation built using GoLang was employed, successfully confirming the accuracy of the Alpha Miner approach. This dual application to both actual and simulated data underscores the potential of Process Mining in optimizing manufacturing workflows through precise event log analysis. The study’s novelty lies in its integration of a bespoke GoLang-based event log generator and its demonstration of Process Mining’s adaptability across multiple domains. Theoretical contributions include the evaluation of process model accuracy and the establishment of a validated simulation framework. From a practical perspective, the study supports enhanced manufacturing efficiency, informed decision-making, and the development of risk-free training environments. By transforming raw MES data into structured, interpretable insights, this research offers valuable implications for both industry practitioners and academic researchers.</t>
  </si>
  <si>
    <t>10.1007/s41870-025-02593-y</t>
  </si>
  <si>
    <t>**Score: 0**
**Justification:**
- **CI01: Met** — The title explicitly mentions "Business Process Management" and "BPM" is implied by the acronym context, and "AI" is referenced alongside it.
- **CI02: Not assessable** — No abstract is available to confirm whether the study addresses digital transformation, digitalization, or digital innovation beyond what the title suggests.
- **CI03: Not assessable** — The title mentions "AI," which suggests technology involvement, but without an abstract it is impossible to confirm whether technologies are explicitly applied or analyzed.
- **CI04: Not assessable** — No abstract is available to determine whether the study presents an application, framework, model, method, or empirical analysis.
- **CI05: Not assessable** — The title is in English, but the absence of an abstract prevents full confirmation.
- **CE04: Applies** — The study does not provide enough information in the title or abstract to assess relevance. The abstract is explicitly absent, making it impossible to evaluate most criteria with confidence.
**Decisive factor:** CE04 directly applies — the absence of an abstract means there is insufficient information to assess the majority of inclusion criteria. Per the evaluation rules, when in doubt, **Score = 0**.</t>
  </si>
  <si>
    <t>Score: 0
Justification:
	•	CI01: met — O título menciona explicitamente “Business Process Management”.
	•	CI02: not met — Não há evidência explícita de transformação digital, digitalização ou inovação digital (não há abstract para confirmar).
	•	CI03: not met — Embora mencione “AI” no título, não há contexto suficiente para confirmar aplicação ou uso de tecnologia.
	•	CI04: not met — Sem abstract, não é possível identificar modelo, método, framework ou análise empírica.
	•	CI05: met — Título em inglês.
	•	CE01: not applicable — Tema aparenta ser relacionado, mas não pode ser confirmado.
	•	CE02: not applicable — Não há informação suficiente.
	•	CE03: not applicable — Não há informação suficiente para classificar como estudo secundário.
	•	CE04: applies — “without abstract” → não há informação suficiente para avaliar relevância.</t>
  </si>
  <si>
    <t>Rosemann, Michael; Brocke, Jan Vom; Van Looy, Amy; Santoro, Flavia</t>
  </si>
  <si>
    <t>Business process management in the age of AI – three essential drifts</t>
  </si>
  <si>
    <r>
      <rPr>
        <rFont val="Helvetica Neue"/>
        <color rgb="FF1155CC"/>
        <u/>
      </rPr>
      <t>https://link.springer.com/10.1007/s10257-024-00689-9</t>
    </r>
  </si>
  <si>
    <t>415-429</t>
  </si>
  <si>
    <t>[without abstract]</t>
  </si>
  <si>
    <t>10.1007/s10257-024-00689-9</t>
  </si>
  <si>
    <t>**Score: 0**
**Justification:**
- **CI01: Met** — "Business process management" and "BPM" are explicitly and repeatedly mentioned throughout the abstract: "Business process management has traditionally focused on...," "BPM Goal Hexagon," and "business process management project goals."
- **CI02: Not met** — The abstract does not explicitly mention "digital transformation," "digitalization," or "digital innovation." The study addresses emerging factors such as ESG requirements, employee values, and conscious business models, but none of these constitute an explicit reference to digital transformation or digitalization as defined by CI02.
- **CI03: Met** — Robotic Process Automation (RPA) is explicitly mentioned as a source of insights incorporated into the framework development ("incorporating insights from a secondary study on robotic process automation").
- **CI04: Met** — The study proposes a concrete conceptual framework — the "BPM Goal Hexagon" — as an extension of the Devil's Quadrangle, grounded in analysis of published business process redesign case studies.
- **CI05: Met** — Title and abstract are written in English.
- **CE01–CE04: None clearly apply** — The study is related to BPM in an organizational/business context, proposes a novel framework rather than being a pure literature review, and provides sufficient information for assessment.
**Decisive factor:** CI02 is not met. The absence of any explicit reference to digital transformation, digitalization, or digital innovation is sufficient to assign **Score = 0**.</t>
  </si>
  <si>
    <t>Score: 0
Justification:
	•	CI01: met — Menciona explicitamente BPM: “Business process management”, “BPM Goal Hexagon”.
	•	CI02: not met — Não há menção explícita a transformação digital, digitalização ou inovação digital.
	•	CI03: not met — Não há menção clara a tecnologias (RPA aparece apenas como referência indireta em estudo secundário).
	•	CI04: not met — Baseado em “analysis of case studies” e “secondary study”, não apresenta aplicação, método ou análise empírica própria clara.
	•	CI05: met — Texto em inglês.
	•	CE01: applies — Falta de transformação digital e tecnologias explícitas coloca o estudo fora do escopo.
	•	CE02: not applicable — Contexto organizacional presente.
	•	CE03: applies — Menciona explicitamente “secondary study”, caracterizando uso de estudo secundário.
	•	CE04: not applicable — Informações suficientes no abstract.</t>
  </si>
  <si>
    <t>François, Peter A.; Borghoff, Vincent; Mayr, Alexander; Plattfaut, Ralf; Janiesch, Christian</t>
  </si>
  <si>
    <t>The BPM Goal Hexagon: an update to the Devil’s Quadrangle</t>
  </si>
  <si>
    <r>
      <rPr>
        <rFont val="Helvetica Neue"/>
        <color rgb="FF1155CC"/>
        <u/>
      </rPr>
      <t>https://link.springer.com/10.1007/s11301-026-00586-0</t>
    </r>
  </si>
  <si>
    <t>Abstract
Business process management has traditionally focused on time, cost, quality, and flexibility as goal dimensions, known as the Devil’s Quadrangle. In light of novel emerging factors such as employee values, environmental, social, and governance requirements, as well as conscious business models, this paper investigates whether the traditional four goal dimensions of the Devil’s Quadrangle remain suitable today. Based on an extensive analysis of recent business process redesign projects published in case studies, we offer a timely assessment of the adequacy of the Devil’s Quadrangle in current times and suggest extensions to the concept, incorporating insights from a secondary study on robotic process automation. More specifically, we extend the Devil’s Quadrangle to the BPM Goal Hexagon by retaining time, quality, and flexibility, but refocusing cost to a more balanced economics dimension and adding a people dimension as well as an environment dimension. The BPM Goal Hexagon offers scholars and practitioners a timely tool to revisit the real-world relevance and sufficiency of their business process management project goals, methods, and tools.</t>
  </si>
  <si>
    <t>10.1007/s11301-026-00586-0</t>
  </si>
  <si>
    <t>Score: 1
Justification:
	•	CI01: met — Menciona explicitamente BPM: “Past generations of BPM…”, “data-driven BPM”.
	•	CI02: met — Aborda transformação/digitalização: “technological facets of data-driven BPM”, “technology-related changes across all business process initiatives”.
	•	CI03: met — Menciona tecnologias de forma clara: “cutting-edge technologies”, “data-driven BPM”, “IT meta-artifact”.
	•	CI04: met — Apresenta modelo e método: “propose the operationalized BP-x management model”, “Design Science Research methodology”, “threefold summative evaluation”.
	•	CI05: met — Texto em inglês.
	•	CE01: not applicable — Relacionado a BPM, transformação digital e tecnologias.
	•	CE02: not applicable — Contexto organizacional: “organizations”, “managers”, “business outcomes”.
	•	CE03: not applicable — Não é estudo secundário; apresenta modelo e avaliação.
	•	CE04: not applicable — Informações suficientes no abstract.</t>
  </si>
  <si>
    <t>**Score: 0**
**Justification:**
- **CI01: Met** — "BPM" is explicitly and repeatedly referenced throughout the abstract: "Past generations of BPM," "data-driven BPM," "traditional BPM applications," "BPM knowledge," and "managing related cutting-edge technologies and BPM."
- **CI02: Not met** — The abstract does not explicitly mention "digital transformation," "digitalization," or "digital innovation." While it references "technology-related changes," "cutting-edge technologies," and "data-driven BPM," none of these constitute an explicit reference to digital transformation or digitalization as required by CI02. Per the evaluation rules, implicit associations are insufficient.
- **CI03: Met** — The abstract explicitly references "cutting-edge technologies," "data-driven BPM," and positions the proposed model as an "IT meta-artifact," indicating clear and explicit engagement with technology in the context of BPM.
- **CI04: Met** — The study proposes the "operationalized BP-x management model" developed through a "two-cycled Design Science Research methodology" with a "threefold summative evaluation," constituting a clear model/framework contribution.
- **CI05: Met** — Title and abstract are written in English.
- **CE01–CE04: None apply** — The study is clearly related to BPM and technology in an organizational context, is a primary study using Design Science Research, and provides sufficient information for assessment.
**Decisive factor:** CI02 is not met. The absence of any explicit reference to digital transformation, digitalization, or digital innovation is sufficient to assign **Score = 0**.</t>
  </si>
  <si>
    <t>Schaschek, Myriam; Gwinner, Fabian; Neis, Nicolas; Tomitza, Christoph; Zeiß, Christian; Winkelmann, Axel</t>
  </si>
  <si>
    <t>Managing next generation BP-x initiatives</t>
  </si>
  <si>
    <r>
      <rPr>
        <rFont val="Helvetica Neue"/>
        <color rgb="FF1155CC"/>
        <u/>
      </rPr>
      <t>https://link.springer.com/10.1007/s10257-024-00681-3</t>
    </r>
  </si>
  <si>
    <t>457-500</t>
  </si>
  <si>
    <t>Abstract  Past generations of BPM involved the efficient and effective management of business processes. Yet, we currently face a turning point. The technological facets of data-driven BPM add complexity to traditional BPM applications. As a result, organizations face intended and unintended technology-related changes across all business process initiatives. Using the term BP-x, we summarize the recent changes in BPM knowledge that has hitherto been fragmented across academic literature. To address the challenges of BP-x initiatives, we envision a holistic model that focuses on managing related cutting-edge technologies and BPM. Thus, we propose the operationalized BP-x management model as a valuable IT meta-artifact. We develop the model using a two-cycled Design Science Research methodology and conduct a threefold summative evaluation. The results of our study indicate that creating awareness of potentials and opportunities accelerates the process toward action and fosters new business outcomes in terms of performance and innovation. By strategically aligning BP-x endeavors, organizations promote visibility, shared understanding, and culture among stakeholders. Our model guides managers throughout the BP-x adoption journey in conjunction with organizational, managerial, and technological prerequisites.</t>
  </si>
  <si>
    <t>10.1007/s10257-024-00681-3</t>
  </si>
  <si>
    <t>Score: 0
Justification:
	•	CI01: met — Menciona explicitamente BPM: “challenges for Business Process Management”.
	•	CI02: met — Aborda transformação digital: “Industry 4.0”.
	•	CI03: met — Tecnologia explicitamente mencionada: “process mining (PM)”.
	•	CI04: not met — Trata-se de revisão: “This systematic literature review studies…”, não apresenta aplicação ou análise empírica própria.
	•	CI05: met — Texto em inglês.
	•	CE01: not applicable — Relacionado a BPM, transformação digital e tecnologia.
	•	CE02: not applicable — Contexto organizacional (manufatura, empresas).
	•	CE03: applies — Explicitamente um “systematic literature review”.
	•	CE04: not applicable — Informações suficientes no abstract.</t>
  </si>
  <si>
    <t>**Score: 0**
**Justification:**
- **CI01: Met** — "Business Process Management" is explicitly mentioned in the abstract: "create serious challenges for Business Process Management."
- **CI02: Not met** — The abstract does not explicitly mention "digital transformation," "digitalization," or "digital innovation." Although Industry 4.0 is broadly associated with digital transformation, the specific terms required by CI02 are absent. Per the evaluation rules, implicit associations are insufficient.
- **CI03: Met** — Process Mining is the central technology examined, and Industry 4.0 technologies are explicitly referenced. PM methods such as discovery, conformance checking, enhancement, performance analysis, and predictive capabilities are discussed.
- **CI04: Not met (CE03 applies)** — The study is explicitly identified as a secondary study (see CE03 below) and does not present original empirical analysis, application, or framework development.
- **CI05: Met** — Title and abstract are written in English.
- **CE03: Applies** — The title explicitly states "A systematic literature review" and the abstract confirms: "This systematic literature review studies the applicability of PM in Industry 4.0." This directly meets the CE03 exclusion criterion, which excludes systematic literature reviews, mapping studies, and literature reviews.
**Decisive factors:** CE03 explicitly applies (systematic literature review), and CI02 is not met. Either factor alone is sufficient to assign **Score = 0**.</t>
  </si>
  <si>
    <t>Akhramovich, Katsiaryna; Serral, Estefanía; Cetina, Carlos</t>
  </si>
  <si>
    <t>A systematic literature review on the application of process mining to Industry 4.0</t>
  </si>
  <si>
    <r>
      <rPr>
        <rFont val="Helvetica Neue"/>
        <color rgb="FF1155CC"/>
        <u/>
      </rPr>
      <t>https://link.springer.com/10.1007/s10115-023-02042-x</t>
    </r>
  </si>
  <si>
    <t>2699-2746</t>
  </si>
  <si>
    <t>Abstract
The transition to Industry 4.0 means a new era in manufacturing with a new level of production automation, human-to-machine cooperation and product customization. It provides many benefits and opportunities to both enterprises and consumers and allows for principally new level of cooperation. At the same time, the complexity of business processes, large volume and the complex structure of data generated and processed by different Industry 4.0 technologies create serious challenges for Business Process Management. Process mining (PM) can tackle these challenges. PM is a relatively young discipline that is positioned between process-centric and data-centric approaches and focuses on discovering, conformance checking and enhancement of end-to-end business processes. Moreover, new types of PM deal with performance analysis, comparative analysis of several processes, making predictions and triggering improvement actions. This systematic literature review studies the applicability of PM in Industry 4.0 and the benefits that PM can provide to each of the four aspects of Industry 4.0: smart factories, smart products, new business models and new customer services. Approaches of PM proposed in the selected studies are analysed and classified according to two dimensions of the study: PM and Industry 4.0. The research gaps identified while performing the systematic literature review show possible directions for further research in the area.</t>
  </si>
  <si>
    <t>10.1007/s10115-023-02042-x</t>
  </si>
  <si>
    <t>Score: 0
Justification:
	•	CI01: not met — Não há menção explícita a BPM ou “Business Process Management”.
	•	CI02: met — Aborda digitalização: “digitalization of work observation”, “lack of a process digital footprint”.
	•	CI03: met — Tecnologias explicitamente mencionadas: “Process Mining”, “Machine Learning”, “MES systems”.
	•	CI04: met — Apresenta método e aplicação: “designed, implemented, and verified… WPM method”.
	•	CI05: met — Texto em inglês.
	•	CE01: applies — Apesar de tratar de processos e tecnologias, não menciona explicitamente BPM, ficando fora do escopo.
	•	CE02: not applicable — Contexto organizacional (produção, processos industriais).
	•	CE03: not applicable — Não é estudo secundário.
	•	CE04: not applicable — Informações suficientes no abstract.</t>
  </si>
  <si>
    <t>**Score: 0**
**Justification:**
- **CI01: Not met** — The abstract refers to "business processes" in a general sense ("the actual flow of business processes"), but never explicitly uses the term "Business Process Management" or the acronym "BPM." A reference to business processes alone does not satisfy this criterion.
- **CI02: Met** — The title explicitly includes "digitalization" ("digitalization of work observation and analysis"), and the abstract references "process digital footprint" and the digitalization of production workflows, directly addressing digitalization.
- **CI03: Met** — Multiple technologies are explicitly mentioned and applied: Process Mining, Machine Learning, MES (Manufacturing Execution Systems), and AI are all referenced as core components of the proposed WPM method.
- **CI04: Met** — The study presents a novel, designed, implemented, and empirically verified method — the Workplace Performance Measurement (WPM) method — with demonstrated results in production process efficiency and data quality.
- **CI05: Met** — Title and abstract are written in English.
- **CE01–CE04: None apply** — The study is related to technology and process improvement in an organizational/production context, is a primary study, and provides sufficient information for assessment.
**Decisive factor:** CI01 is not met. The absence of any explicit reference to "Business Process Management" or "BPM" is sufficient to assign **Score = 0**.</t>
  </si>
  <si>
    <t>Nesterak, Janusz; Szelągowski, Marek; Radziszewski, Przemysław</t>
  </si>
  <si>
    <t>Workplace performance measurement: digitalization of work observation and analysis</t>
  </si>
  <si>
    <r>
      <rPr>
        <rFont val="Helvetica Neue"/>
        <color rgb="FF1155CC"/>
        <u/>
      </rPr>
      <t>https://link.springer.com/10.1007/s10845-024-02419-x</t>
    </r>
  </si>
  <si>
    <t>3569-3585</t>
  </si>
  <si>
    <t>Abstract  Process improvement initiatives require access to frequently updated and good quality data. This is an extremely difficult task in the area of production processes, where the lack of a process digital footprint is a very big challenge. To solve this problem, the authors of this article designed, implemented, and verified the results of a new work measurement method. The Workplace Performance Measurement (WPM) method is focused not only on the measurement of task duration and frequency, but also on searching for potential anomalies and their reasons. The WPM method collects a wide range of workspace parameters, including workers' activities, workers' physiological parameters, and tool usage. An application of Process Mining and Machine Learning solutions has allowed us to not only significantly increase the quality of analysis (compared to analog work sampling methods), but also to implement an automated controlling solution. The genuine value of the WPM is attested to by the achieved results, like increased efficiency of production processes, better visibility of process flow, or delivery of input data to MES solutions. MES systems require good quality, frequently updated information, and this is the role played by the WPM, which can provide this type of data for Master Data as well as for Production Orders. The presented authorial WPM method reduces the gap in available scholarship and practical solutions, enabling the collection of reliable data on the actual flow of business processes without their disruption, relevant for i.a. advanced systems using AI.</t>
  </si>
  <si>
    <t>10.1007/s10845-024-02419-x</t>
  </si>
  <si>
    <t>Score: 0
Justification:
	•	CI01: met — Menciona explicitamente BPM: “elements of the BPM concept”, “BPM Lifecycle”.
	•	CI02: met — Aborda transformação digital: “Industry 4.0/5.0”.
	•	CI03: not met — Não há menção explícita a tecnologias específicas (AI, RPA, process mining, etc.).
	•	CI04: met — Apresenta pesquisa empírica: “survey of 466 respondents with an analysis of 12,573 processes”.
	•	CI05: met — Texto em inglês.
	•	CE01: applies — Ausência de tecnologias explícitas (CI03) coloca o estudo fora do escopo.
	•	CE02: not applicable — Contexto organizacional: “organisations”, “enterprises”.
	•	CE03: not applicable — Embora use revisão sistemática como parte, também há estudo empírico relevante.
	•	CE04: not applicable — Informações suficientes no abstract.</t>
  </si>
  <si>
    <t>**Score: 0**
**Justification:**
- **CI01: Met** — "BPM" is explicitly and repeatedly referenced in the abstract: "the essential elements of the BPM concept, such as BPM Lifecycle, BPM implementation method, or BPM maturity assessment," and "advancing both theoretical knowledge and practical applications in the field of BPM."
- **CI02: Not met** — The abstract does not explicitly mention "digital transformation," "digitalization," or "digital innovation." The study is framed within "Industry 4.0/5.0," which is broadly associated with digital transformation, but per the evaluation rules, implicit associations are insufficient to satisfy this criterion.
- **CI03: Not met** — The abstract does not explicitly mention or apply any specific technology (e.g., AI, RPA, process mining, big data, blockchain, IoT, or software systems). The study focuses on the nature and classification of business processes based on their dynamics and predictability, without referencing concrete enabling technologies.
- **CI04: Met** — The study presents the "Business Processes Nature Assessment Framework" and combines a systematic literature review with primary empirical data: a survey of 466 respondents and analysis of 12,573 processes.
- **CI05: Met** — Title and abstract are written in English.
- **CE01–CE04: None clearly apply** — The study is related to BPM in an organizational context, is a mixed-methods study (not purely secondary), and provides sufficient information for assessment.
**Decisive factors:** CI02 and CI03 are not met. The absence of explicit references to digital transformation and to specific technologies is sufficient to assign **Score = 0**.</t>
  </si>
  <si>
    <t>Szelągowski, Marek; Berniak-Woźny, Justyna; Sliż, Piotr; Potoczek, Natalia; Napieraj, Aneta; Podobińska-Staniec, Marta; Senkus, Piotr</t>
  </si>
  <si>
    <t>Exploring the diverse nature of business processes in organisations in Industry 4.0/5.0</t>
  </si>
  <si>
    <r>
      <rPr>
        <rFont val="Helvetica Neue"/>
        <color rgb="FF1155CC"/>
        <u/>
      </rPr>
      <t>https://fbj.springeropen.com/articles/10.1186/s43093-024-00395-5</t>
    </r>
  </si>
  <si>
    <t>Abstract  The article investigates the differentiation of business processes in contemporary organisations based on their dynamics (predictability). It presents and summarises research on the nature of business processes in Industry 4.0/5.0 conducted by researchers from 7 Polish universities. The study combines a systematic literature review based on the SCOPUS database and a survey of 466 respondents with an analysis of 12,573 processes. Filling the cognitive gap in Industry 4.0/5.0 organisations, the study reveals that nearly 60% of all BPs are semi-structured processes. At the same time, it shows a strong relationship between the importance of processes for the organisation and the dynamics of their execution. This finding highlights the importance of adaptability and flexibility in organisational dynamics, reflecting the nuanced nature of most BPs. The article presents original research on a diverse sample of Polish enterprises based on the simplified Business Processes Nature Assessment Framework. The presented research results indicate the need to update the essential elements of the BPM concept, such as BPM Lifecycle, BPM implementation method, or BPM maturity assessment, to consider various assessment criteria and implementation methods depending on the nature of BPs. The study contributes to advancing both theoretical knowledge and practical applications in the field of BPM, providing valuable insights for scholars, practitioners, and policymakers alike.</t>
  </si>
  <si>
    <t>10.1186/s43093-024-00395-5</t>
  </si>
  <si>
    <t>Score: 0
Justification:
	•	CI01: not met — Não há menção explícita a BPM ou “Business Process Management”.
	•	CI02: not met — Não menciona explicitamente transformação digital, digitalização ou inovação digital.
	•	CI03: met — Tecnologia explicitamente mencionada: “Robotic Process Automation (RPA)”.
	•	CI04: met — Apresenta estudo empírico: “data was collected through interviews, analyzed using content analysis”.
	•	CI05: met — Texto em inglês.
	•	CE01: applies — Ausência de BPM e transformação digital explícitos coloca o estudo fora do escopo.
	•	CE02: not applicable — Contexto organizacional: “firms”, “organizations”.
	•	CE03: not applicable — Não é estudo secundário.
	•	CE04: not applicable — Informações suficientes no abstract.</t>
  </si>
  <si>
    <t>**Score: 0**
**Justification:**
- **CI01: Not met** — The abstract does not explicitly mention "Business Process Management" or "BPM." It references "organizations' processes" in a general sense, but this does not satisfy the requirement for an explicit mention of BPM.
- **CI02: Not met** — The abstract does not explicitly mention "digital transformation," "digitalization," or "digital innovation." The study focuses on RPA's value creation across value chain activity groups (Procurement, Internal Operations, Marketing and Sales) without framing the work within a digital transformation context.
- **CI03: Met** — Robotic Process Automation (RPA) is the central technology examined throughout the study, with explicit discussion of its features and applicability to organizational processes.
- **CI04: Met** — The study employs an exploratory empirical approach: data collected through interviews and analyzed using content analysis to address a defined research question.
- **CI05: Met** — Title and abstract are written in English.
- **CE01–CE04: None clearly apply** — The study is related to automation technology in an organizational/business context, is a primary empirical study, and provides sufficient information for assessment.
**Decisive factors:** CI01 and CI02 are not met. The absence of explicit references to "Business Process Management"/"BPM" and to digital transformation/digitalization is sufficient to assign **Score = 0**.</t>
  </si>
  <si>
    <t>Durão, Daniel; Dos Reis, António Palma</t>
  </si>
  <si>
    <t>How does robotic process automation create value for firms?</t>
  </si>
  <si>
    <r>
      <rPr>
        <rFont val="Helvetica Neue"/>
        <color rgb="FF1155CC"/>
        <u/>
      </rPr>
      <t>https://link.springer.com/10.1007/s10257-024-00685-z</t>
    </r>
  </si>
  <si>
    <t>721-740</t>
  </si>
  <si>
    <t>Abstract  RPA’s potential for efficiency improvement highly recommends the analysis of its applicability to the organizations’ processes. This paper analyses the value of RPA as its impact on the main activity groups in the value chain: Procurement, Internal Operations and Marketing and Sales. The analysis of RPA’s contribution for each of the activity groups addresses a research question through an exploratory approach: “How does RPA create value for organizations and which RPA features are critical for such value creation?”. The data was collected through interviews, analyzed using content analysis, and shows that RPA has impacts on both downstream and internal dimensions. Regarding upstream dimension further research is required to ascertain RPA’s potential.</t>
  </si>
  <si>
    <t>10.1007/s10257-024-00685-z</t>
  </si>
  <si>
    <t>Score: 0
Justification:
	•	CI01: not met — Não há menção explícita a BPM ou “Business Process Management” (IT-BPM é setor, não conceito de BPM).
	•	CI02: met — Aborda transformação digital: “Fourth Industrial revolution (I4.0)”, “digital transformation of the economy”.
	•	CI03: met — Tecnologias explicitamente mencionadas: “robotics, artificial intelligence, internet of things, automation”.
	•	CI04: not met — Baseado em “secondary sources” e análise descritiva; não apresenta modelo, método ou análise empírica clara.
	•	CI05: met — Texto em inglês.
	•	CE01: applies — Não atende ao critério de BPM explícito e não apresenta abordagem técnica de processos.
	•	CE02: not applicable — Contexto organizacional e setorial (IT-BPM sector).
	•	CE03: applies — Uso de “secondary sources” indica estudo secundário.
	•	CE04: not applicable — Informações suficientes no abstract.</t>
  </si>
  <si>
    <t>**Score: 1**
**Justification:**
- **CI01: Met** — The term "BPM" is explicitly and repeatedly mentioned throughout the abstract as part of "IT-BPM Sector," referring to India's Information Technology and Business Process Management services industry (e.g., "The IT-BPM Sector is the prime driver for automation, artificial intelligence, IoT and analytics").
- **CI02: Met** — Digital transformation is explicitly referenced: "the skill gap crisis needs to be perceived as an opportunity for digital transformation of the economy and engine of growth for IT-BPM Sector."
- **CI03: Met** — Multiple technologies are explicitly named: "Robotics, artificial intelligence, internet of things, automation" and "automation, artificial intelligence, IoT and analytics" are all directly cited as transformative technologies within the sector.
- **CI04: Met** — The study conducts a detailed empirical analysis of skill demand and supply in India's IT-BPM sector using secondary sources and frames "a decent work strategy" as a practical output, constituting both an analysis and a strategic deliverable.
- **CI05: Met** — Title and abstract are written in English.
- **CE01–CE04: None apply** — The study is related to BPM, digital transformation, and technologies in an organizational/industry context. It is not a systematic literature review or mapping study (it conducts sector-level analysis and proposes a strategy), and sufficient information is available for assessment.
**All inclusion criteria are met and no exclusion criteria apply → Score = 1.**</t>
  </si>
  <si>
    <t>Nizami, Nausheen; Tripathi, Tulika; Mohan, Meha</t>
  </si>
  <si>
    <t>Transforming Skill Gap Crisis into Opportunity for Upskilling in India’s IT-BPM Sector</t>
  </si>
  <si>
    <r>
      <rPr>
        <rFont val="Helvetica Neue"/>
        <color rgb="FF1155CC"/>
        <u/>
      </rPr>
      <t>https://link.springer.com/10.1007/s41027-022-00383-9</t>
    </r>
  </si>
  <si>
    <t>845-862</t>
  </si>
  <si>
    <t>Abstract
Fourth Industrial revolution (I4.0) is set to change the way we work in the 21st Century. Invented by us (humans), it is ironical to not prepare for the technological changes that have been developed for the greater good of the society. India has also begun experiencing the waves of I4.0. Robotics, artificial intelligence, internet of things, automation is being combined with existing production processes in many industries. Its magnitude depends on the cost structure and varying capital deepening in the Indian industries. The IT-BPM Sector is the prime driver for automation, artificial intelligence, IoT and analytics. However it is not only accelerating and playing a key role in implementing the I4.0 in manufacturing, but also undergoing changes within its own industry. The primary objective of this study is to conduct a detailed study on the current status of skill demand and skill supply in India in general and IT-BPM sector in particular. The secondary objective of the study is to review the performance and growth of IT-BPM sector in recent years and the pace of technological progress in the sector. Secondary sources have been referred to identify the skill gap and frame a decent work strategy for the IT-BPM Sector. The paper finds an opportunistic scope in upskilling the workers to the new technology as it workers with upgraded technology can positively contribute to the growth of the industry as well as economy. It is argued that the skill gap crisis needs to be perceived as an opportunity for digital transformation of the economy and engine of growth for IT-BPM Sector. However the key challenges lie in the adaptability of workers and reforms in education sector.</t>
  </si>
  <si>
    <t>10.1007/s41027-022-00383-9</t>
  </si>
  <si>
    <t>Score: 0
Justification:
	•	CI01: not met — Não há menção explícita a BPM ou “Business Process Management”.
	•	CI02: met — Aborda transformação digital: “Industry 4.0”, “enhanced connectivity, analytics, automation”.
	•	CI03: met — Tecnologia explicitamente mencionada: “Robotic Process Automation (RPA)”.
	•	CI04: met — Apresenta aplicação e avaliação: “introduce EduRPA… platform”, “evaluating usability and effectiveness based on experimental data”.
	•	CI05: met — Texto em inglês.
	•	CE01: applies — Ausência de BPM explícito coloca o estudo fora do escopo.
	•	CE02: applies — Foco principal no contexto educacional, não em contexto organizacional/empresarial.
	•	CE03: not applicable — Não é estudo secundário.
	•	CE04: not applicable — Informações suficientes no abstract.</t>
  </si>
  <si>
    <t>**Score: 0**
**Justification:**
- **CI01: Not met** — The abstract does not explicitly mention "Business Process Management" or "BPM." References to "business processes" appear in a general sense ("automating business processes," "numerous business processes"), but this does not satisfy the requirement for an explicit mention of BPM as a discipline or the acronym itself.
- **CI02: Not met** — The abstract does not explicitly mention "digital transformation," "digitalization," or "digital innovation." The study references Industry 4.0 and automation broadly, but none of the required terms appear in the text.
- **CI03: Met** — Robotic Process Automation (RPA) is the central technology, explicitly named and applied throughout. The study introduces EduRPA, a platform built on RPA principles, with concrete technical features described.
- **CI04: Met** — The study presents a novel platform (EduRPA), illustrated through use cases and evaluated through experimental data, constituting both an application and an empirical assessment.
- **CI05: Met** — Title and abstract are written in English.
- **CE01–CE04: None clearly apply** — The study involves automation technology applied to an institutional (educational) context, is a primary study, and provides sufficient information for assessment.
**Decisive factors:** CI01 and CI02 are not met. The absence of explicit references to "Business Process Management"/"BPM" and to digital transformation/digitalization is sufficient to assign **Score = 0**.</t>
  </si>
  <si>
    <t>Truong, Thai-Minh; Nong Minh, Chien; Nguyen Minh, Khanh; Huynh, Vinh</t>
  </si>
  <si>
    <t>Applying Robotic Process Automation (RPA) in Education: A Platform</t>
  </si>
  <si>
    <r>
      <rPr>
        <rFont val="Helvetica Neue"/>
        <color rgb="FF1155CC"/>
        <u/>
      </rPr>
      <t>https://link.springer.com/10.1007/s42979-026-04830-y</t>
    </r>
  </si>
  <si>
    <t>Abstract
Industry 4.0 denotes the current era of enhanced connectivity, sophisticated analytics, automation, and cutting-edge manufacturing technologies, which has been reshaping global business practices over the past few years. Along with the rapid growth of robotics and automation in Industry 4.0, Robotic Process Automation (RPA) emerges as an effective approach to automating business processes, especially for repetitive and rule-based tasks. It has a potential to enhance the efficiency, accuracy, and scalability of numerous business processes. RPA has garnered considerable attention across diverse domains, such as finance, accounting, human resources, and insurance. However, its adoption within the education sector remains relatively unaddressed. This is largely due to the fact that existing RPA solutions are often generic and lack domain-specific features that cater to the unique needs of educational institutions. The development of an RPA platform tailored to the education sector represents a crucial and promising avenue for the further promotion of RPA in this field. The promotion of educational reform through RPA can lead to automated processes, increased efficiency, and the fostering of innovation in educational models. These advancements would enhance the quality of education and improve student learning outcomes. Consequently, investing in the development of an RPA platform for the education sector would not only streamline workflow processes but also contribute to creating a more effective learning environment, ultimately improving educational standards. In this context, we introduce EduRPA, an innovative RPA platform specifically designed for the education sector. EduRPA is an open-source software that promotes community-driven development and customization. The platform provides tailored pedagogical activity packages to support domain-specific workflows, supports automated process generation to simplify task creation for non-technical users, and offers automation object suggestion and package mapping to automatically configure technical execution elements and reduce manual intervention. Generally, the main contributions of this paper include (i) proposing a novel RPA platform, EduRPA, specifically designed for the education sector. (ii) illustrating the pedagogical benefits and practical outcomes of EduRPA through detailed use cases demonstrating its applicability in educational contexts. (iii) evaluating the usability and effectiveness of EduRPA based on experimental data.</t>
  </si>
  <si>
    <t>10.1007/s42979-026-04830-y</t>
  </si>
  <si>
    <t>Score: 0
Justification:
        •        CI01: not met — Não há menção explícita a BPM (apenas referência indireta: “intersection of PM and business process management governance”).
        •        CI02: not met — Não há menção explícita a transformação digital, digitalização ou inovação digital.
        •        CI03: met — Tecnologia explicitamente mencionada: “process mining (PM)”.
        •        CI04: met — Apresenta modelo e aplicação: “presents a taxonomy”, “shown in three exemplary cases”.
        •        CI05: met — Texto em inglês.
        •        CE01: applies — Falta de BPM explícito e transformação digital coloca o estudo fora do escopo.
        •        CE02: not applicable — Contexto organizacional: “enterprises”.
        •        CE03: not applicable — Não é estudo secundário.
        •        CE04: not applicable — Informações suficientes no abstract.</t>
  </si>
  <si>
    <t>**Score: 0**
**Justification:**
- **CI01: Met** — "Business process management" is explicitly mentioned in the abstract: "the descriptive knowledge at the intersection of PM and business process management governance."
- **CI02: Not met** — The abstract does not explicitly mention "digital transformation," "digitalization," or "digital innovation." The study focuses on process mining technology, BPM governance, and organizational setups, without framing the work within a digital transformation context. Per the evaluation rules, the implicit association between process mining and digitalization is insufficient.
- **CI03: Met** — Process Mining is explicitly characterized as a technology: "Process mining (PM) technology evolves around the analysis, design, implementation, and ongoing improvement of business processes."
- **CI04: Met** — The study presents a taxonomy for organizational PM setups, validated through three exemplary cases, constituting both a conceptual framework and applied demonstration.
- **CI05: Met** — Title and abstract are written in English.
- **CE01–CE04: None apply** — The study is related to BPM and process mining technology in an organizational context, is a primary study, and provides sufficient information for assessment.
**Decisive factor:** CI02 is not met. The absence of any explicit reference to digital transformation, digitalization, or digital innovation is sufficient to assign **Score = 0**.</t>
  </si>
  <si>
    <t>Marcus, Laura; Schmid, Sebastian Johannes; Friedrich, Franziska; Röglinger, Maximilian; Grindemann, Philipp</t>
  </si>
  <si>
    <t>Navigating the Landscape of Organizational Process Mining Setups: A Taxonomy Approach</t>
  </si>
  <si>
    <r>
      <rPr>
        <rFont val="Helvetica Neue"/>
        <color rgb="FF1155CC"/>
        <u/>
      </rPr>
      <t>https://link.springer.com/10.1007/s12599-024-00908-0</t>
    </r>
  </si>
  <si>
    <t>137-158</t>
  </si>
  <si>
    <t>Abstract  Process mining (PM) technology evolves around the analysis, design, implementation, and ongoing improvement of business processes. While it has experienced a lot of attention and significant technological advancements, contributions to the field have mostly revolved around technical matters, neglecting managerial and organizational aspects. Thus, researchers have called for a more holistic view of the application and adoption of PM in enterprises. To address this gap, this paper presents a taxonomy for organizational PM setups. Its applicability and usefulness are shown in three exemplary cases. This study extends the descriptive knowledge at the intersection of PM and business process management governance, highlighting the unique governance requirements associated with PM that cannot be effectively addressed through traditional governance approaches. The taxonomy provides practitioners with orientation when developing an effective PM setup and helps to characterize existing setups.</t>
  </si>
  <si>
    <t>10.1007/s12599-024-00908-0</t>
  </si>
  <si>
    <t>Score: 0
Justification:
	•	CI01: not met — Não há menção explícita a BPM ou “Business Process Management”.
	•	CI02: not met — Não há menção explícita a transformação digital, digitalização ou inovação digital (IIoT aparece, mas não é explicitamente enquadrado nesses termos).
	•	CI03: met — Tecnologia explicitamente mencionada: “industrial internet of things (IIoT)”.
	•	CI04: met — Apresenta modelo e aplicação: “presenting a comprehensive metamodel”, “patterns… applied by a market-leading organization”, “design science research (DSR)”.
	•	CI05: met — Texto em inglês.
	•	CE01: applies — Ausência de BPM explícito e transformação digital explícita coloca o estudo fora do escopo.
	•	CE02: not applicable — Contexto organizacional: “industrial organizations”.
	•	CE03: not applicable — Não é estudo secundário.
	•	CE04: not applicable — Informações suficientes no abstract.</t>
  </si>
  <si>
    <t>**Score: 0**
**Justification:**
- **CI01: Not met** — The abstract does not explicitly mention "Business Process Management" or "BPM." It references "business process improvement (BPI)" throughout, but BPI is a distinct term from BPM and does not satisfy CI01's requirement for an explicit mention of Business Process Management or the acronym BPM.
- **CI02: Not met** — The abstract does not explicitly mention "digital transformation," "digitalization," or "digital innovation." The study focuses on IIoT applications for business process improvement in industrial organizations, without framing the work in a digital transformation context.
- **CI03: Met** — The Industrial Internet of Things (IIoT) is the central technology examined, explicitly named and applied throughout the study as the enabling technology for business process improvement.
- **CI04: Met** — The study presents a comprehensive metamodel and a set of derived patterns, evaluated through application in a real market-leading organization, following Design Science Research (DSR) methodology — constituting both a framework and an empirical evaluation.
- **CI05: Met** — Title and abstract are written in English.
- **CE01–CE04: None clearly apply** — The study is related to technology (IIoT) and process improvement in an organizational/industrial context, is a primary study, and provides sufficient information for assessment.
**Decisive factors:** CI01 and CI02 are not met. The absence of explicit references to "Business Process Management"/"BPM" and to digital transformation/digitalization is sufficient to assign **Score = 0**.</t>
  </si>
  <si>
    <t>Stoiber, Christoph; Schönig, Stefan</t>
  </si>
  <si>
    <t>Leveraging the industrial internet of things for business process improvement: a metamodel and patterns</t>
  </si>
  <si>
    <r>
      <rPr>
        <rFont val="Helvetica Neue"/>
        <color rgb="FF1155CC"/>
        <u/>
      </rPr>
      <t>https://link.springer.com/10.1007/s10257-024-00676-0</t>
    </r>
  </si>
  <si>
    <t>285-313</t>
  </si>
  <si>
    <t>Abstract  Industrial organizations of all kinds increasingly recognize the industrial internet of thing’s (IIoT) capabilities to enable valuable business process improvement (BPI). However, both theoretically and practically, there is a lack of clarity regarding the systematic and successful identification, specification, and implementation of corresponding applications. This article aims to bridge this research gap by presenting a comprehensive metamodel encompassing all relevant aspects and elements of IIoT applications with BPI propositions. The metamodel is the foundation for deriving generic yet practical patterns that can assist organizations in effectively executing IIoT projects. To evaluate the usefulness of the approach, five initial patterns were designed and applied by a market-leading organization. The metamodel and patterns contribute to the descriptive knowledge of the IIoT and facilitate sense-making, theory-led design, and practical project execution. To ensure rigor, the research endeavor followed fundamental principles of the design science research (DSR) methodology.</t>
  </si>
  <si>
    <t>10.1007/s10257-024-00676-0</t>
  </si>
  <si>
    <t>Score: 0
Justification:
	•	CI01: not met — Não há menção explícita a BPM ou “Business Process Management”.
	•	CI02: met — Aborda transformação digital: “process of digitalization”, “digital transformation”.
	•	CI03: met — Tecnologia mencionada: “process automation” (RPA implícito pelo título).
	•	CI04: met — Apresenta estudo empírico: “questionnaire… 103 valid responses were obtained and analysed”.
	•	CI05: met — Texto em inglês.
	•	CE01: applies — Ausência de BPM explícito coloca o estudo fora do escopo.
	•	CE02: not applicable — Contexto organizacional: “companies”, “organizations”.
	•	CE03: not applicable — Não é estudo secundário.
	•	CE04: not applicable — Informações suficientes no abstract.</t>
  </si>
  <si>
    <t>**Score: 0**
**Justification:**
- **CI01: Not met** — The abstract does not explicitly mention "Business Process Management" or "BPM." The study references "process automation," "automation of processes," and "automation of tasks," but none of these constitute an explicit mention of Business Process Management or the acronym BPM.
- **CI02: Met** — Digital transformation and digitalization are explicitly and repeatedly referenced: "Companies are immersed in a process of digitalization that transforms business models," "This digitalization generates a digital transformation," and "the digitization of the workplace."
- **CI03: Met** — RPA (Robotic Process Automation) is explicitly named in the title and implied throughout the abstract through repeated references to "process automation" and "automation of tasks" as the technology under analysis.
- **CI04: Met** — The study presents an empirical analysis: a questionnaire was developed, 103 valid responses were collected and analyzed, and a series of hypotheses were tested — constituting a structured empirical investigation.
- **CI05: Met** — Title and abstract are written in English.
- **CE01–CE04: None clearly apply** — The study addresses digital transformation and technology (RPA) in an organizational/business context, is a primary empirical study, and provides sufficient information for assessment.
**Decisive factor:** CI01 is not met. The absence of any explicit reference to "Business Process Management" or "BPM" is sufficient to assign **Score = 0**.</t>
  </si>
  <si>
    <t>Gómez Gandía, José Andrés; Gavrila Gavrila, Sorin; De Lucas Ancillo, Antonio; Del Val Núñez, Maria Teresa</t>
  </si>
  <si>
    <t>RPA as a Challenge Beyond Technology: Self-Learning and Attitude Needed for Successful RPA Implementation in the Workplace</t>
  </si>
  <si>
    <r>
      <rPr>
        <rFont val="Helvetica Neue"/>
        <color rgb="FF1155CC"/>
        <u/>
      </rPr>
      <t>https://link.springer.com/10.1007/s13132-024-01865-5</t>
    </r>
  </si>
  <si>
    <t>19628-19655</t>
  </si>
  <si>
    <t>Abstract  Companies are immersed in a process of digitalization that transforms business models and creates value due to the increase in technology. The adoption of new technologies has a great impact on organizations, not only at an economic level but also on their products, processes, and human resources. This process will result in a series of necessary changes to align with their internal competencies and optimize the investment made. This digitalization generates a digital transformation that affects both large companies and SMEs, with the result that new technologies are subject to continuous change, requiring the development and training of workers with the necessary skills to cope with it. Within this transformation, the automation of processes is a constantly growing topic in the business world, as it generates a series of benefits for organizations that they would not otherwise be able to acquire. Process automation reduces the workload in repetitive processes and provides more time for employees to attend to end-customer requests. The adoption of this technology will provide the company to be adapted to a changing world experiencing an increase in productivity, effectiveness, and efficiency. This research focuses on how the process automation provides the organization with a wide range of benefits such as workload reduction and increased productivity for most of the company. Although process automation can bring many benefits to the workplace, it is important to recognize that its use does not always automatically lead to a systematic improvement of workers’ skills. In this context, it is also important to note how employee training is necessary to face this new reality. Employee training and adaptation is critical to the organization’s sustainability. Training will need to be aimed at equipping the employee with technical skills to enable them to effectively use and implement technology and to assimilate it as a complement and not as a threat. To analyse the individual’s awareness of the digitization of the workplace, the automation of tasks and the advantages or disadvantages that may result from the introduction of technology, a questionnaire was developed, and 103 valid responses were obtained and analysed. This has resulted in a series of hypotheses that have been tried to be validate throughout the research work. These results have important implications for organizations seeking to implement automation and provide a basis for future research in this constantly evolving field.</t>
  </si>
  <si>
    <t>10.1007/s13132-024-01865-5</t>
  </si>
  <si>
    <t>Score: 0
Justification:
	•	CI01: met — Menciona explicitamente BPM: “Business process management (BPM)”.
	•	CI02: not met — Não há menção explícita a transformação digital, digitalização ou inovação digital.
	•	CI03: not met — Não há menção explícita a tecnologias (AI, RPA, process mining, etc.).
	•	CI04: met — Apresenta estudo empírico: “exploratory interview study with 21 subject matter experts”.
	•	CI05: met — Texto em inglês.
	•	CE01: applies — Ausência de transformação digital e tecnologias explícitas coloca o estudo fora do escopo.
	•	CE02: not applicable — Contexto organizacional: “organizations”, “corporate capability”.
	•	CE03: not applicable — Não é estudo secundário.
	•	CE04: not applicable — Informações suficientes no abstract.</t>
  </si>
  <si>
    <t>**Score: 0**
**Justification:**
- **CI01: Met** — "Business Process Management (BPM)" is explicitly and extensively referenced throughout the abstract: "Business process management (BPM) as a holistic management discipline," "BPM research," "contemporary and future BPM," "modern BPM," and "BPM practitioners."
- **CI02: Not met** — The abstract does not explicitly mention "digital transformation," "digitalization," or "digital innovation." While the study acknowledges that "changing business environments challenge and motivate organizations to transform," the word "transform" here refers to organizational change broadly, not digital transformation specifically. Per the evaluation rules, this implicit association is insufficient.
- **CI03: Not met** — The abstract does not explicitly mention or apply any specific technology (e.g., AI, RPA, process mining, big data, blockchain, IoT, or software systems). The study focuses on managerial capabilities and organizational change in the context of BPM, without referencing concrete enabling technologies.
- **CI04: Met** — The study presents BPRUM as a new cross-cutting capability area, derived from an exploratory interview study with 21 subject matter experts and articulated through 40 action-oriented sub-capabilities.
- **CI05: Met** — Title and abstract are written in English.
- **CE01–CE04: None apply** — The study is clearly related to BPM in an organizational context, is a primary empirical study (interview-based), and provides sufficient information for assessment.
**Decisive factors:** CI02 and CI03 are not met. The absence of explicit references to digital transformation/digitalization and to specific technologies is sufficient to assign **Score = 0**.</t>
  </si>
  <si>
    <t>Albrecht, Tobias; Lösser, Benedict; Röglinger, Maximilian</t>
  </si>
  <si>
    <t>From zero to hero: ramp-up management as a new cross-cutting business process management capability</t>
  </si>
  <si>
    <r>
      <rPr>
        <rFont val="Helvetica Neue"/>
        <color rgb="FF1155CC"/>
        <u/>
      </rPr>
      <t>https://link.springer.com/10.1007/s10257-024-00672-4</t>
    </r>
  </si>
  <si>
    <t>431-456</t>
  </si>
  <si>
    <t>Abstract  Changing business environments challenge and motivate organizations to transform. To remain competitive, organizations need to embrace these dynamics and make radical changes to how work is performed. Business process management (BPM) as a holistic management discipline offers mature methods and end-to-end management activities. However, it is subject to the tension between stability and change. While change through the improvement of existing business processes is well understood, the implementation and scaling of novel business processes have been neglected in BPM research. Hence, this paper proposes business process ramp-up management (BPRUM) as a new cross-cutting capability area for contemporary and future BPM and explores relevant sub-capabilities. Our work synthesizes insights from an exploratory interview study with 21 subject matter experts to advance the understanding of BPM as a corporate capability regarding the implementation and scaling of novel processes. As a result, this study illustrates how BPRUM adds to modern BPM and presents 40 action-oriented sub-capabilities that provide hands-on knowledge and practical guidance for effective BPRUM. Thereby, it serves as a foundation for further theorizing on process ramp-up and for structuring discussions among BPM practitioners.</t>
  </si>
  <si>
    <t>10.1007/s10257-024-00672-4</t>
  </si>
  <si>
    <t>Score: 0
Justification:
	•	CI01: met — Menciona explicitamente BPM: “Business process management (BPM)”.
	•	CI02: not met — Não há menção explícita a transformação digital, digitalização ou inovação digital (apesar de “digital startups”, não há esse enquadramento explícito).
	•	CI03: not met — Não há menção clara a tecnologias específicas (AI, RPA, process mining, etc.; apenas “IT” genérico).
	•	CI04: met — Apresenta estudo empírico: “two case studies… interviews… Grounded Theory Method”.
	•	CI05: met — Texto em inglês.
	•	CE01: applies — Ausência de transformação digital explícita e tecnologias específicas coloca o estudo fora do escopo.
	•	CE02: not applicable — Contexto organizacional: startups.
	•	CE03: not applicable — Não é estudo secundário.
	•	CE04: not applicable — Informações suficientes no abstract.</t>
  </si>
  <si>
    <t>**Score: 0**
**Justification:**
- **CI01: Met** — "Business process management (BPM)" is explicitly and repeatedly referenced: "Business process management (BPM) aims to help organizations manage their business processes," "The BPM capability provides the basis to create guiding questions," and "insights and opportunities for business process management."
- **CI02: Not met** — The abstract does not explicitly mention "digital transformation," "digitalization," or "digital innovation." Although the study centers on "digital startups" and "digital offerings," and references "IT-based process implementation," none of the three terms required by CI02 appear explicitly in the text. Per the evaluation rules, implicit association with digital contexts is insufficient.
- **CI03: Not met** — The abstract references "information technology (IT)" and "IT-based process implementation" in general terms, but does not explicitly name any specific technology such as AI, RPA, process mining, big data, blockchain, IoT, or software systems. The mention of IT alone is too broad to satisfy the explicit technology requirement.
- **CI04: Met** — The study conducts two inductive case studies using the Grounded Theory Method, with interviews and supporting documents, and derives a new theory on process management in digital startups — constituting a rigorous empirical investigation.
- **CI05: Met** — Title and abstract are written in English.
- **CE01–CE04: None apply** — The study is related to BPM in an organizational/business context (digital startups in logistics), is a primary empirical study, and provides sufficient information for assessment.
**Decisive factors:** CI02 and CI03 are not met. The absence of explicit references to digital transformation/digitalization and to specific technologies is sufficient to assign **Score = 0**.</t>
  </si>
  <si>
    <t>Er, Mahendrawathi; Mulyono, Natasha Ratna Puspita; Rentio, Ivan Althirafi; Nurkasanah, Ika</t>
  </si>
  <si>
    <t>How do digital startups manage their activities? Insights and opportunities for business process management</t>
  </si>
  <si>
    <r>
      <rPr>
        <rFont val="Helvetica Neue"/>
        <color rgb="FF1155CC"/>
        <u/>
      </rPr>
      <t>https://link.springer.com/10.1007/s10257-024-00683-1</t>
    </r>
  </si>
  <si>
    <t>557-598</t>
  </si>
  <si>
    <t>Abstract
Business process management (BPM) aims to help organizations manage their business processes. Startups differ from established firms as they go through different phases of prospecting, developing, and exploiting the new venture. Startups begin to focus on the organization of their processes after they reach the exploiting (scale-up) phase. Digital startups are unique as information technology (IT) becomes the business model itself. These unique characteristics raise a question: how do digital startups at the scale-up phase manage their business processes? To answer the question, two case studies on digital startups in logistics providers are conducted. The case studies are designed to be inductive in nature. Grounded Theory Method (GTM) is used for data collection and analysis. Data is collected via interviews and supporting documents. The BPM capability provides the basis to create guiding questions for the interviews. The interview results are analyzed with a grounded theory approach of open, theoretical, and selective coding. To derive a new theory, cross-case analyses are conducted. Findings from two digital startups allow us to identify important categories that play a role in how digital startups manage their activities: industry and stakeholders, digital offerings, organic structure, process management, performance measurement, employee training and culture. We further theorize that the competitive nature of startups makes them customer-centric and focus on agility. Digital startups continuously improve their product and conduct adaptive process experimentation involving a cycle of process identification, IT-based process implementation and process adaptation. The supporting capabilities that enable the process management of digital startups are agile people and culture and organic structure.</t>
  </si>
  <si>
    <t>10.1007/s10257-024-00683-1</t>
  </si>
  <si>
    <t>Score: 0
Justification:
	•	CI01: not met — Não há menção explícita a BPM ou “Business Process Management”.
	•	CI02: not met — Não há menção explícita a transformação digital, digitalização ou inovação digital.
	•	CI03: met — Tecnologia explicitamente mencionada: “process mining”.
	•	CI04: met — Apresenta método e avaliação: “propose a method”, “design science research”, “software prototype”, “real-world case study”.
	•	CI05: met — Texto em inglês.
	•	CE01: applies — Ausência de BPM explícito e transformação digital explícita coloca o estudo fora do escopo.
	•	CE02: not applicable — Contexto organizacional: “organizations”, “projects”.
	•	CE03: not applicable — Não é estudo secundário.
	•	CE04: not applicable — Informações suficientes no abstract.</t>
  </si>
  <si>
    <t>**Score: 0**
**Justification:**
- **CI01: Not met** — The abstract does not explicitly mention "Business Process Management" or "BPM." It references "business process improvement projects" and "improving business processes," but these terms are distinct from Business Process Management and do not satisfy CI01's requirement for an explicit mention of BPM as a discipline or acronym.
- **CI02: Not met** — The abstract does not explicitly mention "digital transformation," "digitalization," or "digital innovation." The study focuses on process mining adoption, portfolio management, and value creation in organizations, without framing the work within a digital transformation context.
- **CI03: Met** — Process mining is explicitly characterized as "a highly sought-after technology" and is the central technology throughout the study. A software prototype implementing the method is also referenced.
- **CI04: Met** — The study proposes a structured method comprising five activities (strategize, identify, select, implement, monitor), developed via design science research and situational method engineering, instantiated as a software prototype, and evaluated through a real-world case study.
- **CI05: Met** — Title and abstract are written in English.
- **CE01–CE04: None clearly apply** — The study is related to process mining technology and business process improvement in an organizational context, is a primary study, and provides sufficient information for assessment.
**Decisive factors:** CI01 and CI02 are not met. The absence of explicit references to "Business Process Management"/"BPM" and to digital transformation/digitalization is sufficient to assign **Score = 0**.</t>
  </si>
  <si>
    <t>Fischer, Dominik A.; Marcus, Laura; Röglinger, Maximilian</t>
  </si>
  <si>
    <t>A Portfolio Management Method for Process Mining-Enabled Business Process Improvement Projects</t>
  </si>
  <si>
    <r>
      <rPr>
        <rFont val="Helvetica Neue"/>
        <color rgb="FF1155CC"/>
        <u/>
      </rPr>
      <t>https://link.springer.com/10.1007/s12599-024-00906-2</t>
    </r>
  </si>
  <si>
    <t>855-876</t>
  </si>
  <si>
    <t>Abstract Process mining has received tremendous attention from research and industry, establishing itself as a highly sought-after technology. Despite the technological maturity of process mining solutions, which has been achieved through extensive investments in research and development, organizations still face the challenge of elusive value when systematically adopting process mining. The authors attribute this dilemma to a lack of support for scaling and managing process mining project portfolios. To address this practical need and research gap, the authors propose a method for managing portfolios of so-called process mining value cases, which are defined as process mining-enabled business process improvement projects, towards an evolutionary roadmap (  mapper  ). The method is designed to support organizations identify portfolios of process mining projects that generate value by improving business processes. The method was developed through a combination of design science research and situational method engineering and comprises five activities that each outline techniques, roles, and tools:  strategize  ,  identify  ,  select  ,  implement  , and  monitor  . The method has been instantiated as a software prototype and iteratively evaluated for applicability and real-world fidelity by involving an expert panel of academics and practitioners. The usefulness of the artifact was substantiated through a real-world case study in a naturalistic setting.</t>
  </si>
  <si>
    <t>10.1007/s12599-024-00906-2</t>
  </si>
  <si>
    <t>Score: 0
Justification:
	•	CI01: not met — Não há menção explícita a BPM ou “Business Process Management”.
	•	CI02: not met — Não há menção explícita a transformação digital, digitalização ou inovação digital.
	•	CI03: met — Tecnologia explicitamente mencionada: “process mining”.
	•	CI04: met — Apresenta estudo empírico: “multiple case study… users from six large organizations”.
	•	CI05: met — Texto em inglês.
	•	CE01: applies — Ausência de BPM explícito e transformação digital explícita coloca o estudo fora do escopo.
	•	CE02: not applicable — Contexto organizacional: “organizations”.
	•	CE03: not applicable — Não é estudo secundário.
	•	CE04: not applicable — Informações suficientes no abstract.</t>
  </si>
  <si>
    <t>This study is identical to the previous submission. The evaluation remains the same:
---
**Score: 0**
**Justification:**
- **CI01: Not met** — The abstract does not explicitly mention "Business Process Management" or "BPM." References to "business processes" and "business value" appear in a general sense but do not satisfy CI01.
- **CI02: Not met** — The abstract does not explicitly mention "digital transformation," "digitalization," or "digital innovation."
- **CI03: Met** — Process mining is explicitly described as "a family of techniques for analyzing large amounts of data collected on business processes" and is the central technology throughout.
- **CI04: Met** — The study employs a multiple case study across six large organizations, identifying four distinct process mining user categories through empirical investigation.
- **CI05: Met** — Title and abstract are written in English.
- **CE01–CE04: None clearly apply** — The study is related to process mining technology in an organizational context, is a primary empirical study, and provides sufficient information for assessment.
**Decisive factors:** CI01 and CI02 are not met → **Score = 0**.</t>
  </si>
  <si>
    <t>Ammann, Jana; Lohoff, Laura; Wurm, Bastian; Hess, Thomas</t>
  </si>
  <si>
    <t>How do Process Mining Users Act, Think, and Feel?: An Explorative Study of Process Mining Use Patterns</t>
  </si>
  <si>
    <r>
      <rPr>
        <rFont val="Helvetica Neue"/>
        <color rgb="FF1155CC"/>
        <u/>
      </rPr>
      <t>https://link.springer.com/10.1007/s12599-025-00931-9</t>
    </r>
  </si>
  <si>
    <t>319-341</t>
  </si>
  <si>
    <t>Abstract  Process mining, a family of techniques for analyzing large amounts of data collected on business processes, has gained significant practical and academic importance. Extant process mining research mainly examines technical aspects. Only recently has research started to investigate organizational aspects of process mining, such as how organizations use process mining to create business value. On an individual level, research has examined the analysis strategies of individual process mining analysts. So far, however, the literature does not provide a holistic investigation of individual process mining use, including individuals’ behavior, cognition, and affective states. Yet, understanding individual process mining use is pivotal for realizing its organizational value. To address this shortcoming, this paper examines the individual use of process mining employing a multiple case study with process mining users from six large organizations in a post-adoption context, i.e., in organizations that have several years of experience with process mining. Based on the configuration of how process mining users act, think, and feel in practice, four distinct process mining user categories were identified: (1) process mining influencers, (2) power users, (3) process participants, and (4) strategic users. For practitioners, the findings provide insights into the actual process mining use of individuals and what shapes their use patterns. This information enables tailoring process mining training and algorithms to specific user categories.</t>
  </si>
  <si>
    <t>10.1007/s12599-025-00931-9</t>
  </si>
  <si>
    <t>Score: 0
Justification:
        •        CI01: not met — Não há menção explícita a BPM ou “Business Process Management”.
        •        CI02: not met — Não há menção explícita a transformação digital, digitalização ou inovação digital.
        •        CI03: met — Tecnologia explicitamente mencionada: “Robotic Process Automation (RPA)”.
        •        CI04: met — Apresenta framework e método: “design science research approach”, “framework for implementation”, “expert interviews and workshops”.
        •        CI05: met — Texto em inglês.
        •        CE01: applies — Ausência de BPM explícito e transformação digital explícita coloca o estudo fora do escopo.
        •        CE02: not applicable — Contexto organizacional: “corporate environments”, “companies”.
        •        CE03: not applicable — Não é estudo secundário.
        •        CE04: not applicable — Informações suficientes no abstract.</t>
  </si>
  <si>
    <t>**Score: 0**
**Justification:**
- **CI01: Not met** — The abstract does not explicitly mention "Business Process Management" or "BPM." It references "business processes" in a general sense ("automate...whole business processes rapidly"), but this does not satisfy CI01's requirement for an explicit mention of Business Process Management or the acronym BPM.
- **CI02: Not met** — The abstract does not explicitly mention "digital transformation," "digitalization," or "digital innovation." While RPA is described as operating on "already digital yet manual tasks," this is a characterization of the technology's scope, not an explicit reference to digital transformation or digitalization as a broader organizational phenomenon.
- **CI03: Met** — Robotic Process Automation (RPA) is the central technology throughout, explicitly described as "a disruptive technology to automate already digital yet manual tasks." IT systems are also referenced as the interface layer accessed by RPA.
- **CI04: Met** — The study develops a structured framework through design science research, including analysis of 35 real-life project reports, expert interviews, and workshops, resulting in a three-phase, eleven-stage implementation framework.
- **CI05: Met** — Title and abstract are written in English.
- **CE01–CE04: None clearly apply** — The study is related to automation technology in an organizational/business context, is a primary study, and provides sufficient information for assessment.
**Decisive factors:** CI01 and CI02 are not met. The absence of explicit references to "Business Process Management"/"BPM" and to digital transformation/digitalization is sufficient to assign **Score = 0**.</t>
  </si>
  <si>
    <t>Herm, Lukas-Valentin; Janiesch, Christian; Helm, Alexander; Imgrund, Florian; Hofmann, Adrian; Winkelmann, Axel</t>
  </si>
  <si>
    <t>A framework for implementing robotic process automation projects</t>
  </si>
  <si>
    <r>
      <rPr>
        <rFont val="Helvetica Neue"/>
        <color rgb="FF1155CC"/>
        <u/>
      </rPr>
      <t>https://link.springer.com/10.1007/s10257-022-00553-8</t>
    </r>
  </si>
  <si>
    <t>1-35</t>
  </si>
  <si>
    <t>Abstract  Robotic process automation is a disruptive technology to automate already digital yet manual tasks and subprocesses as well as whole business processes rapidly. In contrast to other process automation technologies, robotic process automation is lightweight and only accesses the presentation layer of IT systems to mimic human behavior. Due to the novelty of robotic process automation and the varying approaches when implementing the technology, there are reports that up to 50% of robotic process automation projects fail. To tackle this issue, we use a design science research approach to develop a framework for the implementation of robotic process automation projects. We analyzed 35 reports on real-life projects to derive a preliminary sequential model. Then, we performed multiple expert interviews and workshops to validate and refine our model. The result is a framework with variable stages that offers guidelines with enough flexibility to be applicable in complex and heterogeneous corporate environments as well as for small and medium-sized companies. It is structured by the three phases of initialization, implementation, and scaling. They comprise eleven stages relevant during a project and as a continuous cycle spanning individual projects. Together they structure how to manage knowledge and support processes for the execution of robotic process automation implementation projects.</t>
  </si>
  <si>
    <t>10.1007/s10257-022-00553-8</t>
  </si>
  <si>
    <t>Score: 0
Justification:
	•	CI01: not met — Não há menção explícita a BPM ou “Business Process Management”.
	•	CI02: not met — Não há menção explícita a transformação digital, digitalização ou inovação digital.
	•	CI03: met — Tecnologias explicitamente mencionadas: “Robotic Process Automation (RPA)” e “process mining”.
	•	CI04: met — Apresenta framework e aplicação: “design and demonstrate a data-driven performance framework”, “Design Science Research Methodology”, “real data from a loan application process”.
	•	CI05: met — Texto em inglês.
	•	CE01: applies — Ausência de BPM explícito e transformação digital explícita coloca o estudo fora do escopo.
	•	CE02: not applicable — Contexto organizacional: “company”, “loan application process”.
	•	CE03: not applicable — Não é estudo secundário.
	•	CE04: not applicable — Informações suficientes no abstract.</t>
  </si>
  <si>
    <t>**Score: 0**
**Justification:**
- **CI01: Not met** — The abstract does not explicitly mention "Business Process Management" or "BPM." It references "business processes" in a general sense ("automate its business processes by means of RPA"), but this does not satisfy CI01's requirement for an explicit mention of BPM as a discipline or acronym.
- **CI02: Not met** — The abstract does not explicitly mention "digital transformation," "digitalization," or "digital innovation." The study focuses on RPA implementation assessment and process mining application within a loan application process, without framing the work in a digital transformation context.
- **CI03: Met** — Two technologies are explicitly named and applied: Robotic Process Automation (RPA) and Process Mining, both central to the framework design and demonstration on real-world data.
- **CI04: Met** — The study designs and demonstrates PPAFR, a structured data-driven performance assessment framework, applied to real loan application process data through process discovery, analysis, simulation, and redesign — following Design Science Research Methodology.
- **CI05: Met** — Title and abstract are written in English.
- **CE01–CE04: None clearly apply** — The study is related to automation and process mining technologies in an organizational/business context (financial services), is a primary study, and provides sufficient information for assessment.
**Decisive factors:** CI01 and CI02 are not met. The absence of explicit references to "Business Process Management"/"BPM" and to digital transformation/digitalization is sufficient to assign **Score = 0**.</t>
  </si>
  <si>
    <t>Šperka, Roman; Halaška, Michal</t>
  </si>
  <si>
    <t>The performance assessment framework (PPAFR) for RPA implementation in a loan application process using process mining</t>
  </si>
  <si>
    <r>
      <rPr>
        <rFont val="Helvetica Neue"/>
        <color rgb="FF1155CC"/>
        <u/>
      </rPr>
      <t>https://link.springer.com/10.1007/s10257-022-00602-2</t>
    </r>
  </si>
  <si>
    <t>277-321</t>
  </si>
  <si>
    <t>Abstract  When a company decides to automate its business processes by means of RPA (Robotic Process Automation), there are two fundamental questions that need to be answered. Firstly, what activities should the company automate and what characteristics make them suitable for RPA. The aim of the presented research is to design and demonstrate a data-driven performance framework assessing the impact of RPA implementation using process mining (PPAFR). Firstly, we comment on and summarise existing trends in process mining and RPA. Secondly, we describe research objectives and methods following the Design Science Research Methodology. Then, we identify critical factors for RPA implementation and design process stages of PPAFR. We demonstrate the design on real data from a loan application process. The demonstration consists of a process discovery using process mining methods, process analysis, and process simulation with assessment of RPA candidates. Based on the research results, a redesign of the process is proposed with emphasis on RPA implementation. Finally, we discuss the usefulness of PPAFR by helping companies to identify potentially suitable activities for RPA implementation and not overestimating potential gains. Obtained results show that within the loan application process, waiting times are the main causes of extended cases. If the waiting times are generated internally, it will be much easier for the company to address them. If the automation is focused mainly on processing times, the impact of automation on the overall performance of the process is insignificant or very low. Moreover, the research identified several characteristics which have to be considered when implementing RPA due to the impact on the overall performance of the process.</t>
  </si>
  <si>
    <t>10.1007/s10257-022-00602-2</t>
  </si>
  <si>
    <t>Score: 0
Justification:
	•	CI01: not met — Não há menção explícita a BPM ou “Business Process Management”.
	•	CI02: met — Aborda digitalização: “digitalization trend”, “digital work maturity”.
	•	CI03: not met — Não há menção explícita a tecnologias específicas (AI, RPA, process mining, etc.).
	•	CI04: met — Apresenta método e avaliação: “build a decision tree”, “field study within a large public sector organization”, “design-science research”.
	•	CI05: met — Texto em inglês.
	•	CE01: applies — Ausência de BPM explícito e tecnologias específicas coloca o estudo fora do escopo.
	•	CE02: not applicable — Contexto organizacional: “organization”, “public sector”.
	•	CE03: not applicable — Não é estudo secundário.
	•	CE04: not applicable — Informações suficientes no abstract.</t>
  </si>
  <si>
    <t>**Score: 0**
**Justification:**
- **CI01: Not met** — The abstract does not explicitly mention "Business Process Management" or "BPM." "Processes" is referenced as a general organizational factor ("people, processes"), but this does not satisfy the requirement for an explicit mention of BPM or Business Process Management.
- **CI02: Met** — "Digitalization" is explicitly and repeatedly referenced: "The growth of today's digitalization trend," "the digitalization of work practices," and "when digitalizing their work practices." The study's central domain — digital work maturity — directly addresses digitalization.
- **CI03: Not met** — The abstract does not explicitly mention or apply any specific technology (e.g., AI, RPA, process mining, big data, blockchain, IoT, or software systems). A decision tree is referenced as an analytical/methodological tool rather than a technology in the sense required by CI03.
- **CI04: Met** — The study develops a decision tree to extend an existing maturity model and validate a self-assessment instrument, evaluated through two rounds of a field study in a large public sector organization — constituting both a methodological contribution and an empirical validation.
- **CI05: Met** — Title and abstract are written in English.
- **CE01–CE04: None clearly apply** — The study is related to digitalization in an organizational context, is a primary empirical study, and provides sufficient information for assessment.
**Decisive factors:** CI01 and CI03 are not met. The absence of explicit references to "Business Process Management"/"BPM" and to specific technologies is sufficient to assign **Score = 0**.</t>
  </si>
  <si>
    <t>Jafari, Pooria; Van Looy, Amy</t>
  </si>
  <si>
    <t>Developing a decision tree to improve a maturity model’s usability: an example for digital work maturity</t>
  </si>
  <si>
    <r>
      <rPr>
        <rFont val="Helvetica Neue"/>
        <color rgb="FF1155CC"/>
        <u/>
      </rPr>
      <t>https://link.springer.com/10.1007/s10257-024-00698-8</t>
    </r>
  </si>
  <si>
    <t>539-576</t>
  </si>
  <si>
    <t xml:space="preserve">Abstract
The growth of today’s digitalization trend goes along with an active and influential role of other fundamental factors in organizational development (e.g., people, processes). Excelling in these factors boosts efficiency and helps achieve strategic goals, for which support is needed. In recent years, studies concentrate on organizational maturity to describe (and sometimes prescribe) how to gradually progress along these factors by means of different maturity levels. However, those studies focus on examining a set of factors influencing maturity (such as the digitalization of work practices), but are not necessarily comprehensive in factors and sometimes fail to offer concrete measurement instruments for various application purposes. Novelty in our study resides in scrutinizing whether a decision tree approach can help organizations in quickly assessing their current maturity level in addition to the conventional ways of maturity model measurement or scale development studies. We select one maturity model (MM) in this domain and build a decision tree to distinguish an organization’s current maturity level of digital work. We also examine our proposed method in two rounds of a field study within a large public sector organization. Our objective is twofold. First, we extend an existing MM in a relevant domain for which a self-assessment instrument is still lacking. Secondly, from a design-science research perspective, we explore an alternative approach to build and test a straightforward self-assessment artefact in order to extend the literature from a methodological point of view. As a result, practitioners can profit from the provided and easy-to-use self-assessment instrument when digitalizing their work practices.
</t>
  </si>
  <si>
    <t>10.1007/s10257-024-00698-8</t>
  </si>
  <si>
    <t>Score: 0
Justification:
        •        CI01: not met — Não há menção explícita a BPM ou “Business Process Management”.
        •        CI02: not met — Não há menção explícita a transformação digital, digitalização ou inovação digital.
        •        CI03: met — Tecnologia explicitamente mencionada: “process mining”.
        •        CI04: met — Apresenta modelo e evidência empírica: “empirically validated… CSF model”, “case studies and expert interviews”.
        •        CI05: met — Texto em inglês.
        •        CE01: applies — Ausência de BPM explícito e transformação digital explícita coloca o estudo fora do escopo.
        •        CE02: not applicable — Contexto organizacional: “organisations”.
        •        CE03: not applicable — Não é estudo secundário.
        •        CE04: not applicable — Informações suficientes no abstract.</t>
  </si>
  <si>
    <t>**Score: 0**
**Justification:**
- **CI01: Not met** — The abstract does not explicitly mention "Business Process Management" or "BPM." The study references "Information Systems (IS)" and "operational efficiency," but neither constitutes an explicit mention of BPM as a discipline or acronym.
- **CI02: Not met** — The abstract does not explicitly mention "digital transformation," "digitalization," or "digital innovation." The study focuses on Critical Success Factors for process mining adoption in organizations, without framing the work within a digital transformation context.
- **CI03: Met** — Process mining is explicitly described as "a suite of techniques for extracting insights from event logs of Information Systems (IS)" and is the central technology throughout the study.
- **CI04: Met** — The study presents an empirically validated CSF model through a multi-phased approach: analysis of published case studies, two in-depth case studies, and expert interviews — constituting a rigorous empirical investigation resulting in a conceptual model.
- **CI05: Met** — Title and abstract are written in English.
- **CE01–CE04: None clearly apply** — The study is related to process mining technology in an organizational context, is a primary empirical study, and provides sufficient information for assessment.
**Decisive factors:** CI01 and CI02 are not met. The absence of explicit references to "Business Process Management"/"BPM" and to digital transformation/digitalization is sufficient to assign **Score = 0**.</t>
  </si>
  <si>
    <t>Mamudu, Azumah; Bandara, Wasana; Wynn, Moe T.; Leemans, Sander J. J.</t>
  </si>
  <si>
    <t>Process Mining Success Factors and Their Interrelationships</t>
  </si>
  <si>
    <r>
      <rPr>
        <rFont val="Helvetica Neue"/>
        <color rgb="FF1155CC"/>
        <u/>
      </rPr>
      <t>https://link.springer.com/10.1007/s12599-024-00860-z</t>
    </r>
  </si>
  <si>
    <t>389-408</t>
  </si>
  <si>
    <t>Abstract  Process mining—a suite of techniques for extracting insights from event logs of Information Systems (IS)—is increasingly being used by a wide range of organisations to improve operational efficiency. Despite extensive studies of Critical Success Factors (CSFs) in related domains, CSF studies tailored to process mining are limited. Moreover, these studies merely identify factors and do not provide essential details such as a clear conceptual understanding of success factors and their interrelationships. Through a multi-phased approach (applying published process mining case studies, conducting two in-depth case studies and expert interviews), this paper presents an empirically validated process mining CSF model and CSF interrelationships. This validated CSF model identifies ten process mining CSFs, explains how these factors relate to the process mining context and analyses their interrelationships with regard to process mining success. The findings provide a guide for organisations to invest in the right mix of CSFs for value realisation in process mining practice.</t>
  </si>
  <si>
    <t>10.1007/s12599-024-00860-z</t>
  </si>
  <si>
    <t>Score: 0
Justification:
	•	CI01: met — Menciona explicitamente BPM: “business process management maturity models (BPM MMs)”.
	•	CI02: met — Aborda transformação digital: “era of digital transformation”, “Industry 4.0 organizations”, “hyperautomation”.
	•	CI03: not met — Não há menção explícita a tecnologias específicas (AI, RPA, process mining, etc.; “hyperautomation” é genérico).
	•	CI04: met — Apresenta framework conceitual: “This conceptual paper… proposes a… framework”.
	•	CI05: met — Texto em inglês.
	•	CE01: applies — Ausência de tecnologias explícitas (CI03) coloca o estudo fora do escopo.
	•	CE02: not applicable — Contexto organizacional: “organizations”.
	•	CE03: not applicable — Não é revisão sistemática; é paper conceitual.
	•	CE04: not applicable — Informações suficientes no abstract.</t>
  </si>
  <si>
    <t>**Score: 1**
**Justification:**
- **CI01: Met** — "Business Process Management" and "BPM" are explicitly and repeatedly referenced: "business process management maturity models (BPM MMs)," "BPM maturity assessment," "BPM implementation methodology," and "further business process management."
- **CI02: Met** — "Digital transformation" is explicitly stated in the title ("in the era of digital transformation") and the abstract contextualizes the work within a rapidly changing technological environment driven by hyperautomation and Industry 4.0.
- **CI03: Met** — "Hyperautomation" is explicitly named as a key technological driver: "The impact of hyperautomation and the increasing pace of change require the integration of maturity assessment with the BPM implementation methodology." Hyperautomation is a recognized technology concept encompassing advanced automation (RPA, AI, etc.), distinct from a generic reference to "technology."
- **CI04: Met** — The study presents a conceptual framework: "a two-stage comprehensive process of organizational process maturity assessment, fully integrated into the process of BPM implementation," constituting a model-based contribution.
- **CI05: Met** — Title and abstract are written in English.
- **CE01–CE04: None apply** — The study is clearly related to BPM, digital transformation, and technology in an organizational context. It is a primary conceptual/model-based study, not a secondary study, and provides sufficient information for assessment.
**All inclusion criteria are met and no exclusion criteria apply → Score = 1.**</t>
  </si>
  <si>
    <t>Szelągowski, Marek; Berniak-Woźny, Justyna</t>
  </si>
  <si>
    <t>How to improve the assessment of BPM maturity in the era of digital transformation</t>
  </si>
  <si>
    <r>
      <rPr>
        <rFont val="Helvetica Neue"/>
        <color rgb="FF1155CC"/>
        <u/>
      </rPr>
      <t>https://link.springer.com/10.1007/s10257-021-00549-w</t>
    </r>
  </si>
  <si>
    <t>171-198</t>
  </si>
  <si>
    <t>Abstract  For almost 30 years, the way of building business process management maturity models (BPM MMs), the importance assigned to individual maturity levels, and the criteria and critical success factors chosen for BPM maturity assessment have not changed significantly, despite the fact that during those three decades, the business environment and organizations themselves have changed enormously. The impact of hyperautomation and the increasing pace of change require the integration of maturity assessment with the BPM implementation methodology, including the repetition of maturity assessment for selected groups of processes. This causes an urgent need to adapt both process maturity assessment methods and BPM MMs to changing working conditions and business requirements. This conceptual paper is based on a model approach. The framework presented in the article continues and at the same time clearly deviates from the tradition of building BPM MMs on the basis of the Capability Maturity Model (CMM). It proposes a two-stage comprehensive process of organizational process maturity assessment, fully integrated into the process of BPM implementation and further business process management. The presented framework makes it possible to assess the process maturity of Industry 4.0 organizations in which dynamic knowledge-intensive business processes (kiBPs) play a key role in creating value.</t>
  </si>
  <si>
    <t>10.1007/s10257-021-00549-w</t>
  </si>
  <si>
    <t>Score: 1
Justification:
	•	CI01: met — Menciona explicitamente BPM: “Business Process Management (BPM) systems”.
	•	CI02: met — Aborda transformação digital: “digital transformation”, “IT system adoption”.
	•	CI03: met — Tecnologias explicitamente mencionadas: “ERP” e “BPM systems”.
	•	CI04: met — Apresenta análise empírica: “hierarchical linear modeling on a dataset of 1,500 companies”.
	•	CI05: met — Texto em inglês.
	•	CE01: not applicable — Relacionado a BPM, transformação digital e tecnologias.
	•	CE02: not applicable — Contexto organizacional: “companies”, “industries”.
	•	CE03: not applicable — Não é estudo secundário.
	•	CE04: not applicable — Informações suficientes no abstract.</t>
  </si>
  <si>
    <t>**Score: 1**
**Justification:**
- **CI01: Met** — "Business Process Management (BPM)" is explicitly mentioned in the abstract: "we analyze the impact of Enterprise Resource Planning (ERP) and Business Process Management (BPM) systems."
- **CI02: Met** — "Digital transformation" is explicitly referenced: "These results underscore the importance of industry context in digital transformation and provide new insights into how firms can align IT investments with their competitive environments."
- **CI03: Met** — Two specific software systems are explicitly named and analyzed: Enterprise Resource Planning (ERP) and Business Process Management (BPM) systems — both qualifying as software systems under CI03's examples.
- **CI04: Met** — The study presents a rigorous empirical analysis using hierarchical linear modeling applied to a dataset of 1,500 companies across 12 industries over a 13-year period (2008–2021), yielding quantitative findings on IT-driven productivity effects.
- **CI05: Met** — Title and abstract are written in English.
- **CE01–CE04: None apply** — The study is clearly related to BPM systems, digital transformation, and technologies in an organizational/business context. It is a primary empirical study and provides sufficient information for assessment.
**All inclusion criteria are met and no exclusion criteria apply → Score = 1.**</t>
  </si>
  <si>
    <t>Ivanov, Egor; Molodchik, Mariia</t>
  </si>
  <si>
    <t>Industry-specific effects of IT systems: uncovering the winners and losers</t>
  </si>
  <si>
    <r>
      <rPr>
        <rFont val="Helvetica Neue"/>
        <color rgb="FF1155CC"/>
        <u/>
      </rPr>
      <t>https://link.springer.com/10.1007/s40821-026-00342-0</t>
    </r>
  </si>
  <si>
    <t>95-122</t>
  </si>
  <si>
    <t>Abstract
This study investigates the industry-specific effects of IT system adoption on company productivity, emphasizing how different industry conditions shape IT-driven performance. Using hierarchical linear modeling on a dataset of 1,500 companies from 12 industries over the period 2008–2021, we analyze the impact of Enterprise Resource Planning (ERP) and Business Process Management (BPM) systems. Our findings confirm that both ERP and BPM systems generally enhance productivity, but their effectiveness varies across industries depending on the interplay of dynamism, complexity, and munificence. By decomposing the overall performance effects into industry-specific outcomes, we reveal substantial heterogeneity, with some industries capturing greater IT benefits than others. These results underscore the importance of industry context in digital transformation and provide new insights into how firms can align IT investments with their competitive environments to maximize performance gains.</t>
  </si>
  <si>
    <t>10.1007/s40821-026-00342-0</t>
  </si>
  <si>
    <t>Score: 0
Justification:
	•	CI01: not met — “BP” é mencionado, mas não está explicitamente definido como Business Process Management (BPM).
	•	CI02: not met — Não há menção explícita a transformação digital, digitalização ou inovação digital.
	•	CI03: not met — Não há menção explícita a tecnologias (AI, RPA, process mining, etc.).
	•	CI04: met — Apresenta método/modelo: “economic and mathematical support… matrix… risk assessment”.
	•	CI05: met — Texto em inglês.
	•	CE01: applies — Não há evidência clara de BPM nem de tecnologias, colocando o estudo fora do escopo.
	•	CE02: not applicable — Contexto organizacional: “metallurgical company”.
	•	CE03: not applicable — Não é estudo secundário.
	•	CE04: not applicable — Informações suficientes no abstract.</t>
  </si>
  <si>
    <t>**Score: 0**
**Justification:**
- **CI01: Not met** — The abstract uses the acronym "BP" (in "risk management of BP") without defining it as "Business Process Management" or "BPM." The acronym "BPM" never appears, and "BP" alone is ambiguous — it may refer to "business processes" generically. Per the evaluation rules, this does not constitute explicit mention of Business Process Management.
- **CI02: Not met** — The abstract does not explicitly mention "digital transformation," "digitalization," or "digital innovation." References to "information environment" and "information support" reflect an informational framing, not a digital transformation one.
- **CI03: Not met** — The abstract does not explicitly mention or apply any specific technology (e.g., AI, RPA, process mining, big data, blockchain, IoT, or software systems). The study presents economic and mathematical methods (a weight coefficient matrix) for risk assessment, which are analytical tools rather than technologies as defined by CI03.
- **CI04: Met** — The study presents methods for risk analysis and assessment, including economic-mathematical support and a matrix for calculating correction weight coefficients — constituting a model-based contribution applied to a metallurgical company.
- **CI05: Met** — Title and abstract are written in English.
- **CE01: Potentially applies** — The study focuses on risk management using quantitative methods in a metallurgical context. Its connection to BPM, digital transformation, or the technologies listed in CI03 is not evident from the text, suggesting the study may be unrelated to the research topic.
**Decisive factors:** CI01, CI02, and CI03 are not met → **Score = 0**.</t>
  </si>
  <si>
    <t>Vasiltsov, V. S.; Krylova, N. P.; Sushinskaya, A. V.; Krasovsky, M. S.</t>
  </si>
  <si>
    <t>Information Analysis in Risk Management of BP (Using the Example of Metallurgical Enterprises)</t>
  </si>
  <si>
    <r>
      <rPr>
        <rFont val="Helvetica Neue"/>
        <color rgb="FF1155CC"/>
        <u/>
      </rPr>
      <t>https://link.springer.com/10.3103/S0005105524700018</t>
    </r>
  </si>
  <si>
    <t>149-157</t>
  </si>
  <si>
    <t>Abstract
To unify the understanding of and improvements to management efficiency, the conceptual apparatus of information support for risk management of BP is clarified, and methods of analysis and assessment of risk in the information environment are explored, using the example of a metallurgical company. The development of economic and mathematical support in calculating a quantitative measure of risk is presented, and a matrix for calculating the correction weight coefficient Wi for the determination if this measure is proposed, which allows us to take into account the duration and importance of identified risk factors, rank risks, and make informed decisions based on a more complete and detailed assessment of them.</t>
  </si>
  <si>
    <t>10.3103/S0005105524700018</t>
  </si>
  <si>
    <t>Score: 0
Justification:
	•	CI01: not met — Não há menção explícita a BPM ou “Business Process Management” (apenas “process management” genérico).
	•	CI02: met — Aborda transformação digital: “emerging digital technologies”.
	•	CI03: not met — Não há menção explícita a tecnologias específicas (AI, RPA, process mining, etc.).
	•	CI04: met — Apresenta método e avaliação: “introduces the Compass Method”, “design science research methodology”, “three rounds of design and evaluation”.
	•	CI05: met — Texto em inglês.
	•	CE01: applies — Ausência de BPM explícito e de tecnologias específicas coloca o estudo fora do escopo.
	•	CE02: not applicable — Contexto organizacional: “organizations”.
	•	CE03: not applicable — Não é estudo secundário.
	•	CE04: not applicable — Informações suficientes no abstract.</t>
  </si>
  <si>
    <t>**Score: 0**
**Justification:**
- **CI01: Not met** — The abstract does not explicitly mention "Business Process Management" or "BPM." It references "business processes" and "process management research" in general terms, but neither constitutes an explicit mention of Business Process Management as a discipline or the acronym BPM.
- **CI02: Not met** — The abstract does not explicitly use the terms "digital transformation," "digitalization," or "digital innovation." While it references "emerging digital technologies" as a driver of business model change, this phrase does not match any of the three terms required by CI02. Per the evaluation rules, this implicit association is insufficient.
- **CI03: Not met** — The abstract does not explicitly name or apply any specific technology (e.g., AI, RPA, process mining, big data, blockchain, IoT, or software systems). The reference to "emerging digital technologies" is too vague and general to satisfy CI03's requirement for explicit mention of concrete enabling technologies.
- **CI04: Met** — The study introduces the Compass Method, comprising a set of operating model design cards, developed through three rounds of design and evaluation following design science research methodology — constituting a clear methodological contribution.
- **CI05: Met** — Title and abstract are written in English.
- **CE01–CE04: None clearly apply** — The study addresses business processes and operating models in an organizational context, is a primary study, and provides sufficient information for assessment.
**Decisive factors:** CI01, CI02, and CI03 are not met → **Score = 0**.</t>
  </si>
  <si>
    <t>Lara Machado, Paola; Van De Ven, Montijn; Aysolmaz, Banu; Turetken, Oktay; Vom Brocke, Jan</t>
  </si>
  <si>
    <t>Navigating Business Model Redesign: The Compass Method for Identifying Changes to the Operating Model</t>
  </si>
  <si>
    <r>
      <rPr>
        <rFont val="Helvetica Neue"/>
        <color rgb="FF1155CC"/>
        <u/>
      </rPr>
      <t>https://link.springer.com/10.1007/s12599-024-00892-5</t>
    </r>
  </si>
  <si>
    <t>607-638</t>
  </si>
  <si>
    <t>Abstract  In today’s dynamic business environment, organizations constantly change their business models to respond to emerging digital technologies and shifting customer expectations. It is a fundamental challenge to translate these changes into the organization’s operating model. When organizations redesign their business models, significant adjustments to the operating model and its underlying business processes are necessary to ensure the effective delivery of the value proposition to customers. Existing research falls short in detailing how changes to the business model at the tactical level impact the operating model at the operational level. To address this gap, this paper introduces the Compass Method. This method provides guidance for decision-makers at the tactical and operational levels in identifying necessary changes to their operating model using a set of operating model design cards. The method has been developed following the design science research methodology and is grounded in extant knowledge from both business model research and process management research. Three rounds of design and evaluation of the method were completed in multiple settings. The study contributes to the understanding of the relationship between business models, operating models, and business processes, paving the way for the development of complementary methods and tools to further investigate this relationship.</t>
  </si>
  <si>
    <t>10.1007/s12599-024-00892-5</t>
  </si>
  <si>
    <t>Score: 1
Justification:
	•	CI01: met — Menciona explicitamente BPM: “next-generation business process management”, “exploratory BPM method”.
	•	CI02: met — Aborda transformação digital: “driven by technological progress”, “embedded real-time analytics”, “business analytics is gaining momentum”.
	•	CI03: met — Tecnologia explicitamente mencionada: “embedded analytics”, “business analytics”.
	•	CI04: met — Apresenta método e avaliação: “introducing… process selection method”, “action design research”, “iteratively built, used, evaluated, and refined”.
	•	CI05: met — Texto em inglês.
	•	CE01: not applicable — Relacionado a BPM, transformação digital e tecnologias.
	•	CE02: not applicable — Contexto organizacional: “organizations”.
	•	CE03: not applicable — Não é estudo secundário.
	•	CE04: not applicable — Informações suficientes no abstract.</t>
  </si>
  <si>
    <t>**Score: 0**
**Justification:**
- **CI01: Met** — "Business Process Management" and "BPM" are explicitly referenced: "paving the path for next-generation business process management" and "an exploratory BPM method."
- **CI02: Not met** — The abstract does not explicitly mention "digital transformation," "digitalization," or "digital innovation." It references "technological progress" and "next-generation business process management," but these are general characterizations that do not satisfy the explicit requirement of CI02.
- **CI03: Met** — "Business analytics" and "embedded real-time analytics" are explicitly named as the core technologies driving the research. These constitute explicit mentions of technology applications (qualifying broadly as software systems/data-driven tools) in the context of BPM.
- **CI04: Met** — The study introduces a "process selection method" developed through action design research and situational method engineering, iteratively built, used, evaluated, and refined — constituting a clear methodological artifact contribution.
- **CI05: Met** — Title and abstract are written in English.
- **CE01–CE04: None clearly apply** — The study is related to BPM and analytics technology in an organizational context, is a primary study, and provides sufficient information for assessment.
**Decisive factor:** CI02 is not met. The absence of any explicit reference to digital transformation, digitalization, or digital innovation is sufficient to assign **Score = 0**.</t>
  </si>
  <si>
    <t>Bender, Tobias</t>
  </si>
  <si>
    <t>Towards a process selection method for embedded analytics</t>
  </si>
  <si>
    <r>
      <rPr>
        <rFont val="Helvetica Neue"/>
        <color rgb="FF1155CC"/>
        <u/>
      </rPr>
      <t>https://link.springer.com/10.1007/s10257-024-00675-1</t>
    </r>
  </si>
  <si>
    <t>501-525</t>
  </si>
  <si>
    <t>Abstract  Driven by technological progress, business analytics is gaining momentum while paving the path for next-generation business process management. Especially, embedded real-time analytics offers new opportunities for business process intelligence and value creation. However, there are several obstacles that organizations face in their adoption process. A key challenge is to identify business processes that are suitable for embedded analytics and hold relevant value potential. Our research addresses this need by introducing an exploratory BPM method, namely a process selection method. Applying action design research and situational method engineering, we iteratively built, used, evaluated, and refined the theory-ingrained method artifact. The method provides organizations with guidance in selecting operational business processes, for which a reengineering project should be initiated.</t>
  </si>
  <si>
    <t>10.1007/s10257-024-00675-1</t>
  </si>
  <si>
    <t>Score: 1
Justification:
	•	CI01: met — BPM explícito via notação: “Business Process Model and Notation (BPMN)”.
	•	CI02: met — Aborda transformação digital: “software-defined car manufacturing”, “smart manufacturing”, “integrating new advanced software functions”.
	•	CI03: met — Tecnologias explícitas: “web service orchestration”, “BPMN”.
	•	CI04: met — Apresenta método e avaliação: “introduce a lean approach”, “evaluation… through a focus group with OEM experts”.
	•	CI05: met — Texto em inglês.
	•	CE01: not applicable — Relacionado a BPM, transformação digital e tecnologias.
	•	CE02: not applicable — Contexto organizacional/industrial: “automotive OEMs”.
	•	CE03: not applicable — Não é estudo secundário.
	•	CE04: not applicable — Informações suficientes no abstract.</t>
  </si>
  <si>
    <t>**Score: 0**
**Justification:**
- **CI01: Not met** — The abstract does not explicitly mention "Business Process Management" or "BPM." While BPMN (Business Process Model and Notation) is referenced, this acronym stands for "Business Process *Model* and Notation" — not Business Process *Management* — and does not satisfy CI01's requirement. References to "business processes" and "process automation" appear but are insufficient.
- **CI02: Not met** — The abstract does not explicitly mention "digital transformation," "digitalization," or "digital innovation." The study references "transformation" in the context of automotive industry change and "software-defined car manufacturing," but neither of these constitutes an explicit use of the required terms. Per the evaluation rules, implicit associations are insufficient.
- **CI03: Met** — Multiple technologies are explicitly named: BPMN (as a cross-industry standard), web service orchestration, executable process models, and enterprise IT architecture — all concrete technology applications within the study's scope.
- **CI04: Met** — The study introduces a lean approach for process modeling and execution, evaluated through a focus group with OEM experts — constituting both a methodological contribution and an applied evaluation.
- **CI05: Met** — Title and abstract are written in English.
- **CE01–CE04: None clearly apply** — The study involves process modeling technologies in an organizational/industrial context, is a primary study, and provides sufficient information for assessment.
**Decisive factors:** CI01 and CI02 are not met → **Score = 0**.</t>
  </si>
  <si>
    <t>König, Simone; Vogel-Heuser, Birgit; Hradecky, Adam; Horn, Sophie; Hahn, Michael</t>
  </si>
  <si>
    <t>Executing automotive test workflows with BPMN and web service orchestration in software-defined car manufacturing</t>
  </si>
  <si>
    <r>
      <rPr>
        <rFont val="Helvetica Neue"/>
        <color rgb="FF1155CC"/>
        <u/>
      </rPr>
      <t>https://link.springer.com/10.1007/s11740-024-01302-1</t>
    </r>
  </si>
  <si>
    <t>195-209</t>
  </si>
  <si>
    <t>Abstract  Automotive original equipment manufacturers (OEMs) are facing the challenge of keeping their cars innovative for the customer by integrating new advanced software functions, e.g., to provide higher levels of automated driving. Nonetheless, internal business processes should stay efficient to support the transformation despite the increasing complexity caused by new information and car technologies. For engineering and production processes where interdisciplinary teams of engineers, software developers, and workers interact along the car life cycle, the concept of executable process models offers an opportunity for work streamlining and process automation by web service orchestration. This paper will shed light on using executable process models under the cross-industry Business Process Model and Notation (BPMN) standard, along with the example of automotive test and diagnostic processes in smart manufacturing. We introduce a lean approach that includes the enterprise IT architecture for process modeling and the product car for process execution. Finally, we present our evaluation of the approach through a focus group with OEM experts.</t>
  </si>
  <si>
    <t>10.1007/s11740-024-01302-1</t>
  </si>
  <si>
    <t>Score: 0
Justification:
	•	CI01: met — Menciona explicitamente BPM: “Business process management (BPM)”.
	•	CI02: not met — Não há menção explícita a transformação digital, digitalização ou inovação digital.
	•	CI03: not met — Não há menção explícita a tecnologias (AI, RPA, process mining, etc.).
	•	CI04: not met — Trata-se de nota conceitual: “research note conceptualizes…”, sem método, modelo aplicado ou análise empírica clara.
	•	CI05: met — Texto em inglês.
	•	CE01: applies — Ausência de transformação digital e tecnologias explícitas coloca o estudo fora do escopo.
	•	CE02: not applicable — Contexto organizacional presente.
	•	CE03: not applicable — Não é explicitamente revisão sistemática.
	•	CE04: not applicable — Informações suficientes no abstract.</t>
  </si>
  <si>
    <t>**Score: 0**
**Justification:**
- **CI01: Met** — "Business process management (BPM)" is explicitly and repeatedly referenced throughout: "Business process management (BPM) drives corporate success," "BPM research," "challenges and opportunities for BPM," and "BPM scholars."
- **CI02: Not met** — The abstract does not explicitly mention "digital transformation," "digitalization," or "digital innovation." The study focuses on the effects of exogenous shocks on BPM and organizational processes, without framing the work within a digital transformation context.
- **CI03: Not met** — The abstract does not explicitly mention or apply any specific technology (e.g., AI, RPA, process mining, big data, blockchain, IoT, or software systems). The general reference to "methods and tools for tackling various kinds of process change" is too vague to satisfy CI03.
- **CI04: Met** — The study produces a conceptualization of the interplay between exogenous shocks and BPM, derived through multiple rounds of idea generation and consolidation among a diverse team of BPM scholars, representing a structured conceptual contribution.
- **CI05: Met** — Title and abstract are written in English.
- **CE01–CE04: None clearly apply** — The study is related to BPM in an organizational context, is a primary conceptual study, and provides sufficient information for assessment.
**Decisive factors:** CI02 and CI03 are not met. The absence of explicit references to digital transformation/digitalization and to specific technologies is sufficient to assign **Score = 0**.</t>
  </si>
  <si>
    <t>Röglinger, Maximilian; Plattfaut, Ralf; Borghoff, Vincent; Kerpedzhiev, Georgi; Becker, Jörg; Beverungen, Daniel; Vom Brocke, Jan; Van Looy, Amy; del-Río-Ortega, Adela; Rinderle-Ma, Stefanie; Rosemann, Michael; Santoro, Flavia Maria; Trkman, Peter</t>
  </si>
  <si>
    <t>Exogenous Shocks and Business Process Management: A Scholars’ Perspective on Challenges and Opportunities</t>
  </si>
  <si>
    <r>
      <rPr>
        <rFont val="Helvetica Neue"/>
        <color rgb="FF1155CC"/>
        <u/>
      </rPr>
      <t>https://link.springer.com/10.1007/s12599-021-00740-w</t>
    </r>
  </si>
  <si>
    <t>669-687</t>
  </si>
  <si>
    <t>Abstract  Business process management (BPM) drives corporate success through effective and efficient processes. In recent decades, knowledge has been accumulated regarding the identification, discovery, analysis, design, implementation, and monitoring of business processes. This includes methods and tools for tackling various kinds of process change such as continuous process improvement, process reengineering, process innovation, and process drift. However, exogenous shocks, which lead to unintentional and radical process change, have been neglected in BPM research although they severely affect an organization’s context, strategy, and business processes. This research note conceptualizes the interplay of exogenous shocks and BPM in terms of the effects that such shocks can have on organizations’ overall process performance over time. On this foundation, related challenges and opportunities for BPM via several rounds of idea generation and consolidation within a diverse team of BPM scholars are identified. The paper discusses findings in light of extant literature from BPM and related disciplines, as well as present avenues for future (BPM) research to invigorate the academic discourse on the topic.</t>
  </si>
  <si>
    <t>10.1007/s12599-021-00740-w</t>
  </si>
  <si>
    <t>Score: 0
Justification:
	•	CI01: not met — Não há menção explícita a BPM ou “Business Process Management”.
	•	CI02: not met — Não há menção explícita a transformação digital, digitalização ou inovação digital.
	•	CI03: met — Tecnologias explicitamente mencionadas: “Robotic Process Automation (RPA)”, “Artificial Intelligence (AI)”.
	•	CI04: met — Apresenta estudo empírico: “case study on Deutsche Bank”.
	•	CI05: met — Texto em inglês.
	•	CE01: applies — Ausência de BPM explícito e transformação digital explícita coloca o estudo fora do escopo.
	•	CE02: not applicable — Contexto organizacional: setor bancário.
	•	CE03: not applicable — Não é estudo secundário.
	•	CE04: not applicable — Informações suficientes no abstract.</t>
  </si>
  <si>
    <t>**Score: 0**
**Justification:**
- **CI01: Not met** — The abstract does not explicitly mention "Business Process Management" or "BPM." It references "business processes" in a general sense ("execute rules-based business processes"), but this does not satisfy CI01's requirement for an explicit mention of Business Process Management or the acronym BPM.
- **CI02: Not met** — The abstract does not explicitly mention "digital transformation," "digitalization," or "digital innovation." While it notes that intelligent automation "has been transforming the banking industry," this refers to industry transformation broadly, not digital transformation as a defined concept. Per the evaluation rules, this implicit association is insufficient.
- **CI03: Met** — Multiple technologies are explicitly named: Robotic Process Automation (RPA), Artificial Intelligence (AI), Cognitive Robotic Process Automation (CRPA), and Intelligent Process Automation (IPA) — all central to the study's focus.
- **CI04: Met** — The study presents a real-world case study on Deutsche Bank's implementation of intelligent automation for Adverse Media Screening (AMS), with documented outcomes including compliance acceleration and reduction of false positives.
- **CI05: Met** — Title and abstract are written in English.
- **CE01–CE04: None clearly apply** — The study is related to automation technologies in an organizational/business (banking) context, is a primary study, and provides sufficient information for assessment.
**Decisive factors:** CI01 and CI02 are not met. The absence of explicit references to "Business Process Management"/"BPM" and to digital transformation/digitalization is sufficient to assign **Score = 0**.</t>
  </si>
  <si>
    <t>Villar, Alice Saldanha; Khan, Nawaz</t>
  </si>
  <si>
    <t>Robotic process automation in banking industry: a case study on Deutsche Bank</t>
  </si>
  <si>
    <r>
      <rPr>
        <rFont val="Helvetica Neue"/>
        <color rgb="FF1155CC"/>
        <u/>
      </rPr>
      <t>https://link.springer.com/10.1007/s42786-021-00030-9</t>
    </r>
  </si>
  <si>
    <t>Abstract
Robotic process automation (RPA) is a software robot technology designed to execute rules-based business processes by mimicking human interactions across multiple applications. As a virtual workforce, this software application has proven valuable to organizations looking to automate repetitive, low-added-value work. The combination of RPA and Artificial Intelligence (AI) is called CRPA (Cognitive Robotic Process Automation) or IPA (Intelligent Process Automation) and has led to the next generation of RPA bots. It has been transforming the banking industry by making the core financial operations exponentially more efficient and allowing banks to tailor services to customers while at the same time improving safety and security. Although intelligent automation is enabling banks to redefine how they work, it has also raised challenges regarding protection of both consumer interests and the stability of the financial system. This article presents a case study on Deutsche Bank’s successful implementation of intelligent automation and also discusses the ethical responsibilities and challenges related to automation and employment. We demonstrate how Deutsche Bank successfully automated Adverse Media Screening (AMS), accelerating compliance, increasing adverse media search coverage and drastically reducing false positives. This research contributes to the academic literature on the topic of banking intelligent automation and provides insight into implementation and development.</t>
  </si>
  <si>
    <t>10.1007/s42786-021-00030-9</t>
  </si>
  <si>
    <t>Score: 0
Justification:
	•	CI01: not met — Não há evidência explícita de BPM (sem abstract para confirmar).
	•	CI02: not met — Não há evidência explícita de transformação digital (sem abstract).
	•	CI03: not met — Apesar de “process mining” no título, não há contexto suficiente para confirmar aplicação de tecnologia.
	•	CI04: not met — Não há informações sobre método, modelo ou análise.
	•	CI05: met — Título em inglês.
	•	CE01: not applicable — Não é possível confirmar relação completa com o escopo.
	•	CE02: not applicable — Não há informação suficiente.
	•	CE03: not applicable — Não há informação suficiente.
	•	CE04: applies — “without abstract” → informação insuficiente para avaliação.</t>
  </si>
  <si>
    <t>**Score: 0**
**Justification:**
- **CI01: Not assessable** — The title does not mention "Business Process Management" or "BPM." Without an abstract, it is impossible to determine whether the study addresses BPM explicitly.
- **CI02: Not assessable** — Neither the title nor an abstract provides any reference to "digital transformation," "digitalization," or "digital innovation."
- **CI03: Met** — Process mining is explicitly referenced in the title as the central technology of the study.
- **CI04: Not assessable** — The title suggests a framework contribution ("A Five-Level Framework"), but without an abstract, the nature and scope of the contribution cannot be confirmed.
- **CI05: Not assessable** — The title is in English, but the absence of an abstract prevents full confirmation.
- **CE04: Applies** — The study does not provide enough information in the title or abstract to assess relevance. The abstract is explicitly absent, making it impossible to evaluate the majority of inclusion criteria with confidence.
**Decisive factor:** CE04 directly applies — the absence of an abstract means there is insufficient information to assess most criteria. **Score = 0**.</t>
  </si>
  <si>
    <t>Vom Brocke, Jan; Jans, Mieke; Mendling, Jan; Reijers, Hajo A.</t>
  </si>
  <si>
    <t>A Five-Level Framework for Research on Process Mining</t>
  </si>
  <si>
    <r>
      <rPr>
        <rFont val="Helvetica Neue"/>
        <color rgb="FF1155CC"/>
        <u/>
      </rPr>
      <t>https://link.springer.com/10.1007/s12599-021-00718-8</t>
    </r>
  </si>
  <si>
    <t>483-490</t>
  </si>
  <si>
    <t>10.1007/s12599-021-00718-8</t>
  </si>
  <si>
    <t>Score: 0
Justification:
	•	CI01: met — Menciona BPM: “integrated into business process management”.
	•	CI02: not met — Não há menção explícita a transformação digital, digitalização ou inovação digital.
	•	CI03: not met — Não há menção clara a tecnologias específicas (AI, RPA, process mining, etc.; apenas “computational fuzzy model” e OR genérico).
	•	CI04: met — Apresenta modelo e avaliação: “computational fuzzy model”, “test results show…”.
	•	CI05: met — Texto em inglês.
	•	CE01: applies — Ausência de transformação digital e tecnologias explícitas coloca o estudo fora do escopo.
	•	CE02: not applicable — Contexto organizacional: e-commerce.
	•	CE03: not applicable — Não é estudo secundário.
	•	CE04: not applicable — Informações suficientes no abstract.</t>
  </si>
  <si>
    <t>**Score: 0**
**Justification:**
- **CI01: Met** — "Business process management" is explicitly mentioned at the end of the abstract: "how sophisticated decision-making frameworks may be integrated into business process management to enable more efficient and flexible organizational procedures."
- **CI02: Not met** — The abstract does not explicitly mention "digital transformation," "digitalization," or "digital innovation." Although the study is applied to e-commerce — a digital domain — none of the required terms appear in the text. Per the evaluation rules, contextual association is insufficient.
- **CI03: Not met** — The abstract does not explicitly name any of the technologies referenced in CI03 (AI, RPA, process mining, big data, blockchain, IoT, or software systems). The "computational fuzzy model" and "multi-objective decision-making methods" are mathematical/operational research techniques rather than explicitly named technologies of the type required by CI03.
- **CI04: Met** — The study proposes and empirically tests a computational fuzzy model, reporting quantitative results (98.62% average accuracy, reduced redesign time) — constituting both a model contribution and an empirical evaluation.
- **CI05: Met** — Title and abstract are written in English.
- **CE01–CE04: None clearly apply** — The study relates to business process management and decision-making in an organizational/business (e-commerce) context, is a primary study, and provides sufficient information for assessment.
**Decisive factors:** CI02 and CI03 are not met. The absence of explicit references to digital transformation/digitalization and to specific technologies is sufficient to assign **Score = 0**.</t>
  </si>
  <si>
    <t>Gollavilli, Venkata Surya Bhavana Harish; Nagarajan, Harikumar; Alagarsundaram, Poovendran; Gattupalli, Kalyan; Sitaraman, Surendar Rama; Khalid, Haris M.</t>
  </si>
  <si>
    <t>OR based multi-objective decision-making in e-commerce improvement</t>
  </si>
  <si>
    <r>
      <rPr>
        <rFont val="Helvetica Neue"/>
        <color rgb="FF1155CC"/>
        <u/>
      </rPr>
      <t>https://link.springer.com/10.1007/s11761-025-00448-9</t>
    </r>
  </si>
  <si>
    <t>Abstract
The inefficiencies and high costs of traditional business process redesign techniques, which frequently rely on manual optimization and lack systematic approaches, are discussed in this study. Our suggestion to address these issues is a computational fuzzy model that combines multi-objective decision-making methods with operational research. This model analyses corporate goals, resources, and limitations in an organized manner to improve the efficacy of business redesign. Our approach makes finding the best redesign tactics easier while considering various goals and trade-offs. Test results show that the suggested methodology delivers an astounding 98.62% average accuracy in redesign results. Its efficiency is further demonstrated by the fact that the average time needed for the redesign process is reduced to 11.55 s, and related expenditures are kept to a minimum. The results show that using the computational fuzzy model makes decision-making more accessible and generally raises the standard of business operations. This model offers a valuable tool for businesses looking to improve operational effectiveness and save expenses in fast-paced e-commerce by providing an organized approach to company redesign. The outcomes show how sophisticated decision-making frameworks may be integrated into business process management to enable more efficient and flexible organizational procedures.</t>
  </si>
  <si>
    <t>10.1007/s11761-025-00448-9</t>
  </si>
  <si>
    <t>Score: 0
Justification:
	•	CI01: not met — Não há menção explícita a BPM ou “Business Process Management” (apenas BPMN).
	•	CI02: not met — Não há menção explícita a transformação digital, digitalização ou inovação digital.
	•	CI03: met — Tecnologia explicitamente mencionada: “BPMN extension”, “IT governance”, “data governance”.
	•	CI04: met — Apresenta modelo e avaliação: “design science research project”, “demonstration… evaluation”.
	•	CI05: met — Texto em inglês.
	•	CE01: applies — Ausência de BPM explícito e transformação digital explícita coloca o estudo fora do escopo.
	•	CE02: not applicable — Contexto organizacional: redes colaborativas, logística.
	•	CE03: not applicable — Não é estudo secundário.
	•	CE04: not applicable — Informações suficientes no abstract.</t>
  </si>
  <si>
    <t>**Score: 0**
**Justification:**
- **CI01: Not met** — The abstract does not explicitly mention "Business Process Management" or "BPM." The study focuses on "inter-organizational business process governance (IO-BPG)" and references BPMN (Business Process Model and Notation), but neither term constitutes an explicit mention of Business Process Management. "Business process governance" is a related but distinct concept from BPM.
- **CI02: Not met** — The abstract does not explicitly mention "digital transformation," "digitalization," or "digital innovation." The study is framed around collaborative networks and governance modeling, without referencing any of the required terms.
- **CI03: Met** — The abstract explicitly references IT governance activities, data governance activities, and a BPMN extension — all of which involve concrete technological and software-system components. "IT performance measurement" and "data strategy management" further indicate explicit engagement with technology.
- **CI04: Met** — The study presents a BPMN extension including domain attributes, ontology, and design requirements, developed through design science research and demonstrated in logistics operations — constituting both a modeling artifact and an applied evaluation.
- **CI05: Met** — Title and abstract are written in English.
- **CE01–CE04: None clearly apply** — The study is related to process governance and IT in an organizational/networked business context, is a primary study, and provides sufficient information for assessment.
**Decisive factors:** CI01 and CI02 are not met. The absence of explicit references to "Business Process Management"/"BPM" and to digital transformation/digitalization is sufficient to assign **Score = 0**.</t>
  </si>
  <si>
    <t>Ribeiro, Vítor; Barata, João; Da Cunha, Paulo Rupino</t>
  </si>
  <si>
    <t>Modeling inter-organizational business process governance in the age of collaborative networks</t>
  </si>
  <si>
    <r>
      <rPr>
        <rFont val="Helvetica Neue"/>
        <color rgb="FF1155CC"/>
        <u/>
      </rPr>
      <t>https://link.springer.com/10.1007/s12525-024-00730-2</t>
    </r>
  </si>
  <si>
    <t>Abstract  Collaborative networks require inter-organizational business process governance (IO-BPG) mechanisms to define ownership over shared resources and activities, accountability over operations, inter-organizational roles and responsibilities, and strategic partner alignment. We developed an IO-BPG modeling approach aiming to incorporate (1) IT governance activities (e.g., IT performance measurement), (2) data governance activities (e.g., data strategy management), and (3) “shadow” parallel governance-related operations. Resulting from a design science research project, our contributions include the building blocks (domain attributes, ontology, and requirements) of a novel BPMN extension, its demonstration in logistics operations, its evaluation, and design principles to guide IO-BPG modeling. Suggestions for the development and evaluation of future BPMN extensions are also highlighted based on the lessons learned in this project. For practitioners, our contribution can improve accountability reports over data assets and operations, identify dataset ownership, assist in the coordination of governance activities in networked businesses, and comply with regulations and strategic partnership agreements.</t>
  </si>
  <si>
    <t>10.1007/s12525-024-00730-2</t>
  </si>
  <si>
    <t>Score: 0
Justification:
	•	CI01: not met — Não há menção explícita a BPM ou “Business Process Management”.
	•	CI02: not met — Não há menção explícita a transformação digital, digitalização ou inovação digital.
	•	CI03: not met — Não há menção explícita a tecnologias específicas (apenas “technological environment” genérico).
	•	CI04: met — Apresenta modelo e aplicação: “develops a reference model”, “demonstrated using two case applications”.
	•	CI05: met — Texto em inglês.
	•	CE01: applies — Ausência de BPM explícito, transformação digital e tecnologias específicas coloca o estudo fora do escopo.
	•	CE02: not applicable — Contexto organizacional: logística e supply chain.
	•	CE03: not applicable — Não é estudo secundário.
	•	CE04: not applicable — Informações suficientes no abstract.</t>
  </si>
  <si>
    <t>**Score: 0**
**Justification:**
- **CI01: Not met** — The abstract does not explicitly mention "Business Process Management" or "BPM." While "processes" and "process dimensions" are referenced in a logistics context, these do not constitute an explicit mention of Business Process Management as a discipline or the acronym BPM.
- **CI02: Not met** — The abstract does not explicitly mention "digital transformation," "digitalization," or "digital innovation." A reference to "a rapidly evolving technological environment" is too vague and does not satisfy the explicit requirement of CI02.
- **CI03: Not met** — The abstract does not explicitly name any specific technology (e.g., AI, RPA, process mining, big data, blockchain, IoT, or software systems). The phrase "potential technological interventions" is generic and does not constitute an explicit mention or application of a technology as required by CI03.
- **CI04: Met** — The study develops a reference model with seven process dimensions, validated through two purposive case applications — constituting a clear methodological and modeling contribution.
- **CI05: Met** — Title and abstract are written in English.
- **CE01–CE04: None clearly apply** — The study addresses logistics processes in an organizational/supply chain context, is a primary study, and provides sufficient information for assessment.
**Decisive factors:** CI01, CI02, and CI03 are not met → **Score = 0**.</t>
  </si>
  <si>
    <t>Bandaranayake, Namal; Kiridena, Senevi; Kulatunga, Asela K.; Dam, Hoa</t>
  </si>
  <si>
    <t>Analysing cross-border logistics operations for performance improvement: development and validation of a reference model</t>
  </si>
  <si>
    <r>
      <rPr>
        <rFont val="Helvetica Neue"/>
        <color rgb="FF1155CC"/>
        <u/>
      </rPr>
      <t>https://link.springer.com/10.1007/s12063-024-00519-8</t>
    </r>
  </si>
  <si>
    <t>1531-1552</t>
  </si>
  <si>
    <t>Abstract  The critical role played by cross-border logistics (CBL) systems in sustaining fast, efficient and responsive global supply chains is widely recognised. However, scholarly research focusing on CBL systems is limited, which means that theoretical frameworks and methodological approaches available for analysing and improving CBL operations are underdeveloped. As such, coordination among diverse stakeholders, meeting regulatory requirements, adapting to a rapidly evolving technological environment, and limited capacity for investing in high-value assets, all remain ongoing challenges hindering the smooth and swift flow of cargo across borders. With a view to addressing these challenges and research gaps, this paper develops a reference model for analysing and improving CBL-specific processes. Seven underlying process dimensions have been identified following a rigorous methodological approach for the modelling, analysis and improvement of CBL operations. The efficacy of the reference model is demonstrated using two purposive case applications. The reference model also helps identify potential technological interventions to improve operations and benchmark CBL systems, operations and processes.</t>
  </si>
  <si>
    <t>10.1007/s12063-024-00519-8</t>
  </si>
  <si>
    <t>Score: 0
Justification:
	•	CI01: not met — Não há menção explícita a BPM ou “Business Process Management”.
	•	CI02: met — Aborda transformação digital: “process of digital transformation”.
	•	CI03: met — Tecnologias explicitamente mencionadas: “Predictive Process Monitoring (PPM)”, “Process Mining (PM)”, “OCEL”.
	•	CI04: not met — Trata-se de estudo de revisão: “This survey aims to explore…”.
	•	CI05: met — Texto em inglês.
	•	CE01: not applicable — Relacionado a tecnologia e transformação digital.
	•	CE02: not applicable — Contexto organizacional implícito.
	•	CE03: applies — Explicitamente um survey (estudo secundário).
	•	CE04: not applicable — Informações suficientes no abstract.</t>
  </si>
  <si>
    <t>**Score: 0**
**Justification:**
- **CI01: Not met** — The abstract does not explicitly mention "Business Process Management" or "BPM." It references "Process Mining (PM)" and "Predictive Process Monitoring (PPM)," but neither constitutes an explicit mention of Business Process Management or the acronym BPM.
- **CI02: Met** — "Digital transformation" is explicitly referenced: "They play a crucial role in the continuously evolving process of digital transformation by constantly supporting the organizational decision-making processes."
- **CI03: Met** — Process Mining (PM) and Predictive Process Monitoring (PPM) are explicitly described as the central technologies examined, with specific methodological variants (Traditional vs. Object-Centric Event Logs) analyzed.
- **CI04: Not applicable (CE03 applies)** — The study is a survey of existing literature and does not present original primary research.
- **CI05: Met** — Title and abstract are written in English.
- **CE03: Applies** — The abstract explicitly identifies this as a survey: "This survey aims to explore the current proposals in the context of OCEL-based PPM approaches" and "We also analyzed the existing literature." This constitutes a secondary study (survey/literature review), directly triggering CE03.
**Decisive factors:** CI01 is not met, and CE03 explicitly applies (secondary study/survey). Either factor alone is sufficient to assign **Score = 0**.</t>
  </si>
  <si>
    <t>Fioretto, Simona; Masciari, Elio</t>
  </si>
  <si>
    <t>A comparative analysis of predictive process monitoring: object-centric versus classical event logs</t>
  </si>
  <si>
    <r>
      <rPr>
        <rFont val="Helvetica Neue"/>
        <color rgb="FF1155CC"/>
        <u/>
      </rPr>
      <t>https://link.springer.com/10.1007/s10115-025-02461-y</t>
    </r>
  </si>
  <si>
    <t>7355-7398</t>
  </si>
  <si>
    <t>Abstract  Predictive Process Monitoring (PPM) techniques are emerging as part of the more general research scenario of Process Mining (PM). They play a crucial role in the continuously evolving process of digital transformation by constantly supporting the organizational decision-making processes providing (accurate) predictions on the future behavior of processes. The state of the art of PPM application methodologies is mainly focused on Single ID Event Logs, commonly known as Traditional Event Logs or Classical Event Logs. As a matter of fact, the importance of Object-Centric Event Logs (OCEL) is being increasingly recognized as many emerging PPM approaches benefited of the usage of OCEL by obtaining a significative increase of the prediction accuracy. This survey aims to explore the current proposals in the context of OCEL-based PPM approaches. More in detail, we contribute to the state of the art by adding new classification features by differentiating between the approaches based on the input Event Log (Traditional or OCEL). We also analyzed the existing literature considering the prediction task addressed, the methodology used, the specific contribution area they addressed and the application domain.</t>
  </si>
  <si>
    <t>10.1007/s10115-025-02461-y</t>
  </si>
  <si>
    <t>Score: 1
Justification:
	•	CI01: met — Menciona explicitamente BPM: “business process management (BPM)”.
	•	CI02: met — Aborda transformação digital: “digital technologies”, “disruptive forces”, “technology trends”.
	•	CI03: met — Tecnologia explicitamente mencionada: “technology trends”, “digital technologies”.
	•	CI04: met — Apresenta método e avaliação: “proposing a method called the Five Diamond Method”, “design science research”, “pilot study and two real-world applications”.
	•	CI05: met — Texto em inglês.
	•	CE01: not applicable — Relacionado a BPM, transformação digital e tecnologias.
	•	CE02: not applicable — Contexto organizacional: “organizations”.
	•	CE03: not applicable — Não é estudo secundário.
	•	CE04: not applicable — Informações suficientes no abstract.</t>
  </si>
  <si>
    <t>**Score: 0**
**Justification:**
- **CI01: Met** — "Business process management (BPM)" is explicitly and repeatedly referenced: "Explorative business process management (BPM)," "explorative BPM," "BPM practitioners," and "broadens the scope of BPM."
- **CI02: Not met** — The abstract does not explicitly mention "digital transformation," "digitalization," or "digital innovation." While the abstract references "digital technologies" and "disruptive forces," these phrases do not match any of the three required terms. Per the evaluation rules, implicit associations are insufficient.
- **CI03: Not met** — The abstract references "digital technologies" and "technology trends" in general terms, but does not explicitly name any specific technology (e.g., AI, RPA, process mining, big data, blockchain, IoT, or software systems). The generic reference to "digital technologies" is too broad to satisfy CI03's requirement for explicit mention of concrete technologies.
- **CI04: Met** — The study proposes the Five Diamond Method, developed through design science research and situational method engineering, and evaluated against design objectives, practitioner data, a pilot study, and two real-world applications.
- **CI05: Met** — Title and abstract are written in English.
- **CE01–CE04: None apply** — The study is related to BPM in an organizational context, is a primary study, and provides sufficient information for assessment.
**Decisive factors:** CI02 and CI03 are not met. The absence of explicit references to digital transformation/digitalization and to specific technologies is sufficient to assign **Score = 0**.</t>
  </si>
  <si>
    <t>Grisold, Thomas; Groß, Steven; Stelzl, Katharina; Vom Brocke, Jan; Mendling, Jan; Röglinger, Maximilian; Rosemann, Michael</t>
  </si>
  <si>
    <t>The Five Diamond Method for Explorative Business Process Management</t>
  </si>
  <si>
    <r>
      <rPr>
        <rFont val="Helvetica Neue"/>
        <color rgb="FF1155CC"/>
        <u/>
      </rPr>
      <t>https://link.springer.com/10.1007/s12599-021-00703-1</t>
    </r>
  </si>
  <si>
    <t>149-166</t>
  </si>
  <si>
    <t>Abstract  Explorative business process management (BPM) is attracting increasing interest in the literature and professional practice. Organizations have recognized that a focus on operational efficiency is no longer sufficient when disruptive forces can make the value proposition of entire processes obsolete. So far, however, research on how to create entirely new processes has remained largely conceptual, leaving it open how explorative BPM can be put into practice. Following the design science research paradigm and situational method engineering, we address this research gap by proposing a method called the Five Diamond Method. This method guides explorative BPM activities by supporting organizations in identifying opportunities from business and technology trends and integrating them into business processes with novel value propositions. The method is evaluated against literature-backed design objectives and competing artifacts, qualitative data gathered from BPM practitioners, as well as a pilot study and two real-world applications. This research provides two contributions. First, the Five Diamond Method broadens the scope of BPM by integrating prescriptive knowledge from innovation management. Second, the method supports capturing emerging opportunities arising from changing customer needs and digital technologies.</t>
  </si>
  <si>
    <t>10.1007/s12599-021-00703-1</t>
  </si>
  <si>
    <t>Score: 0
Justification:
	•	CI01: not met — Não há menção explícita a BPM ou “Business Process Management”.
	•	CI02: met — Aborda transformação digital: “Fourth Industrial Revolution (Supply Chains 4.0)”, “Industry 4.0”.
	•	CI03: not met — Não há menção explícita a tecnologias específicas (AI, RPA, process mining, etc.).
	•	CI04: not met — Trata-se de framework conceitual sem validação empírica: “not based on empirical research”.
	•	CI05: met — Texto em inglês.
	•	CE01: applies — Ausência de BPM explícito e tecnologias específicas coloca o estudo fora do escopo.
	•	CE02: not applicable — Contexto organizacional: supply chains.
	•	CE03: not applicable — Não é revisão sistemática.
	•	CE04: not applicable — Informações suficientes no abstract.</t>
  </si>
  <si>
    <t>**Score: 0**
**Justification:**
- **CI01: Not met** — The abstract does not explicitly mention "Business Process Management" or "BPM." The study focuses on Project Management, supply chains, and the PMBOK framework, with no reference to Business Process Management as a discipline or acronym.
- **CI02: Not met** — The abstract does not explicitly mention "digital transformation," "digitalization," or "digital innovation." The study is framed within "Industry 4.0" and "Supply Chain 4.0," but none of the three required terms appear in the text. Per the evaluation rules, Industry 4.0 as an implicit proxy is insufficient.
- **CI03: Not met** — The abstract does not explicitly name any specific technology (e.g., AI, RPA, process mining, big data, blockchain, IoT, or software systems). The VOSviewer software is mentioned as a bibliometric analysis tool, not as a BPM or digital technology. References to "Industry 4.0 initiatives" are too generic to satisfy CI03.
- **CI04: Met** — The study proposes the SCPM 4.0 (Supply Chain Project Management 4.0), a conceptual framework combining Supply Chain 4.0 constructs with the ten knowledge areas of PMBOK — constituting a clear framework contribution.
- **CI05: Met** — Title and abstract are written in English.
- **CE01–CE04: None clearly apply** — The study is in an organizational/business context (supply chains, project management), is a primary conceptual study, and provides sufficient information for assessment.
**Decisive factors:** CI01, CI02, and CI03 are not met → **Score = 0**.</t>
  </si>
  <si>
    <t>Frederico, Guilherme F.</t>
  </si>
  <si>
    <t>Project Management for Supply Chains 4.0: A conceptual framework proposal based on PMBOK methodology</t>
  </si>
  <si>
    <r>
      <rPr>
        <rFont val="Helvetica Neue"/>
        <color rgb="FF1155CC"/>
        <u/>
      </rPr>
      <t>https://link.springer.com/10.1007/s12063-021-00204-0</t>
    </r>
  </si>
  <si>
    <t>434-450</t>
  </si>
  <si>
    <t>Abstract
This paper aims to present a conceptual framework for Project Management on supply chains in the context of the Fourth Industrial Revolution (Supply Chains 4.0), taking into consideration the gap that exists regarding this subject in the literature. An analysis of the literature, evidencing this gap has been conducted using the Web of Science and Google Scholar databases as well as the VOSviewer software for a deeper analysis. Although 39 related articles were identified, they are not specifically linked to the subject of Project Management methodology. Considering this significant gap, a conceptual framework has been proposed by combining some constructs of Supply Chain 4.0 with the ten knowledge areas of the PMBOK - Project Management Body of Knowledge framework. This conceptual framework is herein named Supply Chain Project Management 4.0 – SCPM 4.0. Although this conceptual framework is not based on empirical research, it brings a relevant contribution to both researchers and practitioners, since it is a unique approach concerning Project Management for supply chains in the Industry 4.0 age. Future empirical studies are needed to validate and improve the conceptual framework herein presented. This paper is novel, considering that it addresses a significant knowledge gap linked to Project Management for supply chains in the context of Industry 4.0. Moreover, it brings practical guidance for practitioners involved in programs and projects of Industry 4.0’s initiatives in supply chains. Notwithstanding, this article helps researchers on the deployments of future researches regarding Project Management in the Industry and Supply Chain 4.0 areas.</t>
  </si>
  <si>
    <t>10.1007/s12063-021-00204-0</t>
  </si>
  <si>
    <t>Score: 0
Justification:
	•	CI01: not met — Não há menção explícita a BPM ou “Business Process Management” (apenas “process management” genérico).
	•	CI02: not met — Não há menção explícita a transformação digital, digitalização ou inovação digital.
	•	CI03: not met — Não há menção explícita a tecnologias (AI, RPA, process mining, etc.).
	•	CI04: met — Apresenta estudo empírico: “quantitative approach… data from 154 respondents”.
	•	CI05: met — Texto em inglês.
	•	CE01: applies — Ausência de BPM explícito, transformação digital e tecnologias coloca o estudo fora do escopo.
	•	CE02: not applicable — Contexto organizacional: “organizations”.
	•	CE03: not applicable — Não é estudo secundário.
	•	CE04: not applicable — Informações suficientes no abstract.</t>
  </si>
  <si>
    <t>**Score: 0**
**Justification:**
- **CI01: Not met** — The abstract does not explicitly mention "Business Process Management" or "BPM." It references "process management" and "PM strategies," but "PM" here denotes generic process management, not Business Process Management as a discipline. The required term or acronym never appears.
- **CI02: Not met** — The abstract does not explicitly mention "digital transformation," "digitalization," or "digital innovation." A brief mention of "technological advances" appears only as a suggested future research moderator, which does not constitute the study addressing digitalization as a substantive theme.
- **CI03: Not met** — The abstract does not explicitly name any specific technology relevant to CI03 (AI, RPA, process mining, big data, blockchain, IoT, or software systems). Jamovi is referenced solely as a statistical analysis tool, not as a BPM or digital technology.
- **CI04: Met** — The study employs a quantitative approach with data from 154 respondents, analyzed via mediation analysis using Jamovi — constituting a structured empirical investigation with testable hypotheses.
- **CI05: Met** — Title and abstract are written in English.
- **CE01–CE04: None clearly apply** — The study is in an organizational/business context, is a primary empirical study, and provides sufficient information for assessment.
**Decisive factors:** CI01, CI02, and CI03 are not met → **Score = 0**.</t>
  </si>
  <si>
    <t>Yangailo, Tryson</t>
  </si>
  <si>
    <t>The mediating role of education and training in linking process management and product-service design</t>
  </si>
  <si>
    <r>
      <rPr>
        <rFont val="Helvetica Neue"/>
        <color rgb="FF1155CC"/>
        <u/>
      </rPr>
      <t>https://link.springer.com/10.1007/s43546-025-00917-5</t>
    </r>
  </si>
  <si>
    <t>Abstract
This study examines the relationship between process management and product-service design, focusing particularly on the mediating role of education and training. A quantitative approach was used to collect data from 154 TAZARA management respondents, which was then analyzed using Jamovi software. The results suggest that process management significantly impacts product-service design directly and indirectly through education and training. These findings contribute to theoretical perspectives by emphasizing the importance of structured learning in improving product-service design outcomes. The study extends human capital theory and dynamic capability perspectives. Practical insights suggest that organizations should integrate process management with continuous skill development to maintain a competitive advantage. Additionally, the study underscores the need for organizations to invest in employee training to optimize PM strategies and drive innovation. Future research could explore additional mediators or moderators, such as organizational culture or technological advances, to further refine the model.</t>
  </si>
  <si>
    <t>10.1007/s43546-025-00917-5</t>
  </si>
  <si>
    <t>**Score: 0**
**Justification:**
- **CI01: Met** — "Business process management (BPM)" is explicitly and repeatedly referenced: "business process management (BPM) to innovate internal operations," "BPM culture," and "BPM culture in public administration."
- **CI02: Not met** — The abstract does not explicitly mention "digital transformation," "digitalization," or "digital innovation." The phrase "innovate internal operations" refers to process innovation broadly, not to digital innovation or digitalization as defined by CI02.
- **CI03: Not met** — The abstract does not explicitly mention or apply any specific technology (e.g., AI, RPA, process mining, big data, blockchain, IoT, or software systems). The study focuses entirely on organizational culture, survey-based measurement, and statistical analysis.
- **CI04: Met** — The study conducts a quantitative empirical analysis using 733 online survey responses, analyzed through MANOVA and discriminant analyses, yielding findings on determinants of BPM culture in public administration.
- **CI05: Met** — Title and abstract are written in English.
- **CE01–CE04: None clearly apply** — The study is related to BPM in an organizational/public administration context, is a primary empirical study, and provides sufficient information for assessment.
**Decisive factors:** CI02 and CI03 are not met. The absence of explicit references to digital transformation/digitalization and to specific technologies is sufficient to assign **Score = 0**.</t>
  </si>
  <si>
    <t>Score: 0
Justification:
	•	CI01: met — Menciona explicitamente BPM: “business process management (BPM)”.
	•	CI02: not met — Não há menção explícita a transformação digital, digitalização ou inovação digital.
	•	CI03: not met — Não há menção explícita a tecnologias (AI, RPA, process mining, etc.).
	•	CI04: met — Apresenta estudo empírico: “733 online survey responses… analyzed using MANOVA”.
	•	CI05: met — Texto em inglês.
	•	CE01: applies — Ausência de transformação digital e tecnologias explícitas coloca o estudo fora do escopo.
	•	CE02: not applicable — Contexto organizacional: administração pública.
	•	CE03: not applicable — Não é estudo secundário.
	•	CE04: not applicable — Informações suficientes no abstract.</t>
  </si>
  <si>
    <t>Kregel, Ingo; Distel, Bettina; Coners, André</t>
  </si>
  <si>
    <t>Business Process Management Culture in Public Administration and Its Determinants</t>
  </si>
  <si>
    <r>
      <rPr>
        <rFont val="Helvetica Neue"/>
        <color rgb="FF1155CC"/>
        <u/>
      </rPr>
      <t>https://link.springer.com/10.1007/s12599-021-00713-z</t>
    </r>
  </si>
  <si>
    <t>201-221</t>
  </si>
  <si>
    <t>Abstract  Public administration institutions increasingly use business process management (BPM) to innovate internal operations, increase process performance and improve their services. Research on private sector companies has shown that organizational culture may impact an organization's BPM and this culture is often referred to as BPM culture. However, similar research on public administration is yet missing. Thus, this article assesses BPM culture in Germany’s municipal administration. 733 online survey responses were gathered and analyzed using MANOVA and follow-up discriminant analyses to identify possible determinants of public administration’s BPM culture. The results indicate that the employees’ professional experience and their responsibility influence the assessment of BPM culture, as does the size of a municipality. Based on these findings, the article proposes testable relationships and an agenda for further research on BPM culture in public administration.</t>
  </si>
  <si>
    <t>10.1007/s12599-021-00713-z</t>
  </si>
  <si>
    <t>Score: 0
Justification:
	•	CI01: not met — Não há evidência explícita de BPM (sem abstract para confirmar).
	•	CI02: not met — Não há evidência explícita de transformação digital.
	•	CI03: not met — Não há evidência de tecnologias.
	•	CI04: not met — Não há informações sobre método, modelo ou análise.
	•	CI05: met — Título em inglês.
	•	CE01: not applicable — Não é possível confirmar relação com o escopo.
	•	CE02: not applicable — Não há informação suficiente.
	•	CE03: not applicable — Não há informação suficiente.
	•	CE04: applies — “without abstract” → informação insuficiente para avaliação.</t>
  </si>
  <si>
    <t>**Score: 0**
**Justification:**
- **CI01: Not assessable** — The title references "Business Processes" but does not explicitly include "Business Process Management" or "BPM." Without an abstract, it cannot be confirmed whether the study addresses BPM as a discipline.
- **CI02: Not assessable** — The title provides no indication of digital transformation, digitalization, or digital innovation. Without an abstract, this criterion cannot be evaluated.
- **CI03: Not assessable** — The title makes no reference to any specific technology. Without an abstract, this criterion cannot be evaluated.
- **CI04: Not assessable** — The title alone does not clarify whether the study presents an application, framework, model, method, or empirical analysis.
- **CI05: Not assessable** — The title is in English, but the absence of an abstract prevents full confirmation.
- **CE04: Applies** — The study does not provide enough information in the title or abstract to assess relevance. The abstract is explicitly absent, making it impossible to evaluate the majority of inclusion criteria with confidence.
**Decisive factor:** CE04 directly applies — the absence of an abstract means there is insufficient information to assess most criteria → **Score = 0**.</t>
  </si>
  <si>
    <t>Grisold, Thomas; Janiesch, Christian; Röglinger, Maximilian; Wynn, Moe Thandar</t>
  </si>
  <si>
    <t>Managing Dynamics in and Around Business Processes</t>
  </si>
  <si>
    <r>
      <rPr>
        <rFont val="Helvetica Neue"/>
        <color rgb="FF1155CC"/>
        <u/>
      </rPr>
      <t>https://link.springer.com/10.1007/s12599-024-00895-2</t>
    </r>
  </si>
  <si>
    <t>533-540</t>
  </si>
  <si>
    <t>10.1007/s12599-024-00895-2</t>
  </si>
  <si>
    <t>Score: 1
Justification:
	•	CI01: met — Menciona explicitamente BPM: “business process management”.
	•	CI02: met — Aborda transformação digital: “latest developments in generative artificial intelligence”, “process execution data”, indicando digitalização de processos.
	•	CI03: met — Tecnologias explicitamente mencionadas: “generative artificial intelligence”, “retrieval-augmented generation (RAG)”.
	•	CI04: met — Apresenta método, sistema e avaliação: “develop… system architecture”, “software prototype”, “evaluating… in a workshop setting”.
	•	CI05: met — Texto em inglês.
	•	CE01: not applicable — Relacionado a BPM, transformação digital e tecnologias.
	•	CE02: not applicable — Contexto organizacional: “organizations”, “BPI initiatives”.
	•	CE03: not applicable — Não é estudo secundário.
	•	CE04: not applicable — Informações suficientes no abstract.</t>
  </si>
  <si>
    <t>**Score: 0**
**Justification:**
- **CI01: Met** — "Business process management" is explicitly mentioned: "Business process improvement (BPI) is a crucial value-adding stage of business process management."
- **CI02: Not met** — The abstract does not explicitly mention "digital transformation," "digitalization," or "digital innovation." References to "process improvement and innovation systems (PIISs)" and "process innovation" are domain-specific terms distinct from the three required by CI02. Per the evaluation rules, implicit associations with digital contexts are insufficient.
- **CI03: Met** — Generative artificial intelligence (AI) and retrieval-augmented generation (RAG) are explicitly named and applied as the core technologies underpinning the Process Improvement Copilot. A software prototype is also developed and evaluated.
- **CI04: Met** — The study presents a novel technical artifact — the Process Improvement Copilot — including a RAG-based system architecture, a software prototype, and a naturalistic workshop evaluation, constituting both a design and empirical contribution.
- **CI05: Met** — Title and abstract are written in English.
- **CE01–CE04: None clearly apply** — The study is related to BPM and AI technology in an organizational context, is a primary study, and provides sufficient information for assessment.
**Decisive factor:** CI02 is not met. The absence of any explicit reference to digital transformation, digitalization, or digital innovation is sufficient to assign **Score = 0**.</t>
  </si>
  <si>
    <t>Smalei, Uladzimir; Kecht, Christoph; Kratsch, Wolfgang; Röglinger, Maximilian</t>
  </si>
  <si>
    <t>Process Improvement Copilot: bridging the gap between process inefficiencies and process improvement ideas</t>
  </si>
  <si>
    <r>
      <rPr>
        <rFont val="Helvetica Neue"/>
        <color rgb="FF1155CC"/>
        <u/>
      </rPr>
      <t>https://link.springer.com/10.1007/s44311-025-00028-2</t>
    </r>
  </si>
  <si>
    <t>Abstract
Business process improvement (BPI) is a crucial value-adding stage of business process management, as it introduces process changes to eliminate flaws and enhance performance. However, the inherent demands of BPI on domain knowledge, process expertise, time, and creativity in conjunction with a scarcity of adequate computational support, hinder organizations from fully leveraging BPI. Recognizing this gap, recent research calls for all types of contributions to process improvement and innovation systems (PIISs), from design knowledge to software artifacts. Leveraging the latest developments in generative artificial intelligence, increased availability of process execution data, and extensive collections of BPI knowledge, we propose a new technical approach to supporting the generation of process improvement ideas in BPI initiatives. To this end, we develop the Process Improvement Copilot – a retrieval-augmented generation (RAG)-enhanced PIIS that generates context-specific process improvement ideas and provides related justification, thereby facilitating their further evaluation and implementation. This research contributes a novel technical approach to automated BPI by exploring a RAG-based use case, designing a corresponding system architecture, developing a software prototype to demonstrate its technical feasibility, and evaluating the Process Improvement Copilot’s usefulness in a naturalistic workshop setting.</t>
  </si>
  <si>
    <t>10.1007/s44311-025-00028-2</t>
  </si>
  <si>
    <t>Score: 0
Justification:
	•	CI01: met — Menciona explicitamente BPM: “Business process management entails…”.
	•	CI02: not met — Não há menção explícita a transformação digital, digitalização ou inovação digital.
	•	CI03: not met — Não há menção explícita a tecnologias específicas (AI, RPA, process mining, etc.; apenas “tools” genérico).
	•	CI04: met — Apresenta estudo empírico: “25,866 business process models… GitHub”.
	•	CI05: met — Texto em inglês.
	•	CE01: applies — Ausência de transformação digital e tecnologias específicas coloca o estudo fora do escopo.
	•	CE02: not applicable — Contexto organizacional e técnico.
	•	CE03: not applicable — Não é estudo secundário.
	•	CE04: not applicable — Informações suficientes no abstract.</t>
  </si>
  <si>
    <t>**Score: 0**
**Justification:**
- **CI01: Met** — "Business process management" is explicitly mentioned at the outset: "Business process management entails a multi-billion-dollar industry that is founded on modeling business processes to analyze, understand, improve, and automate them."
- **CI02: Not met** — The abstract does not explicitly mention "digital transformation," "digitalization," or "digital innovation." The study focuses on characterizing business process models on GitHub, with no framing in a digital transformation context. Per the evaluation rules, references to domains such as "machine learning" or "traditional software" do not substitute for the required terms.
- **CI03: Met** — Machine learning is explicitly referenced as an application domain, and the study identifies at least 28 different tools used for process modeling — constituting explicit mentions of technologies within the study's scope.
- **CI04: Met** — The study presents the first large-scale empirical characterization of business process models in open source, analyzing 25,866 models across 4,954 GitHub repositories, including a structured analysis of cloning patterns across domains and repository types.
- **CI05: Met** — Title and abstract are written in English.
- **CE01–CE04: None clearly apply** — The study is related to BPM and modeling tools in an organizational/technical context, is a primary empirical study, and provides sufficient information for assessment.
**Decisive factor:** CI02 is not met. The absence of any explicit reference to digital transformation, digitalization, or digital innovation is sufficient to assign **Score = 0**.</t>
  </si>
  <si>
    <t>Saeedi Nikoo, Mahdi; Kochanthara, Sangeeth; Babur, Önder; van den Brand, Mark</t>
  </si>
  <si>
    <t>An empirical study of business process models and model clones on GitHub</t>
  </si>
  <si>
    <r>
      <rPr>
        <rFont val="Helvetica Neue"/>
        <color rgb="FF1155CC"/>
        <u/>
      </rPr>
      <t>https://link.springer.com/10.1007/s10664-024-10584-z</t>
    </r>
  </si>
  <si>
    <t xml:space="preserve">Abstract
Business process management entails a multi-billion-dollar industry that is founded on modeling business processes to analyze, understand, improve, and automate them. Business processes consist of a set of interconnected activities that an organization follows to achieve its goals and objectives. While the existence of business process models in open source has been reported in the literature, there is little work in characterizing their landscape. This paper presents the first characterization of business process models in open source, particularly on GitHub. The landscape is formed by 25,866 business process models across 4,954 repositories, with 16% of the repositories belonging to organizations. We discover that models belong to at least 16 domains including traditional software, machine learning, sales, business services, and financial services. These models are created using at least 28 different tools. Our exploration into cloning among the models shows that about 90% of all models are clones of each other. Application domains such as machine learning, traditional software, and business services demonstrate a higher occurrence of clones while in another dimension, clones are found across more repositories owned by industry as compared to those owned by academia. Also, contrary to code clones, we find that the majority of process model cloning occurs across multiple repositories. While our study acts as a precursor for future efforts to develop effective modeling practices in the field of business processes, it also emphasizes the need to address cloning and its implications in the context of reuse, maintenance, and modeling approaches.
</t>
  </si>
  <si>
    <t>10.1007/s10664-024-10584-z</t>
  </si>
  <si>
    <t>Score: 0
Justification:
	•	CI01: not met — Não há menção explícita a BPM ou “Business Process Management”.
	•	CI02: not met — Não há menção explícita a transformação digital, digitalização ou inovação digital.
	•	CI03: met — Tecnologia explicitamente mencionada: “process mining techniques”, “process discovery”.
	•	CI04: met — Apresenta estudo empírico: “case study… real-world application in the healthcare domain”.
	•	CI05: met — Texto em inglês.
	•	CE01: applies — Ausência de BPM explícito e transformação digital explícita coloca o estudo fora do escopo.
	•	CE02: not applicable — Contexto organizacional (healthcare).
	•	CE03: not applicable — Não é estudo secundário.
	•	CE04: not applicable — Informações suficientes no abstract.</t>
  </si>
  <si>
    <t>**Score: 0**
**Justification:**
- **CI01: Not met** — The abstract does not explicitly mention "Business Process Management" or "BPM." It references "process mining," "process discovery," and "process analysts," but none of these constitute an explicit mention of Business Process Management as a discipline or the acronym BPM.
- **CI02: Not met** — The abstract does not explicitly mention "digital transformation," "digitalization," or "digital innovation." The study focuses on interactive process mining techniques applied to healthcare, without any framing in a digital transformation context.
- **CI03: Met** — Process mining and process discovery are explicitly identified as the central technologies. "Hybrid intelligence" (combining domain knowledge with automated process mining techniques) is also explicitly referenced as an emerging research direction.
- **CI04: Met** — The study presents a real-world case study applying incremental and interactive process discovery techniques in the healthcare domain, demonstrating their practical effectiveness — constituting an applied empirical contribution.
- **CI05: Met** — Title and abstract are written in English.
- **CE01–CE04: None clearly apply** — The study is related to process mining technology in an organizational (healthcare) context, is a primary study, and provides sufficient information for assessment.
**Decisive factors:** CI01 and CI02 are not met. The absence of explicit references to "Business Process Management"/"BPM" and to digital transformation/digitalization is sufficient to assign **Score = 0**.</t>
  </si>
  <si>
    <t>Schuster, Daniel; Benevento, Elisabetta; Aloini, Davide; Van Der Aalst, Wil M. P.</t>
  </si>
  <si>
    <t>Analyzing Healthcare Processes with Incremental Process Discovery: Practical Insights from a Real-World Application</t>
  </si>
  <si>
    <r>
      <rPr>
        <rFont val="Helvetica Neue"/>
        <color rgb="FF1155CC"/>
        <u/>
      </rPr>
      <t>https://link.springer.com/10.1007/s41666-024-00165-6</t>
    </r>
  </si>
  <si>
    <t>523-554</t>
  </si>
  <si>
    <t>Abstract  Most process mining techniques are primarily automated, meaning that process analysts input information and receive output. As a result, process mining techniques function like black boxes with limited interaction options for analysts, such as simple sliders for filtering infrequent behavior. Recent research tries to break these black boxes by allowing process analysts to provide domain knowledge and guidance to process mining techniques, i.e., hybrid intelligence. Especially, in process discovery—a critical type of process mining—interactive approaches emerged. However, little research has investigated the practical application of such interactive approaches. This paper presents a case study focusing on using incremental and interactive process discovery techniques in the healthcare domain. Though healthcare presents unique challenges, such as high process execution variability and poor data quality, our case study demonstrates that an interactive process mining approach can effectively address these challenges.  Graphical Abstract</t>
  </si>
  <si>
    <t>10.1007/s41666-024-00165-6</t>
  </si>
  <si>
    <t>Score: 0
Justification:
	•	CI01: not met — Não há menção explícita a BPM ou “Business Process Management”.
	•	CI02: not met — Não há menção explícita a transformação digital, digitalização ou inovação digital.
	•	CI03: not met — Não há menção explícita a tecnologias (AI, RPA, process mining, etc.).
	•	CI04: met — Apresenta framework e validação: “presents a framework… validated… real case study”.
	•	CI05: met — Texto em inglês.
	•	CE01: applies — Ausência de BPM, transformação digital e tecnologias coloca o estudo fora do escopo.
	•	CE02: not applicable — Contexto organizacional: SMEs.
	•	CE03: not applicable — Não é estudo secundário.
	•	CE04: not applicable — Informações suficientes no abstract.</t>
  </si>
  <si>
    <t>**Score: 0**
**Justification:**
- **CI01: Not met** — The abstract does not explicitly mention "Business Process Management" or "BPM." It references "management practices and processes" and "formalised processes" in the context of service management, but neither constitutes an explicit mention of Business Process Management or the acronym BPM.
- **CI02: Not met** — The abstract does not explicitly mention "digital transformation," "digitalization," or "digital innovation." The need to "adapt and innovate" is referenced in a general organizational sense, without any connection to digital transformation as defined by CI02.
- **CI03: Not met** — The abstract does not explicitly name any specific technology (e.g., AI, RPA, process mining, big data, blockchain, IoT, or software systems). The framework is based on "international standards and main models for service management," which are methodological references, not technologies.
- **CI04: Met** — The study presents a service management evaluation framework, grounded in international standards, validated through application to a real case study — constituting a clear methodological and applied contribution.
- **CI05: Met** — Title and abstract are written in English.
- **CE01–CE04: None clearly apply** — The study is in an organizational/business (SME) context, is a primary study, and provides sufficient information for assessment.
**Decisive factors:** CI01, CI02, and CI03 are not met → **Score = 0**.</t>
  </si>
  <si>
    <t>Feversani, Daniela Patricia; De Castro, Valeria; Marcos, Esperanza; Piattini, Mario G.; Martín-Peña, María Luz</t>
  </si>
  <si>
    <t>Towards a lightweight framework for service management evaluation in SMEs</t>
  </si>
  <si>
    <r>
      <rPr>
        <rFont val="Helvetica Neue"/>
        <color rgb="FF1155CC"/>
        <u/>
      </rPr>
      <t>https://link.springer.com/10.1007/s10257-022-00576-1</t>
    </r>
  </si>
  <si>
    <t>81-122</t>
  </si>
  <si>
    <t>Abstract  Small and Medium-sized Enterprises (SMEs) are currently immersed in Volatility, Uncertainty, Complexity and Ambiguity (VUCA) environments and need to adapt and innovate both their services and their management practices and processes. Unfortunately, models and standards for service management are focused on large organisations, therefore, their application in SMEs is expensive and, generally, unfeasible. In order to contribute to the sustained success and development of SMEs, this paper presents a framework for service management evaluation. The objective of this framework, which is based on international standards and the main models for service management, is to be a roadmap containing well-defined and formalised processes that helps SMEs to improve the quality of their customer services. The proposal is validated in this work by means of its application to a real case study.</t>
  </si>
  <si>
    <t>10.1007/s10257-022-00576-1</t>
  </si>
  <si>
    <t>Score: 0
Justification:
	•	CI01: met — Menciona explicitamente BPM: “business process management (BPM)”.
	•	CI02: not met — Não há menção explícita a transformação digital, digitalização ou inovação digital.
	•	CI03: not met — Não há menção explícita a tecnologias (AI, RPA, process mining, etc.).
	•	CI04: met — Apresenta método e avaliação: “developing and evaluating the… CAMAS Method”, “design science paradigm”.
	•	CI05: met — Texto em inglês.
	•	CE01: applies — Ausência de transformação digital e tecnologias explícitas coloca o estudo fora do escopo.
	•	CE02: not applicable — Contexto organizacional.
	•	CE03: not applicable — Não é estudo secundário.
	•	CE04: not applicable — Informações suficientes no abstract.</t>
  </si>
  <si>
    <t>**Score: 0**
**Justification:**
- **CI01: Met** — "Business process management (BPM)" is explicitly and extensively referenced throughout: "business process management (BPM)," "BPM context factors," "BPM methods," "BPM lifecycle," "BPM method design," and "explorative BPM."
- **CI02: Not met** — The abstract does not explicitly mention "digital transformation," "digitalization," or "digital innovation." The study focuses on context awareness in BPM method selection across the BPM lifecycle, without framing the work within a digital transformation context.
- **CI03: Not met** — The abstract does not explicitly mention or apply any specific technology (e.g., AI, RPA, process mining, big data, blockchain, IoT, or software systems). The study addresses BPM methods and context factors at a methodological level, without referencing concrete enabling technologies.
- **CI04: Met** — The study develops and evaluates the CAMAS (Context-Aware BPM Method Assessment and Selection) Method following the design science paradigm — constituting a clear methodological artifact contribution.
- **CI05: Met** — Title and abstract are written in English.
- **CE01–CE04: None clearly apply** — The study is related to BPM in an organizational context, is a primary study, and provides sufficient information for assessment.
**Decisive factors:** CI02 and CI03 are not met. The absence of explicit references to digital transformation/digitalization and to specific technologies is sufficient to assign **Score = 0**.</t>
  </si>
  <si>
    <t>Vom Brocke, Jan; Baier, Marie-Sophie; Schmiedel, Theresa; Stelzl, Katharina; Röglinger, Maximilian; Wehking, Charlotte</t>
  </si>
  <si>
    <t>Context-Aware Business Process Management: Method Assessment and Selection</t>
  </si>
  <si>
    <r>
      <rPr>
        <rFont val="Helvetica Neue"/>
        <color rgb="FF1155CC"/>
        <u/>
      </rPr>
      <t>https://link.springer.com/10.1007/s12599-021-00685-0</t>
    </r>
  </si>
  <si>
    <t>533-550</t>
  </si>
  <si>
    <t>Abstract  Context awareness is essential for successful business process management (BPM). So far, research has covered relevant BPM context factors and context-aware process design, but little is known about how to assess and select BPM methods in a context-aware manner. As BPM methods are involved in all stages of the BPM lifecycle, it is key to apply appropriate methods to efficiently use organizational resources. Following the design science paradigm, the study at hand addresses this gap by developing and evaluating the Context-Aware BPM Method Assessment and Selection (CAMAS) Method. This method assists method engineers in assessing in which contexts their BPM methods can be applied and method users in selecting appropriate BPM methods for given contexts. The findings of this study call for more context awareness in BPM method design and for a stronger focus on explorative BPM. They also provide insights into the status quo of existing BPM methods.</t>
  </si>
  <si>
    <t>10.1007/s12599-021-00685-0</t>
  </si>
  <si>
    <t>Score: 0
Justification:
        •        CI01: met — Menciona BPM: “Business Process Modeling (BPM)”.
        •        CI02: not met — Não há menção explícita a transformação digital, digitalização ou inovação digital.
        •        CI03: met — Tecnologia mencionada: “decision learning algorithm”, “automation process”.
        •        CI04: met — Apresenta proposta de sistema/modelo: “proposed Secured Business Process (SecBP) system”.
        •        CI05: met — Texto em inglês.
        •        CE01: applies — Ausência de transformação digital explícita coloca o estudo fora do escopo.
        •        CE02: not applicable — Contexto organizacional/técnico.
        •        CE03: not applicable — Não é estudo secundário.
        •        CE04: not applicable — Informações suficientes no abstract.</t>
  </si>
  <si>
    <t>**Score: 0**
**Justification:**
- **CI01: Not met** — Although the acronym "BPM" appears in the abstract, it is explicitly defined as "Business Process Modeling (BPM)" — not "Business Process Management." The criterion requires an explicit mention of Business Process Management or its acronym in that specific sense. Using BPM to denote a different concept does not satisfy CI01.
- **CI02: Not met** — The abstract does not explicitly mention "digital transformation," "digitalization," or "digital innovation." The study focuses on secure process model generation within software engineering, without any framing in a digital transformation context.
- **CI03: Met** — A "decision learning algorithm" is explicitly mentioned and applied for security integration optimization, constituting an explicit reference to an AI/ML-based technology. Software automation and image-to-text conversion mechanisms are also referenced.
- **CI04: Met** — The study proposes the Secured Business Process (SecBP) system — a concrete automated artifact for incorporating security requirements into the software design process, constituting an applied system contribution.
- **CI05: Met** — Title and abstract are written in English.
- **CE01–CE04: None clearly apply** — The study is in a software engineering/organizational context, is a primary study, and provides sufficient information for assessment.
**Decisive factors:** CI01 and CI02 are not met. "BPM" in the abstract refers to "Business Process Modeling" rather than "Business Process Management," and no explicit reference to digital transformation/digitalization appears → **Score = 0**.</t>
  </si>
  <si>
    <t>Mythily, M.; Saha, Sanchari; Selvam, Sudhakar; Swamidason, Iwin Thanakumar Joseph</t>
  </si>
  <si>
    <t>BPM supported model generation by contemplating key elements of information security</t>
  </si>
  <si>
    <r>
      <rPr>
        <rFont val="Helvetica Neue"/>
        <color rgb="FF1155CC"/>
        <u/>
      </rPr>
      <t>https://link.springer.com/10.1007/s10515-022-00321-5</t>
    </r>
  </si>
  <si>
    <t xml:space="preserve">Abstract
Model-based software engineering has made great strides in developing new software that would outshine traditional methodology. Due to this, well-defined support has been provided for process modeling by the introduction of varieties of notations to develop the UML models. In addition to this, Business Process Modeling (BPM) is a pioneer in introducing process models with domain knowledge representation. Most of the software has similarities based on their operations, structures, validation, and so on. So, an automatic process involvement supports them in terms of cost and duration. This proposed secure Business Process Model will support the development phase and help incorporate the security code along with customer requirements. The proposed Secured Business Process (SecBP) system is an automation process to fine-tune the software engineering design process automatically. Security requirement incorporation requires an image to text and vice versa conversion at the early stages of the software design process. The security integration process is optimized by a decision learning algorithm. Hence the proposed system brings an output model as a domain-specific model with security mapping.
</t>
  </si>
  <si>
    <t>10.1007/s10515-022-00321-5</t>
  </si>
  <si>
    <t>Score: 0
Justification:
	•	CI01: not met — Não há menção explícita a BPM ou “Business Process Management”.
	•	CI02: not met — Não há menção explícita a transformação digital, digitalização ou inovação digital.
	•	CI03: met — Menciona tecnologias de forma geral: “digital tools (M&amp;DT)”.
	•	CI04: met — Apresenta método e validação: “developing a catalog… three-phase approach… survey and expert interviews… tested in an industrial use case”.
	•	CI05: met — Texto em inglês.
	•	CE01: applies — Ausência de BPM explícito e transformação digital explícita coloca o estudo fora do escopo.
	•	CE02: not applicable — Contexto organizacional: manufatura.
	•	CE03: not applicable — Não é estudo secundário.
	•	CE04: not applicable — Informações suficientes no abstract.</t>
  </si>
  <si>
    <t>**Score: 0**
**Justification:**
- **CI01: Not met** — The abstract does not explicitly mention "Business Process Management" or "BPM." The study focuses on Manufacturing Change Management (MCM), which is a distinct management discipline from BPM.
- **CI02: Not met** — The abstract does not explicitly mention "digital transformation," "digitalization," or "digital innovation." While "digital tools" and "digital support" are referenced, these terms describe the study's subject matter rather than constituting explicit engagement with digital transformation or digitalization as broader concepts. Per the evaluation rules, this distinction is insufficient.
- **CI03: Not met** — The abstract does not explicitly name any specific technology (e.g., AI, RPA, process mining, big data, blockchain, IoT, or software systems). The reference to "methods and digital tools (M&amp;DT)" is generic and does not identify any concrete technology by name.
- **CI04: Met** — The study develops a catalog and descriptive framework for methods and digital tools in MCM, derived through literature review, an online survey, and expert interviews, validated through an industrial use case — constituting a structured methodological contribution.
- **CI05: Met** — Title and abstract are written in English.
- **CE01–CE04: None clearly apply** — The study is in an organizational/manufacturing context, is a primary study, and provides sufficient information for assessment.
**Decisive factors:** CI01, CI02, and CI03 are not met → **Score = 0**.</t>
  </si>
  <si>
    <t>Rammo, Jan-Philipp; Agyekum, Ellen; Perez, Olaya; Zaeh, Michael F.</t>
  </si>
  <si>
    <t>Development of a catalog and a description model for methods and digital tools in Manufacturing Change Management</t>
  </si>
  <si>
    <r>
      <rPr>
        <rFont val="Helvetica Neue"/>
        <color rgb="FF1155CC"/>
        <u/>
      </rPr>
      <t>https://link.springer.com/10.1007/s11740-025-01343-0</t>
    </r>
  </si>
  <si>
    <t>833-853</t>
  </si>
  <si>
    <t>Abstract  Today’s manufacturing industry faces numerous complex challenges, requiring companies to continuously adapt to external influences like supply chain disruptions, energy shortages, and skilled-labor deficits. Addressing these challenges often necessitates Manufacturing Changes (MCs), managed systematically through Manufacturing Change Management (MCM). Despite MCM’s growing importance, studies reveal significant gaps in the methodical and digital support for MCM processes, leading to inefficient and ineffective MCs. To address this challenge, this paper focuses on developing a catalog of methods and digital tools (M&amp;DT) for MCM, structured with descriptive attributes to enhance the selection and application of M&amp;DT in response to specific MCs. The catalog was developed through a three-phase approach, with attributes derived from the literature, an online survey, and expert interviews. The catalog and the associated descriptive framework were tested in a first industrial use case. In conclusion, the catalog developed in this contribution aims to guide companies in selecting suitable M&amp;DT for specific use cases based on their individual requirements.</t>
  </si>
  <si>
    <t>10.1007/s11740-025-01343-0</t>
  </si>
  <si>
    <t>Score: 0
Justification:
	•	CI01: met — Menciona explicitamente BPM: “Business process management (BPM)”.
	•	CI02: not met — Não há menção explícita a transformação digital, digitalização ou inovação digital.
	•	CI03: not met — Não há menção explícita a tecnologias específicas (apenas “simulation tool” genérico).
	•	CI04: met — Apresenta estudo empírico: “case study… simulation tool… results obtained”.
	•	CI05: met — Texto em inglês.
	•	CE01: applies — Ausência de transformação digital e tecnologias explícitas coloca o estudo fora do escopo.
	•	CE02: not applicable — Contexto organizacional: IT service management.
	•	CE03: not applicable — Não é estudo secundário.
	•	CE04: not applicable — Informações suficientes no abstract.</t>
  </si>
  <si>
    <t>**Score: 0**
**Justification:**
- **CI01: Met** — "Business process management (BPM)" is explicitly mentioned: "how Business process management (BPM) can be applied for the improvement of Information Technology service management (ITSM) processes."
- **CI02: Not met** — The abstract does not explicitly mention "digital transformation," "digitalization," or "digital innovation." The study focuses on IT service management and incident management process improvement, without framing the work within a digital transformation context.
- **CI03: Met** — Technology is explicitly referenced through "activity automation," "integral technology" (identified as a best practice), and a "simulation tool for business processes" — the latter qualifying as a software system explicitly applied in the study.
- **CI04: Met** — The study conducts a case study on incident management, applies a business process simulation tool, identifies three best practices, and reports quantitative results (10.7% reduction in average processing time) — constituting an applied empirical analysis.
- **CI05: Met** — Title and abstract are written in English.
- **CE01–CE04: None clearly apply** — The study is related to BPM and technology in an organizational/IT service management context, is a primary study, and provides sufficient information for assessment.
**Decisive factor:** CI02 is not met. The absence of any explicit reference to digital transformation, digitalization, or digital innovation is sufficient to assign **Score = 0**.</t>
  </si>
  <si>
    <t>Pereira, Rúben; De Vasconcelos, José Braga; Rocha, Álvaro; Bianchi, Isaías Scalabrin</t>
  </si>
  <si>
    <t>Business process management heuristics in IT service management: a case study for incident management</t>
  </si>
  <si>
    <r>
      <rPr>
        <rFont val="Helvetica Neue"/>
        <color rgb="FF1155CC"/>
        <u/>
      </rPr>
      <t>https://link.springer.com/10.1007/s10588-021-09331-2</t>
    </r>
  </si>
  <si>
    <t>264-301</t>
  </si>
  <si>
    <t xml:space="preserve">Abstract
This research aims to understand how Business process management (BPM) can be applied for the improvement of Information Technology service management (ITSM) processes. A case study is conducted for the improvement of the time performance of the incident management process, since it is pointed as a quick win for ITSM. The results obtained identified three best practices—activity automation, activity elimination and integral technology—as the best suited for the improvement of the time performance of the incident management process. Using a simulation tool for business processes, it was revealed that the employment of these best practices in the analysed incident management process eliminates the effort required in the 1st support level and reduces in 10.7% the average processing time in the 2nd support level.
</t>
  </si>
  <si>
    <t>10.1007/s10588-021-09331-2</t>
  </si>
  <si>
    <t>Score: 0
Justification:
	•	CI01: met — Menciona explicitamente BPM: “business process management (BPM)”.
	•	CI02: not met — Não há menção explícita a transformação digital, digitalização ou inovação digital.
	•	CI03: not met — Não há menção explícita a tecnologias (AI, RPA, process mining, etc.).
	•	CI04: met — Apresenta estudo empírico: “ten case organizations… survey with 403 managers”.
	•	CI05: met — Texto em inglês.
	•	CE01: applies — Ausência de transformação digital e tecnologias explícitas coloca o estudo fora do escopo.
	•	CE02: not applicable — Contexto organizacional.
	•	CE03: not applicable — Não é estudo secundário.
	•	CE04: not applicable — Informações suficientes no abstract.</t>
  </si>
  <si>
    <t>**Score: 0**
**Justification:**
- **CI01: Met** — "Business process management (BPM)" is explicitly referenced: "the intersection between business process management (BPM) and human resource management (HRM)" and "BPM-specific capabilities."
- **CI02: Not met** — The abstract does not explicitly mention "digital transformation," "digitalization," or "digital innovation." The study focuses on the intersection of BPM and HRM through appraisals and rewards, without any framing in a digital transformation context.
- **CI03: Not met** — The abstract does not explicitly mention or apply any specific technology (e.g., AI, RPA, process mining, big data, blockchain, IoT, or software systems). The study is entirely focused on organizational and human factors in BPM performance.
- **CI04: Met** — The study follows a mixed-method design combining case studies from 10 organizations and a survey of 403 managers, producing a POAR-based process performance model — constituting both empirical analysis and a model contribution.
- **CI05: Met** — Title and abstract are written in English.
- **CE01–CE04: None clearly apply** — The study is related to BPM in an organizational context, is a primary empirical study, and provides sufficient information for assessment.
**Decisive factors:** CI02 and CI03 are not met. The absence of explicit references to digital transformation/digitalization and to specific technologies is sufficient to assign **Score = 0**.</t>
  </si>
  <si>
    <t>Ahmad, Tahir; Van Looy, Amy; Shafagatova, Aygun</t>
  </si>
  <si>
    <t>Business Process Performance: Investigating the Impact of Process-Oriented Appraisals and Rewards on Success</t>
  </si>
  <si>
    <r>
      <rPr>
        <rFont val="Helvetica Neue"/>
        <color rgb="FF1155CC"/>
        <u/>
      </rPr>
      <t>https://link.springer.com/10.1007/s12599-023-00820-z</t>
    </r>
  </si>
  <si>
    <t>67-84</t>
  </si>
  <si>
    <t>Abstract
Considering humans are involved in business process activities, process-oriented appraisals and rewards (POAR) can help stimulate process outcomes. Given a lack of knowledge about the intersection between business process management (BPM) and human resource management (HRM), the authors delve into POAR. The study starts from the theoretical capabilities of BPM and then follows a mixed-method design to develop rich and substantive evidence for successful POAR implementations. Empirical data was collected by ten case organizations experienced in POAR, and a survey with 403 higher-level managers across four continents. From the case data, diverse perspectives have emerged on the supporting capabilities for POAR and especially their interrelationships. Additionally, statistical evidence shows a decisive role of POAR in affecting process performance. While all BPM-specific capabilities seem to matter for POAR, only some also contribute to process performance through POAR. Novelty in the work resides in producing a POAR-based process performance model.</t>
  </si>
  <si>
    <t>10.1007/s12599-023-00820-z</t>
  </si>
  <si>
    <t>Score: 0
Justification:
	•	CI01: not met — Não há evidência explícita de BPM (sem abstract para confirmar).
	•	CI02: not met — Não há evidência explícita de transformação digital.
	•	CI03: not met — Não há evidência de tecnologias.
	•	CI04: not met — Não há informações sobre método, modelo ou análise (entrevista).
	•	CI05: met — Título em inglês.
	•	CE01: applies — Formato de entrevista, não caracteriza estudo científico conforme critérios.
	•	CE02: not applicable — Não há informação suficiente.
	•	CE03: not applicable — Não é explicitamente revisão sistemática.
	•	CE04: applies — “without abstract” → informação insuficiente para avaliação.</t>
  </si>
  <si>
    <t>**Score: 0**
**Justification:**
- **CI01: Not assessable** — The title references "Business Processes" but does not explicitly include "Business Process Management" or "BPM." Without an abstract, it cannot be confirmed whether the study addresses BPM as a discipline.
- **CI02: Not assessable** — The title includes "Digital Age," which suggests a digital context, but without an abstract it is impossible to confirm whether the study explicitly addresses digital transformation, digitalization, or digital innovation as required by CI02.
- **CI03: Not assessable** — The title references "Information Technology" broadly, but without an abstract no specific technologies can be confirmed as explicitly mentioned or applied.
- **CI04: Not assessable** — The format appears to be an interview rather than an application, framework, model, method, or empirical analysis, but this cannot be confirmed without an abstract.
- **CI05: Not assessable** — The title is in English, but the absence of an abstract prevents full confirmation.
- **CE04: Applies** — The study does not provide enough information in the title or abstract to assess relevance. The abstract is explicitly absent, making it impossible to evaluate most inclusion criteria with confidence.
**Decisive factor:** CE04 directly applies — the absence of an abstract means there is insufficient information to assess most criteria → **Score = 0**.</t>
  </si>
  <si>
    <t>Mendling, Jan; Jans, Mieke</t>
  </si>
  <si>
    <t>Interview with Varun Grover on "Business Processes, Information Technology and Its Evolution in the Digital Age"</t>
  </si>
  <si>
    <r>
      <rPr>
        <rFont val="Helvetica Neue"/>
        <color rgb="FF1155CC"/>
        <u/>
      </rPr>
      <t>https://link.springer.com/10.1007/s12599-021-00714-y</t>
    </r>
  </si>
  <si>
    <t>529-532</t>
  </si>
  <si>
    <t>10.1007/s12599-021-00714-y</t>
  </si>
  <si>
    <t>Score: 0
Justification:
	•	CI01: not met — Não há menção explícita a BPM ou “Business Process Management”.
	•	CI02: not met — Não há menção explícita a transformação digital, digitalização ou inovação digital (ICT é mencionado, mas não nesses termos).
	•	CI03: met — Tecnologia mencionada: “centralized ICT-based management system”.
	•	CI04: met — Apresenta aplicação empírica: “improved MRI room operations… results demonstrate…”.
	•	CI05: met — Texto em inglês.
	•	CE01: applies — Ausência de BPM explícito e transformação digital explícita coloca o estudo fora do escopo.
	•	CE02: not applicable — Contexto organizacional (saúde).
	•	CE03: not applicable — Não é estudo secundário.
	•	CE04: not applicable — Informações suficientes no abstract.</t>
  </si>
  <si>
    <t>**Score: 0**
**Justification:**
- **CI01: Not met** — The abstract does not explicitly mention "Business Process Management" or "BPM." References to "management practices," "process enhancement," and operational improvement relate to general process management in healthcare, not Business Process Management as a discipline.
- **CI02: Not met** — The abstract does not explicitly mention "digital transformation," "digitalization," or "digital innovation." While an "ICT-based management system" is introduced, the study does not frame this within any of the three required concepts. ICT integration is referenced as a supporting tool, not as a driver of digital transformation.
- **CI03: Not met** — The abstract references "ICT integration" and an "ICT-based management system" as general categories, but does not explicitly name any specific technology (e.g., AI, RPA, process mining, big data, blockchain, IoT, or software systems). ICT is too broad and unspecified to satisfy CI03's requirement for explicit mention of concrete technologies.
- **CI04: Met** — The study implements Lean methodologies (Kaizen, 5S, Value Stream Mapping, Root Cause Analysis) alongside an ICT system and reports quantitative results — constituting an applied empirical analysis with measurable outcomes.
- **CI05: Met** — Title and abstract are written in English.
- **CE01–CE04: None clearly apply** — The study is in an organizational/healthcare context, is a primary study, and provides sufficient information for assessment.
**Decisive factors:** CI01, CI02, and CI03 are not met → **Score = 0**.</t>
  </si>
  <si>
    <t>Yahata, Seiji; Tanaka, Isao; Takeuchi, Masami; Goto, Yasuhiro; Shiina, Isao; Nakayama, Satoshi; Shimura, Kazuo</t>
  </si>
  <si>
    <t>Development of a centralized progress management system using lean thinking and efforts to improve operations</t>
  </si>
  <si>
    <r>
      <rPr>
        <rFont val="Helvetica Neue"/>
        <color rgb="FF1155CC"/>
        <u/>
      </rPr>
      <t>https://link.springer.com/10.1186/s12913-025-13644-2</t>
    </r>
  </si>
  <si>
    <t>Abstract
In this study, we improved MRI room operations by applying Lean Thinking principles with a strong emphasis on leadership and ICT integration. The primary objectives were to enhance MRI appointment slot utilization, reduce patient waiting times, and minimize referrals to external facilities. Lean methodologies such as Kaizen, 5 S, Value Stream Mapping, Standard Work, Spaghetti Chart, and Root Cause Analysis were used to identify inefficiencies and implement structured improvements. A centralized ICT-based management system was introduced to enable real-time tracking and enhance workflow coordination. Leadership played a key role in fostering staff engagement and continuous improvement. MRI workflows were analyzed using Lean tools to identify operational bottlenecks and streamline processes. A structured improvement approach was developed through brainstorming sessions and weekly short meetings to refine management practices. The ICT system facilitated real-time monitoring of patient progress and scheduling adjustments. The 5 S methodology was employed to improve workspace organization, while Kaizen supported incremental daily improvements based on staff input. Following these interventions, MRI appointment reservations increased by 26% and completed examinations grew by 19%, with further daily management refinements contributing additional improvements of 34% and 28%, respectively. Patient waiting times were significantly reduced from an average of 45 days to 5 days, and monthly external referrals for MRI examinations declined from 300 to 50. These outcomes demonstrate that the integrated application of Lean Thinking and ICT not only substantially enhanced operational efficiency, reduced patient delays, and optimized resource utilization but also improved patient access and workflow coordination. Leadership, combined with a supportive and collaborative culture, played a key role in empowering team members to engage in continuous improvement. Open communication, the active valuation of staff input, and the delegation of responsibilities contributed to establishing a sustainable model for process enhancement. Although challenges such as the need for continuous adjustments in daily management and the complexity of coordinating staff schedules while maintaining patient care remained, these results confirm that Lean Thinking originally developed in manufacturing can be effectively adapted to healthcare settings to enhance productivity, service accessibility, and overall operational performance.</t>
  </si>
  <si>
    <t>10.1186/s12913-025-13644-2</t>
  </si>
  <si>
    <t>Score: 1
Justification:
	•	CI01: met — Menciona explicitamente BPM: “business process management”.
	•	CI02: met — Aborda transformação digital: uso de “Large Language Models (LLMs)” e digitalização do processo de aquisição de conhecimento.
	•	CI03: met — Tecnologias explicitamente mencionadas: “Large Language Models (LLMs)”, “multi-agent system”.
	•	CI04: met — Apresenta método e avaliação: “design science research”, “three evaluation rounds… quasi-experimental study… real-world case study”.
	•	CI05: met — Texto em inglês.
	•	CE01: not applicable — Relacionado a BPM, transformação digital e tecnologias.
	•	CE02: not applicable — Contexto organizacional: “business process analysts”, “real-world case study”.
	•	CE03: not applicable — Não é estudo secundário.
	•	CE04: not applicable — Informações suficientes no abstract.</t>
  </si>
  <si>
    <t>**Score: 0**
**Justification:**
- **CI01: Met** — "Business process management" is explicitly mentioned: "Acquiring process knowledge remains a central challenge in business process management." The study is also explicitly situated within process discovery — a core BPM activity.
- **CI02: Not met** — The abstract does not explicitly mention "digital transformation," "digitalization," or "digital innovation." The study focuses on process knowledge acquisition and process discovery using LLMs within a BPM context, without framing the work within a digital transformation narrative.
- **CI03: Met** — Large Language Models (LLMs) are explicitly named and applied as the central technology, instantiated through a multi-agent system (PKAI) with specialized LLM-based agents for the stages of process discovery.
- **CI04: Met** — The study proposes PKAI, a novel multi-agent system, validated through three evaluation rounds: a demonstration with business process analysts, a quasi-experimental study, and a real-world case study — constituting both a design artifact and a rigorous empirical evaluation.
- **CI05: Met** — Title and abstract are written in English.
- **CE01–CE04: None clearly apply** — The study is related to BPM and AI technology in an organizational context, is a primary study, and provides sufficient information for assessment.
**Decisive factor:** CI02 is not met. The absence of any explicit reference to digital transformation, digitalization, or digital innovation is sufficient to assign **Score = 0**.</t>
  </si>
  <si>
    <t>Schinckus, Malik; Simonofski, Anthony; Bono Rosselló, Nicolás</t>
  </si>
  <si>
    <t>Large Language Models for Process Knowledge Acquisition: Designing and Evaluating a Multi-agent System</t>
  </si>
  <si>
    <r>
      <rPr>
        <rFont val="Helvetica Neue"/>
        <color rgb="FF1155CC"/>
        <u/>
      </rPr>
      <t>https://link.springer.com/10.1007/s12599-025-00976-w</t>
    </r>
  </si>
  <si>
    <t>7-33</t>
  </si>
  <si>
    <t>Abstract
Acquiring process knowledge remains a central challenge in business process management, particularly when process discovery approaches rely on manual elicitation and analysis. Following design science research, this paper proposes a theoretically grounded and empirically validated approach to support process knowledge acquisition using Large Language Models (LLMs). The paper outlines three main contributions. First, drawing from knowledge acquisition theory, 19 design requirements are defined for using LLMs in the knowledge acquisition process. Second, these are instantiated in a proposal, named PKAI, which is a novel multi-agent system that operationalizes the stages of preparation, socialization, and externalization in process discovery through specialized LLM-based agents. Third, the study provides empirical evidence of the benefits and limitations of the approach through three evaluation rounds: (i) a demonstration involving business process analysts validating the design requirements and their mapping to the instantiation, (ii) a quasi-experimental study highlighting that process analysts supported by PKAI perform better in designing conceptual models in semantic and pragmatic dimensions, and (iii) a real-world illustrative case study demonstrating the approach's applicability under business complexity and its impact on the knowledge acquisition process. The paper provides the first LLM-based artifact instantiation spanning the whole knowledge acquisition process.</t>
  </si>
  <si>
    <t>10.1007/s12599-025-00976-w</t>
  </si>
  <si>
    <t>Score: 0
Justification:
	•	CI01: not met — Não há menção explícita a BPM ou “Business Process Management”.
	•	CI02: not met — Não há menção explícita a transformação digital, digitalização ou inovação digital.
	•	CI03: met — Tecnologias mencionadas: “trace clustering techniques”, “clustering algorithms”, “event logs”.
	•	CI04: met — Apresenta método e validação empírica: “real-world data… evaluated… validation by legal domain experts”.
	•	CI05: met — Texto em inglês.
	•	CE01: applies — Ausência de BPM explícito e transformação digital explícita coloca o estudo fora do escopo.
	•	CE02: not applicable — Contexto organizacional (judiciário).
	•	CE03: not applicable — Não é estudo secundário.
	•	CE04: not applicable — Informações suficientes no abstract.</t>
  </si>
  <si>
    <t>**Score: 0**
**Justification:**
- **CI01: Not met** — The abstract does not explicitly mention "Business Process Management" or "BPM." The final sentence references "process management" in a generic sense, but this does not constitute an explicit mention of Business Process Management as a discipline or the acronym BPM.
- **CI02: Not met** — The abstract does not explicitly mention "digital transformation," "digitalization," or "digital innovation." The study focuses on judicial workflow analysis and process simplification using clustering techniques, without any framing in a digital transformation context.
- **CI03: Met** — Trace clustering techniques and clustering algorithms are explicitly named and applied as the core computational methods of the study, constituting specific data analysis technologies applied to real-world event log data.
- **CI04: Met** — The study proposes a novel method integrating preprocessing, data encoding, and clustering algorithms applied to real-world judicial data from three Brazilian Small Claims Court units, validated by legal domain experts — constituting both a methodological contribution and an empirical evaluation.
- **CI05: Met** — Title and abstract are written in English.
- **CE01–CE04: None clearly apply** — The study is in an organizational/judicial context, is a primary empirical study, and provides sufficient information for assessment.
**Decisive factors:** CI01 and CI02 are not met. The absence of explicit references to "Business Process Management"/"BPM" and to digital transformation/digitalization is sufficient to assign **Score = 0**.</t>
  </si>
  <si>
    <t>Araújo, Thiago; Carmo, Danilo; Lima, Ricardo; Oliveira, Adriano</t>
  </si>
  <si>
    <t>Trace clustering for judicial process simplification: identifying patterns and enhancing anaslysis</t>
  </si>
  <si>
    <r>
      <rPr>
        <rFont val="Helvetica Neue"/>
        <color rgb="FF1155CC"/>
        <u/>
      </rPr>
      <t>https://link.springer.com/10.1007/s10506-025-09481-7</t>
    </r>
  </si>
  <si>
    <t>Abstract
This paper presents a novel application of trace clustering techniques to judicial data analysis, addressing the high variability and complexity of judicial workflows, an issue that has received limited attention in prior research. Leveraging real-world data from three Brazilian Small Claims Court units, the proposed method integrates preprocessing, data encoding, and clustering algorithms to segment judicial cases into more homogeneous groups and reveal representative behavioral patterns. These patterns facilitate process simplification and enable more effective analysis. The identified clusters corresponded to distinct types of judicial procedures, and their derived process models were evaluated from both structural and behavioral perspectives. Validation by legal domain experts confirmed the method’s effectiveness, highlighting its potential to expose procedural inefficiencies and enhance comprehension of judicial flows. This study contributes empirical evidence supporting the suitability of trace clustering for analyzing flexible and highly variable processes in the judicial domain. Furthermore, the proposed method offers a generalizable framework applicable to other jurisdictions and domains, providing a scalable solution for simplifying complex event logs and supporting data-driven decision-making in process management.</t>
  </si>
  <si>
    <t>10.1007/s10506-025-09481-7</t>
  </si>
  <si>
    <t>Score: 0
Justification:
	•	CI01: not met — Não há menção explícita a BPM ou “Business Process Management”.
	•	CI02: not met — Não há menção explícita a transformação digital, digitalização ou inovação digital.
	•	CI03: met — Tecnologias explicitamente mencionadas: “transfer learning”, “predictive process monitoring (PPM)”.
	•	CI04: met — Apresenta método e avaliação: “technique… instantiated in real-life use cases… numerical experiments”.
	•	CI05: met — Texto em inglês.
	•	CE01: applies — Ausência de BPM explícito e transformação digital explícita coloca o estudo fora do escopo.
	•	CE02: not applicable — Contexto organizacional: “organizations”, “information systems”.
	•	CE03: not applicable — Não é estudo secundário.
	•	CE04: not applicable — Informações suficientes no abstract.</t>
  </si>
  <si>
    <t>**Score: 0**
**Justification:**
- **CI01: Not met** — The abstract does not explicitly mention "Business Process Management" or "BPM." While "business processes" and "process performance" are referenced throughout, these general terms do not satisfy CI01's requirement for an explicit mention of Business Process Management as a discipline or the acronym BPM.
- **CI02: Not met** — The abstract does not explicitly mention "digital transformation," "digitalization," or "digital innovation." The study focuses on predictive process monitoring and transfer learning in organizational information systems, without framing the work within a digital transformation context.
- **CI03: Met** — Transfer learning and Predictive Process Monitoring (PPM) are explicitly named and applied as the core AI/ML technologies of the study. Pre-trained models and event log analysis are also referenced as specific technical components.
- **CI04: Met** — The study presents a novel transfer learning-based PPM technique instantiated in both intra- and inter-organizational real-life use cases, with numerical experiments conducted on IT service management process event logs — constituting an applied technical contribution with empirical validation.
- **CI05: Met** — Title and abstract are written in English.
- **CE01–CE04: None clearly apply** — The study is related to process monitoring technology in an organizational context, is a primary study, and provides sufficient information for assessment.
**Decisive factors:** CI01 and CI02 are not met. The absence of explicit references to "Business Process Management"/"BPM" and to digital transformation/digitalization is sufficient to assign **Score = 0**.</t>
  </si>
  <si>
    <t>Weinzierl, Sven; Zilker, Sandra; Liessmann, Annina; Käppel, Martin; Wang, Weixin; Matzner, Martin</t>
  </si>
  <si>
    <t>From Source to Target: Leveraging Transfer Learning for Predictive Process Monitoring in Organizations</t>
  </si>
  <si>
    <r>
      <rPr>
        <rFont val="Helvetica Neue"/>
        <color rgb="FF1155CC"/>
        <u/>
      </rPr>
      <t>https://link.springer.com/10.1007/s12599-025-00969-9</t>
    </r>
  </si>
  <si>
    <t>Abstract  Event logs reflect the behavior of business processes that are mapped in organizational information systems. Predictive process monitoring (PPM) transforms these data into value by creating process-related predictions that provide insights for proactive interventions at process runtime, leading to improved process performance. Existing PPM techniques require sufficient amounts of event data or other relevant resources that might not be readily available, which prevents some organizations from utilizing PPM. The transfer learning-based PPM technique presented in this paper allows organizations without suitable event data or other relevant resources to implement PPM for effective decision support. This technique is instantiated in both a real-life intra- and an inter-organizational use case, based on which numerical experiments are performed using event logs for information technology service management processes. The results of the experiments suggest that knowledge of one business process can be transferred to a similar business process in the same or a different organization to enable effective PPM in the target context. The proposed technique allows organizations to benefit from transfer learning in intra- and inter-organizational settings by transferring resources such as pre-trained models within and across organizational boundaries.</t>
  </si>
  <si>
    <t>10.1007/s12599-025-00969-9</t>
  </si>
  <si>
    <t>Score: 0
Justification:
	•	CI01: not met — Não há menção explícita a BPM ou “Business Process Management”.
	•	CI02: not met — Não há menção explícita a transformação digital, digitalização ou inovação digital.
	•	CI03: met — Tecnologias mencionadas: “IT Governance”, “Enterprise Architecture”, “DevOps/BizDevOps”.
	•	CI04: not met — Trata-se de estudo secundário: “systematic mapping study”.
	•	CI05: met — Texto em inglês.
	•	CE01: applies — Ausência de BPM explícito e transformação digital explícita coloca o estudo fora do escopo.
	•	CE02: not applicable — Contexto organizacional (software projects, empresas).
	•	CE03: applies — Explicitamente um “systematic mapping study”.
	•	CE04: not applicable — Informações suficientes no abstract.</t>
  </si>
  <si>
    <t>**Score: 0**
**Justification:**
- **CI01: Not met** — The abstract does not explicitly mention "Business Process Management" or "BPM." The study focuses on BizDevOps, IT Governance, and Enterprise Architecture, with no reference to Business Process Management as a discipline or acronym.
- **CI02: Not met** — The abstract does not explicitly mention "digital transformation," "digitalization," or "digital innovation." The study addresses business-IT alignment and software development governance, without framing the work within any of the three required concepts.
- **CI03: Not met** — The abstract does not explicitly name any specific technology from the CI03 list (AI, RPA, process mining, big data, blockchain, IoT, or software systems). BizDevOps and DevOps are methodological/practice-based approaches rather than specific named technologies in the sense required by CI03.
- **CI04: Not applicable (CE03 applies)** — The study is a secondary study and does not present original primary research.
- **CI05: Met** — Title and abstract are written in English.
- **CE03: Applies** — The title explicitly identifies this as "a Systematic Mapping Study," and the abstract confirms it analyzed 86 primary studies and 11 secondary studies — directly triggering CE03's exclusion of systematic mapping studies.
**Decisive factors:** CI01 and CI02 are not met, and CE03 explicitly applies (systematic mapping study). Any one of these alone is sufficient to assign **Score = 0**.</t>
  </si>
  <si>
    <t>Fuentes-Quijada, Guillermo; Ruiz-González, Francisco; Caro, Angélica</t>
  </si>
  <si>
    <t>Enterprise Architecture and IT Governance to Support the BizDevOps Approach: a Systematic Mapping Study</t>
  </si>
  <si>
    <r>
      <rPr>
        <rFont val="Helvetica Neue"/>
        <color rgb="FF1155CC"/>
        <u/>
      </rPr>
      <t>https://link.springer.com/10.1007/s10796-024-10473-2</t>
    </r>
  </si>
  <si>
    <t>865-888</t>
  </si>
  <si>
    <t>Abstract  Current software development practices are transforming the governance and management of software projects with the objective of aligning software products/services with business needs, ensuring business continuity, optimizing resource allocation, and fostering strong stakeholder relationships. The innovative BizDevOps approach has emerged as a response to these challenges, since it extends DevOps by incorporating an additional cycle and involving non-IT stakeholders with a focus on business-IT alignment. The application of IT Governance practices is crucial as regards ensuring the success of complex BizDevOps projects, and this paper, therefore, presents a systematic mapping study that explores the approaches for BizDevOps and encourages DevOps proposals that will seamlessly integrate with the business lifecycle. It examines the support provided by IT Governance practices and investigates the potential roles of Enterprise Architecture. The study analyzed 86 primary studies and 11 secondary studies, revealing a lack of empirical validations and a prevalence of recommendation-oriented papers without concrete solution proposals. These findings highlight the need for further research with which to validate BizDevOps practices and provide actionable insights.</t>
  </si>
  <si>
    <t>10.1007/s10796-024-10473-2</t>
  </si>
  <si>
    <t>Score: 0
Justification:
	•	CI01: not met — Não há menção explícita a BPM ou “Business Process Management”.
	•	CI02: not met — Não há menção explícita a transformação digital, digitalização ou inovação digital.
	•	CI03: met — Tecnologias mencionadas: “spatiotemporal attention mechanisms”, “intelligent monitoring system”, “anomaly detection”.
	•	CI04: met — Apresenta método e validação empírica: “proposes… system”, “experimental validation using real-world data”.
	•	CI05: met — Texto em inglês.
	•	CE01: applies — Ausência de BPM explícito e transformação digital explícita coloca o estudo fora do escopo.
	•	CE02: not applicable — Contexto organizacional (power utilities).
	•	CE03: not applicable — Não é estudo secundário.
	•	CE04: not applicable — Informações suficientes no abstract.</t>
  </si>
  <si>
    <t>**Score: 0**
**Justification:**
- **CI01: Not met** — The abstract does not explicitly mention "Business Process Management" or "BPM." References to "service processes," "service workflows," and "process optimization" are used in a general operational context related to power utilities, not Business Process Management as a discipline.
- **CI02: Not met** — The abstract does not explicitly mention "digital transformation," "digitalization," or "digital innovation." The study is framed around intelligent monitoring and anomaly detection in power utility operations, without referencing any of the three required concepts.
- **CI03: Met** — Spatiotemporal attention mechanisms, hierarchical attention architecture, and adaptive threshold anomaly detection are explicitly named and applied as the core AI/ML technologies underpinning the proposed intelligent monitoring system.
- **CI04: Met** — The study presents a novel intelligent monitoring system validated through real-world deployment across 32 service centers over a 6-month trial, reporting concrete quantitative results (96.84% accuracy, 20.3% process time reduction, 31.2% reduction in complaints) — constituting a rigorous applied and empirical contribution.
- **CI05: Met** — Title and abstract are written in English.
- **CE01–CE04: None clearly apply** — The study is in an organizational/operational (power utility) context, is a primary study, and provides sufficient information for assessment.
**Decisive factors:** CI01 and CI02 are not met. The absence of explicit references to "Business Process Management"/"BPM" and to digital transformation/digitalization is sufficient to assign **Score = 0**.</t>
  </si>
  <si>
    <t>Lin, Nvgui; Wen, Xiaobin; Wu, Jiacheng; Huang, Xiaoying; Wen, Hanfei</t>
  </si>
  <si>
    <t>Intelligent monitoring and anomaly detection for power service processes based on spatiotemporal attention mechanism</t>
  </si>
  <si>
    <r>
      <rPr>
        <rFont val="Helvetica Neue"/>
        <color rgb="FF1155CC"/>
        <u/>
      </rPr>
      <t>https://www.nature.com/articles/s41598-026-42189-5</t>
    </r>
  </si>
  <si>
    <t>Abstract  Power service process monitoring faces critical challenges in capturing complex spatiotemporal dependencies and identifying anomalies across distributed operational networks. This paper proposes an intelligent monitoring system incorporating spatiotemporal attention mechanisms to address these limitations. The system features a hierarchical attention architecture that jointly models temporal evolution patterns within service workflows and spatial correlations across regional centers, coupled with an adaptive threshold mechanism for anomaly detection. Experimental validation using real-world data from multiple power utilities demonstrates superior performance, achieving 96.84% accuracy and 96.0% recall in field deployment. The system reduces average process completion time by 20.3% and customer complaints by 31.2% across 32 service centers during a 6-month trial. Results confirm that explicit joint spatiotemporal modeling significantly outperforms conventional approaches, providing actionable insights for proactive process optimization in power utility operations.</t>
  </si>
  <si>
    <t>10.1038/s41598-026-42189-5</t>
  </si>
  <si>
    <t>Score: 0
Justification:
	•	CI01: not met — Não há menção explícita a BPM ou “Business Process Management”.
	•	CI02: not met — Não há menção explícita a transformação digital, digitalização ou inovação digital.
	•	CI03: not met — Não há menção explícita a tecnologias (AI, RPA, process mining, etc.).
	•	CI04: met — Apresenta estudo empírico: “free-simulation experiment”.
	•	CI05: met — Texto em inglês.
	•	CE01: applies — Ausência de BPM explícito, transformação digital e tecnologias coloca o estudo fora do escopo.
	•	CE02: not applicable — Contexto organizacional implícito.
	•	CE03: not applicable — Não é estudo secundário.
	•	CE04: not applicable — Informações suficientes no abstract.</t>
  </si>
  <si>
    <t>**Score: 0**
**Justification:**
- **CI01: Not met** — The abstract does not explicitly mention "Business Process Management" or "BPM." It focuses on "business process redesign" and specific techniques (Best Practices of Process Redesign, Business Process Design Space), but neither the discipline name nor the acronym BPM appears.
- **CI02: Not met** — The abstract does not explicitly mention "digital transformation," "digitalization," or "digital innovation." The study addresses process redesign through an experimental comparison of techniques, without any digital transformation framing.
- **CI03: Not met** — The abstract does not explicitly mention or apply any specific technology (e.g., AI, RPA, process mining, big data, blockchain, IoT, or software systems). The techniques examined (Best Practices of Process Redesign and Business Process Design Space) are conceptual/methodological frameworks, not technologies.
- **CI04: Met** — The study conducts a free-simulation experiment comparing two redesign techniques across multiple outcome dimensions (number, diversity, creativity, novelty, and appropriateness of ideas) — constituting a structured empirical analysis.
- **CI05: Met** — Title and abstract are written in English.
- **CE01–CE04: None clearly apply** — The study is in an organizational/business context, is a primary empirical study, and provides sufficient information for assessment.
**Decisive factors:** CI01, CI02, and CI03 are not met → **Score = 0**.</t>
  </si>
  <si>
    <t>Groß, Steven; Grisold, Thomas; Mendling, Jan; Haase, Jennifer</t>
  </si>
  <si>
    <t>Idea generation in exploitative and explorative business process redesign techniques</t>
  </si>
  <si>
    <r>
      <rPr>
        <rFont val="Helvetica Neue"/>
        <color rgb="FF1155CC"/>
        <u/>
      </rPr>
      <t>https://link.springer.com/10.1007/s10257-024-00684-0</t>
    </r>
  </si>
  <si>
    <t>527-555</t>
  </si>
  <si>
    <t>Abstract  Business process redesign has received considerable attention in research and practice. An important task contributing to redesign is idea generation. It has been argued that the choice of technique influences redesign outcomes, but empirical evidence is largely missing. In this paper, we examine the role of idea generation in business process redesign by comparing two different kinds of techniques: exploitative and explorative redesign techniques. Often, exploitative techniques are expected to yield more appropriate solutions, while explorative techniques are associated with more creative outcomes. To investigate such propositions, we consider the Best Practices of Process Redesign as an example of an exploitative redesign technique and the Business Process Design Space as an explorative redesign technique. We conducted a free-simulation experiment to study the empirical impact of the choice of redesign techniques on outcomes. We find that the Business Process Design Space leads to a higher number of redesign ideas, which are also more diverse. These are more creative and novel than ideas produced by the Best Practices of Process Redesign. Against expectation, the best practices as an exploitative approach do not produce more appropriate nor impactful ideas in our task design. Since both approaches cover different areas of improvement, a key implication of our work is that they should not be seen as isolated approaches to redesign; rather, they should be purposefully combined to not only create novel but also operational business process redesigns.</t>
  </si>
  <si>
    <t>10.1007/s10257-024-00684-0</t>
  </si>
  <si>
    <t>Score: 0
Justification:
	•	CI01: not met — Não há evidência explícita de BPM (sem abstract para confirmar).
	•	CI02: not met — Não há evidência explícita de transformação digital.
	•	CI03: not met — Não há evidência de tecnologias.
	•	CI04: not met — Não há informações sobre método, modelo ou análise (parece comentário/editorial).
	•	CI05: met — Título em inglês.
	•	CE01: applies — Provável comentário/editorial, não estudo científico conforme critérios.
	•	CE02: not applicable — Não há informação suficiente.
	•	CE03: not applicable — Não há informação suficiente.
	•	CE04: applies — “without abstract” → informação insuficiente para avaliação.</t>
  </si>
  <si>
    <t>**Score: 0**
**Justification:**
- **CI01: Not assessable** — The title makes no reference to "Business Process Management" or "BPM." Without an abstract, it is impossible to determine whether the study addresses BPM as a discipline.
- **CI02: Not assessable** — The title provides no indication of digital transformation, digitalization, or digital innovation. Without an abstract, this criterion cannot be evaluated.
- **CI03: Not assessable** — The title makes no reference to any specific technology. Without an abstract, this criterion cannot be evaluated.
- **CI04: Not assessable** — The title suggests this is a commentary or response piece ("Statements on the Contribution by...") rather than an original study, but this cannot be confirmed without an abstract.
- **CI05: Not assessable** — The title is in English, but the absence of an abstract prevents full confirmation.
- **CE04: Applies** — The study does not provide enough information in the title or abstract to assess relevance. The abstract is explicitly absent, and the title alone is insufficient to evaluate the majority of inclusion criteria with confidence.
**Decisive factor:** CE04 directly applies — the absence of an abstract means there is insufficient information to assess most criteria → **Score = 0**.</t>
  </si>
  <si>
    <t>Weinhardt, Christof; Gräbe, Hans-Gert; Laue, Ralf; Grisold, Thomas; Groß, Steven; Stelzl, Katharina; Brocke, Jan Vom; Mendling, Jan; Röglinger, Maximilian; Rosemann, Michael</t>
  </si>
  <si>
    <t>Statements on the Contribution by Grisold et al. from Issue 2/2022</t>
  </si>
  <si>
    <r>
      <rPr>
        <rFont val="Helvetica Neue"/>
        <color rgb="FF1155CC"/>
        <u/>
      </rPr>
      <t>https://link.springer.com/10.1007/s12599-023-00788-w</t>
    </r>
  </si>
  <si>
    <t>229-232</t>
  </si>
  <si>
    <t>10.1007/s12599-023-00788-w</t>
  </si>
  <si>
    <t>Score: 0
Justification:
	•	CI01: not met — Não há menção explícita a BPM ou “Business Process Management”.
	•	CI02: not met — Não há menção explícita a transformação digital, digitalização ou inovação digital.
	•	CI03: met — Tecnologias explicitamente mencionadas: “predictive process analytics”, “deep neural networks”.
	•	CI04: met — Apresenta método e aplicação: “proposes a method”, “case study… manufacturing company”.
	•	CI05: met — Texto em inglês.
	•	CE01: applies — Ausência de BPM explícito e transformação digital explícita coloca o estudo fora do escopo.
	•	CE02: not applicable — Contexto organizacional: empresa de manufatura.
	•	CE03: not applicable — Não é estudo secundário.
	•	CE04: not applicable — Informações suficientes no abstract.</t>
  </si>
  <si>
    <t>**Score: 0**
**Justification:**
- **CI01: Not met** — The abstract does not explicitly mention "Business Process Management" or "BPM." It references "business process analytics" and "predictive process analytics," but these are distinct terms that do not satisfy CI01's requirement for an explicit mention of Business Process Management as a discipline or the acronym BPM.
- **CI02: Not met** — The abstract does not explicitly mention "digital transformation," "digitalization," or "digital innovation." The study focuses on enterprise process network monitoring leveraging analytics and neural networks, without framing the work within any of the three required concepts.
- **CI03: Met** — Multi-headed deep neural networks are explicitly named and applied as the core AI/ML technology underpinning the proposed monitoring method. Predictive process analytics is also explicitly referenced as the analytical approach.
- **CI04: Met** — The study proposes a method for predictive end-to-end enterprise process network monitoring, validated through a case study with a medium-sized German manufacturing company — constituting both a methodological and applied contribution.
- **CI05: Met** — Title and abstract are written in English.
- **CE01–CE04: None clearly apply** — The study is in an organizational/manufacturing context, is a primary study, and provides sufficient information for assessment.
**Decisive factors:** CI01 and CI02 are not met. The absence of explicit references to "Business Process Management"/"BPM" and to digital transformation/digitalization is sufficient to assign **Score = 0**.</t>
  </si>
  <si>
    <t>Oberdorf, Felix; Schaschek, Myriam; Weinzierl, Sven; Stein, Nikolai; Matzner, Martin; Flath, Christoph M.</t>
  </si>
  <si>
    <t>Predictive End-to-End Enterprise Process Network Monitoring</t>
  </si>
  <si>
    <r>
      <rPr>
        <rFont val="Helvetica Neue"/>
        <color rgb="FF1155CC"/>
        <u/>
      </rPr>
      <t>https://link.springer.com/10.1007/s12599-022-00778-4</t>
    </r>
  </si>
  <si>
    <t>49-64</t>
  </si>
  <si>
    <t>Abstract  Ever-growing data availability combined with rapid progress in analytics has laid the foundation for the emergence of business process analytics. Organizations strive to leverage predictive process analytics to obtain insights. However, current implementations are designed to deal with homogeneous data. Consequently, there is limited practical use in an organization with heterogeneous data sources. The paper proposes a method for predictive end-to-end enterprise process network monitoring leveraging multi-headed deep neural networks to overcome this limitation. A case study performed with a medium-sized German manufacturing company highlights the method’s utility for organizations.</t>
  </si>
  <si>
    <t>10.1007/s12599-022-00778-4</t>
  </si>
  <si>
    <t>Score: 0
Justification:
	•	CI01: not met — Não há menção explícita a BPM ou “Business Process Management”.
	•	CI02: not met — Não há menção explícita a transformação digital, digitalização ou inovação digital.
	•	CI03: met — Tecnologia explicitamente mencionada: “process mining”.
	•	CI04: met — Apresenta estudo empírico: “Delphi study with 40 international experts”.
	•	CI05: met — Texto em inglês.
	•	CE01: applies — Ausência de BPM explícito e transformação digital explícita coloca o estudo fora do escopo.
	•	CE02: not applicable — Contexto organizacional: “organizations”.
	•	CE03: not applicable — Não é estudo secundário.
	•	CE04: not applicable — Informações suficientes no abstract.</t>
  </si>
  <si>
    <t>**Score: 0**
**Justification:**
- **CI01: Not met** — The abstract does not explicitly mention "Business Process Management" or "BPM." It references "business processes" in a general sense ("understand and improve business processes"), but this does not constitute an explicit mention of Business Process Management as a discipline or the acronym BPM.
- **CI02: Not met** — The abstract does not explicitly mention "digital transformation," "digitalization," or "digital innovation." The study focuses on opportunities and challenges of process mining adoption in organizations, without framing the work within any of the three required concepts.
- **CI03: Met** — Process mining is explicitly identified as the central technology and active research domain throughout the abstract, with direct reference to its organizational application and algorithmic development.
- **CI04: Met** — The study conducts a Delphi study with 40 international experts from academia and industry, producing a structured and ranked set of 30 opportunities and 32 challenges — constituting a rigorous empirical investigation with substantive contributions.
- **CI05: Met** — Title and abstract are written in English.
- **CE01–CE04: None clearly apply** — The study is related to process mining technology in an organizational context, is a primary empirical study (Delphi method), and provides sufficient information for assessment.
**Decisive factors:** CI01 and CI02 are not met. The absence of explicit references to "Business Process Management"/"BPM" and to digital transformation/digitalization is sufficient to assign **Score = 0**.</t>
  </si>
  <si>
    <t>Martin, Niels; Fischer, Dominik A.; Kerpedzhiev, Georgi D.; Goel, Kanika; Leemans, Sander J. J.; Röglinger, Maximilian; Van Der Aalst, Wil M. P.; Dumas, Marlon; La Rosa, Marcello; Wynn, Moe T.</t>
  </si>
  <si>
    <t>Opportunities and Challenges for Process Mining in Organizations: Results of a Delphi Study</t>
  </si>
  <si>
    <r>
      <rPr>
        <rFont val="Helvetica Neue"/>
        <color rgb="FF1155CC"/>
        <u/>
      </rPr>
      <t>https://link.springer.com/10.1007/s12599-021-00720-0</t>
    </r>
  </si>
  <si>
    <t>511-527</t>
  </si>
  <si>
    <t>Abstract  Process mining is an active research domain and has been applied to understand and improve business processes. While significant research has been conducted on the development and improvement of algorithms, evidence on the application of process mining in organizations has been far more limited. In particular, there is limited understanding of the opportunities and challenges of using process mining in organizations. Such an understanding has the potential to guide research by highlighting barriers for process mining adoption and, thus, can contribute to successful process mining initiatives in practice. In this respect, the paper provides a holistic view of opportunities and challenges for process mining in organizations identified in a Delphi study with 40 international experts from academia and industry. Besides proposing a set of 30 opportunities and 32 challenges, the paper conveys insights into the comparative relevance of individual items, as well as differences in the perceived relevance between academics and practitioners. Therefore, the study contributes to the future development of process mining, both as a research field and regarding its application in organizations.</t>
  </si>
  <si>
    <t>10.1007/s12599-021-00720-0</t>
  </si>
  <si>
    <t>Score: 0
Justification:
	•	CI01: not met — Não há menção explícita a BPM ou “Business Process Management” (apenas “business process models”).
	•	CI02: not met — Não há menção explícita a transformação digital, digitalização ou inovação digital.
	•	CI03: met — Tecnologias explicitamente mencionadas: “web services”, “Continuous Query Language (CQL)”, “stream processing engine”, “BPMN”.
	•	CI04: met — Apresenta modelo/método: “propose an execution semantics… process enactment engine”.
	•	CI05: met — Texto em inglês.
	•	CE01: applies — Ausência de BPM explícito e transformação digital explícita coloca o estudo fora do escopo.
	•	CE02: not applicable — Contexto organizacional/técnico.
	•	CE03: not applicable — Não é estudo secundário.
	•	CE04: not applicable — Informações suficientes no abstract.</t>
  </si>
  <si>
    <t>**Score: 0**
**Justification:**
- **CI01: Not met** — The abstract does not explicitly mention "Business Process Management" or "BPM." References to "business process models," "business process orchestration," and BPMN (Business Process *Model* and Notation) appear throughout, but none of these constitute an explicit mention of Business Process Management as a discipline or the acronym BPM in that sense.
- **CI02: Not met** — The abstract does not explicitly mention "digital transformation," "digitalization," or "digital innovation." The study focuses on process enactment semantics and service orchestration via CQL, without any digital transformation framing.
- **CI03: Met** — Multiple specific technologies are explicitly named and applied: Continuous Query Language (CQL), stream processing engines, web services, BPMN, and DCR graphs — all constituting concrete software systems and computational technologies central to the proposed approach.
- **CI04: Met** — The study proposes BEST, a unified process enactment approach based on CQL execution semantics, demonstrated through industrial process modeling languages (BPMN and DCR graphs) and validated with cross-paradigm orchestration scenarios — constituting a clear technical and applied contribution.
- **CI05: Met** — Title and abstract are written in English.
- **CE01–CE04: None clearly apply** — The study is in an organizational/technical context involving business processes and software systems, is a primary study, and provides sufficient information for assessment.
**Decisive factors:** CI01 and CI02 are not met. The absence of explicit references to "Business Process Management"/"BPM" and to digital transformation/digitalization is sufficient to assign **Score = 0**.</t>
  </si>
  <si>
    <t>Awad, Ahmed; Awaysheh, Feras; López, Hugo A.</t>
  </si>
  <si>
    <t>BEST: a unified business process enactment via streams and tables for service computing</t>
  </si>
  <si>
    <r>
      <rPr>
        <rFont val="Helvetica Neue"/>
        <color rgb="FF1155CC"/>
        <u/>
      </rPr>
      <t>https://link.springer.com/10.1007/s44311-025-00030-8</t>
    </r>
  </si>
  <si>
    <t>Abstract
Business process models are essential for the representation, analysis, and execution of organizational processes, serving as orchestration blueprints while relying on (web) services to implement individual tasks. At the representation level, there are two dominant paradigms: procedural (imperative) notation that specifies the sequential flows within a process and declarative notation that captures the process as a set of constraints. Although each notation offers distinct advantages in representational clarity and cognitive effectiveness, they are seldom integrated, leading to compatibility challenges. In this paper, we set aside the imperative-declarative dichotomy to focus on orchestrating services that execute the underlying tasks. We propose an execution semantics based on the Continuous Query Language (CQL), where CQL statements respond dynamically to streams of events. As events unfold, these CQL statements update the execution state (tables) and can generate new events, effectively triggering (web) services that implement specific process tasks. A key value of our approach is that it transforms any CQL-compliant stream processing engine into a fully-capable process enactment engine by automatically deploying CQL rules extracted from input process models, thereby leveraging existing stream processing infrastructure for business process orchestration. By defining all executions around a unified event model, we achieve cross-language and cross-paradigm process enactment. We showcase how industrial process modelling languages, such as BPMN and DCR graphs, can be enacted through CQL queries, allowing seamless orchestration and execution of services across diverse modelling paradigms.</t>
  </si>
  <si>
    <t>10.1007/s44311-025-00030-8</t>
  </si>
  <si>
    <t>Score: 0
Justification:
	•	CI01: met — Menciona explicitamente BPM: “business process management lifecycle”.
	•	CI02: not met — Não há menção explícita a transformação digital, digitalização ou inovação digital.
	•	CI03: met — Tecnologia explicitamente mencionada: “natural language processing (NLP)”, “deep learning techniques”.
	•	CI04: met — Apresenta método e avaliação: “proposed… NLP based approach”, “270 experiments… real-world processes”.
	•	CI05: met — Texto em inglês.
	•	CE01: applies — Ausência de transformação digital explícita coloca o estudo fora do escopo.
	•	CE02: not applicable — Contexto organizacional.
	•	CE03: not applicable — Não é estudo secundário.
	•	CE04: not applicable — Informações suficientes no abstract.</t>
  </si>
  <si>
    <t>**Score: 0**
**Justification:**
- **CI01: Met** — "Business process management" is explicitly referenced: "Business process redesign (BPR) is widely recognized as a key phase of the business process management lifecycle."
- **CI02: Not met** — The abstract does not explicitly mention "digital transformation," "digitalization," or "digital innovation." The study focuses on automating business process redesign through NLP-based analysis of end-user feedback, without framing the work in a digital transformation context.
- **CI03: Met** — Natural language processing (NLP), traditional machine learning, and deep learning techniques are all explicitly named and applied. The study performs 270 experiments across nine techniques — constituting clear and explicit technology application.
- **CI04: Met** — The study proposes a novel NLP-based approach with annotation guidelines, generates computational resources from three real-world business processes with 8,421 sentences, and conducts extensive experimental validation — constituting both a methodological and empirical contribution.
- **CI05: Met** — Title and abstract are written in English.
- **CE01–CE04: None clearly apply** — The study is related to BPM and AI/NLP technology in an organizational context, is a primary study, and provides sufficient information for assessment.
**Decisive factor:** CI02 is not met. The absence of any explicit reference to digital transformation, digitalization, or digital innovation is sufficient to assign **Score = 0**.</t>
  </si>
  <si>
    <t>Mustansir, Amina; Shahzad, Khurram; Malik, Muhammad Kamran</t>
  </si>
  <si>
    <t>Towards automatic business process redesign: an NLP based approach to extract redesign suggestions</t>
  </si>
  <si>
    <r>
      <rPr>
        <rFont val="Helvetica Neue"/>
        <color rgb="FF1155CC"/>
        <u/>
      </rPr>
      <t>https://link.springer.com/10.1007/s10515-021-00316-8</t>
    </r>
  </si>
  <si>
    <t>Abstract
Business process redesign (BPR) is widely recognized as a key phase of the business process management lifecycle. However, the existing studies have focused on proposing theoretical models, methodologies, and redesign patterns, whereas, the BPR activity remains dependent upon domain experts with little or no consideration to end-user feedback. To facilitate these experts, in this study, we have proposed a natural language processing (NLP) based approach to identify redesign suggestions from end-user feedback in natural language text. The proposed approach includes a novel set of annotation guidelines that can be used to generate computational resources for business process redesign. Secondly, to demonstrate the effectiveness of the proposed approach, we have generated computational resources which are composed of three real-world business processes and end-user feedback containing 8421 sentences. Finally, we have performed 270 experiments using six traditional and three deep learning techniques to evaluate their effectiveness for the identification of redesign suggestions from raw text. The classified suggestions can be used by domain experts to prioritize the redesign possibilities, without going through the details of the customer feedback.</t>
  </si>
  <si>
    <t>10.1007/s10515-021-00316-8</t>
  </si>
  <si>
    <t>Score: 0
Justification:
	•	CI01: not met — Não há menção explícita a BPM ou “Business Process Management” (apenas BPMN).
	•	CI02: not met — Não há menção explícita a transformação digital, digitalização ou inovação digital.
	•	CI03: met — Tecnologia mencionada: “BPMN modeling extensions”, “real-time control systems”.
	•	CI04: met — Apresenta método e avaliação: “provides BPMN modeling extensions… evaluated… use cases and expert interviews”.
	•	CI05: met — Texto em inglês.
	•	CE01: applies — Ausência de BPM explícito e transformação digital explícita coloca o estudo fora do escopo.
	•	CE02: not applicable — Contexto organizacional/técnico.
	•	CE03: not applicable — Não é estudo secundário.
	•	CE04: not applicable — Informações suficientes no abstract.</t>
  </si>
  <si>
    <t>**Score: 0**
**Justification:**
- **CI01: Not met** — The abstract does not explicitly mention "Business Process Management" or "BPM." BPMN (Business Process Model and Notation) is referenced extensively, but this acronym stands for "Business Process *Model* and Notation," not Business Process *Management*, and does not satisfy CI01.
- **CI02: Not met** — The abstract does not explicitly mention "digital transformation," "digitalization," or "digital innovation." The study focuses on BPMN modeling extensions for continuous processes in process and control engineering, without any digital transformation framing.
- **CI03: Met** — BPMN (as a process modeling notation/software standard), real-time control systems, and executable processes are explicitly referenced as technical components integral to the study's contribution.
- **CI04: Met** — The study proposes BPMN modeling extensions for continuous processes, evaluated through selected use cases from process and control engineering and structured expert interviews across three groups — constituting both a modeling artifact and an applied empirical evaluation.
- **CI05: Met** — Title and abstract are written in English.
- **CE01–CE04: None clearly apply** — The study is in an engineering/organizational context, is a primary study, and provides sufficient information for assessment.
**Decisive factors:** CI01 and CI02 are not met. The absence of explicit references to "Business Process Management"/"BPM" and to digital transformation/digitalization is sufficient to assign **Score = 0**.</t>
  </si>
  <si>
    <t>Strutzenberger, Diana; Mangler, Juergen; Rinderle-Ma, Stefanie</t>
  </si>
  <si>
    <t>Evaluating BPMN Extensions for Continuous Processes Based on Use Cases and Expert Interviews</t>
  </si>
  <si>
    <r>
      <rPr>
        <rFont val="Helvetica Neue"/>
        <color rgb="FF1155CC"/>
        <u/>
      </rPr>
      <t>https://link.springer.com/10.1007/s12599-023-00850-7</t>
    </r>
  </si>
  <si>
    <t>709-735</t>
  </si>
  <si>
    <t>Abstract  The majority of (business) processes described in literature are discrete, i.e., they result in an identifiable and distinct outcome such as a settled customer claim or a produced part. However, there also exists a plethora of processes in process and control engineering that are continuous, i.e., processes that require real-time control systems with constant inlet and outlet flows as well as temporally stable conditions. Examples comprise chemical synthesis and combustion processes. Despite their prevalence and relevance a standard method for modeling continuous processes with BPMN is missing. Hence, the paper provides BPMN modeling extensions for continuous processes enabling an exact definition of the parameters and loop conditions as well as a mapping to executable processes. The BPMN modeling extensions are evaluated based on selected use cases from process and control engineering and interviews with experts from three groups, i.e., process engineers and two groups of process modelers, one with experience in industrial processes and one without. The results from the expert interviews are intended to identify (i) the key characteristics for the representation of continuous processes, (ii) how experts evaluate the current usability and comprehensibility of BPMN for continuous processes, and (iii) potential improvements can be identified regarding the introduced BPMN modeling extensions.</t>
  </si>
  <si>
    <t>10.1007/s12599-023-00850-7</t>
  </si>
  <si>
    <t>Score: 0
Justification:
	•	CI01: not met — Não há menção explícita a BPM ou “Business Process Management” (apenas BPMN).
	•	CI02: not met — Não há menção explícita a transformação digital, digitalização ou inovação digital.
	•	CI03: met — Tecnologia mencionada: “conversational agents”, “chatbots”.
	•	CI04: met — Apresenta método/framework: “aCHAT-WF framework”, “proposes a general approach”.
	•	CI05: met — Texto em inglês.
	•	CE01: applies — Ausência de BPM explícito e transformação digital explícita coloca o estudo fora do escopo.
	•	CE02: applies — Foco educacional (ensino de processos), não organizacional/empresarial.
	•	CE03: not applicable — Não é estudo secundário.
	•	CE04: not applicable — Informações suficientes no abstract.</t>
  </si>
  <si>
    <t>**Score: 0**
**Justification:**
- **CI01: Not met** — The abstract does not explicitly mention "Business Process Management" or "BPM." It references "business process models," "business processes," and BPMN (defined here as "Business Process Modeling Notation"), but none of these constitute an explicit mention of Business Process Management as a discipline or the acronym BPM in that sense.
- **CI02: Not met** — The abstract does not explicitly mention "digital transformation," "digitalization," or "digital innovation." The study focuses on adaptive learning of business processes through chatbot interfaces, without any digital transformation framing.
- **CI03: Met** — Conversational interfaces and chatbots are explicitly named and applied as the core technologies of the proposed framework. BPMN (as a process modeling notation) is also explicitly referenced as the technical foundation for the instructional content.
- **CI04: Met** — The study proposes the aCHAT-WF framework — a configuration-driven system for managing conversational interfaces for business process teaching — with distinct phases, roles, and interaction styles defined — constituting a clear framework contribution.
- **CI05: Met** — Title and abstract are written in English.
- **CE01–CE04: None clearly apply** — The study involves process modeling and technology in an educational/organizational context, is a primary study, and provides sufficient information for assessment.
**Decisive factors:** CI01 and CI02 are not met. The absence of explicit references to "Business Process Management"/"BPM" and to digital transformation/digitalization is sufficient to assign **Score = 0**.</t>
  </si>
  <si>
    <t>Rooein, Donya; Bianchini, Devis; Leotta, Francesco; Mecella, Massimo; Paolini, Paolo; Pernici, Barbara</t>
  </si>
  <si>
    <t>aCHAT-WF: Generating conversational agents for teaching business process models</t>
  </si>
  <si>
    <r>
      <rPr>
        <rFont val="Helvetica Neue"/>
        <color rgb="FF1155CC"/>
        <u/>
      </rPr>
      <t>https://link.springer.com/10.1007/s10270-021-00925-7</t>
    </r>
  </si>
  <si>
    <t>891-914</t>
  </si>
  <si>
    <t>Abstract  This paper proposes a general approach for using conversational interfaces such as chatbots to offer adaptive learning of business processes in an environment involving different actors. Adaptivity concerns both the content being proposed, the sequence of learning items, and the way the conversation is conducted. The original approach allows the development of sustainable chatbots and empowers various non-technical actors (authors, teachers, publishers, and learners) to control the chatbot features directly. The aCHAT-WF framework (adaptive CHATbot for WorkFlows), proposed in this paper for managing conversational interfaces, conceptually represents all the aspects related to a conversation about business processes, with different facets for the user, the conversation flow, and the conversation contents, combining them to obtain a flexible interaction with the user. The paper focuses on the different preparation phases for instructional material based on Business Process Modeling Notation (BPMN) models, separating the different roles involved in the construction of a chatbot for teaching business processes and with the possibility of defining different styles for the interaction with the users. The proposed method is configuration-driven, to facilitate the separation of the different aspects of the control of the interaction and the delivery of contents.</t>
  </si>
  <si>
    <t>10.1007/s10270-021-00925-7</t>
  </si>
  <si>
    <t>Score: 0
Justification:
	•	CI01: not met — Não há menção explícita a BPM ou “Business Process Management”.
	•	CI02: not met — Não há menção explícita a transformação digital, digitalização ou inovação digital (fala de “enterprise transformation”, mas não nesses termos).
	•	CI03: met — Tecnologias mencionadas: “data science”, “business intelligence”, “data mining rules”.
	•	CI04: met — Apresenta método e aplicação: “propose an approach… redesign algorithms”, “report our work… enterprise architecture”.
	•	CI05: met — Texto em inglês.
	•	CE01: applies — Ausência de BPM explícito e transformação digital explícita coloca o estudo fora do escopo.
	•	CE02: not applicable — Contexto organizacional: empresa.
	•	CE03: not applicable — Não é estudo secundário.
	•	CE04: not applicable — Informações suficientes no abstract.</t>
  </si>
  <si>
    <t>**Score: 0**
**Justification:**
- **CI01: Not met** — The abstract does not explicitly mention "Business Process Management" or "BPM." While "business processes" and "business process" appear multiple times, these general references do not satisfy CI01's requirement for an explicit mention of Business Process Management as a discipline or the acronym BPM.
- **CI02: Not met** — The abstract does not explicitly mention "digital transformation," "digitalization," or "digital innovation." The term "enterprise transformation" appears, but this refers to organizational restructuring broadly, not digital transformation as a defined concept.
- **CI03: Met** — Data science, business intelligence, data mining rules, and data warehouses are explicitly named and applied as core analytical technologies underpinning the proposed redesign approach — qualifying as explicit mentions of data-related technologies.
- **CI04: Met** — The study proposes a data-driven framework with redesign algorithms for enterprise process re-engineering, applied to the enterprise architecture of a low-cost flight retailer — constituting both a methodological contribution and an applied case.
- **CI05: Met** — Title and abstract are written in English.
- **CE01–CE04: None clearly apply** — The study is in an organizational/business context, is a primary study, and provides sufficient information for assessment.
**Decisive factors:** CI01 and CI02 are not met. The absence of explicit references to "Business Process Management"/"BPM" and to digital transformation/digitalization is sufficient to assign **Score = 0**.</t>
  </si>
  <si>
    <t>Truong, Thai-Minh; Lê, Lam-Son; Paja, Elda; Giorgini, Paolo</t>
  </si>
  <si>
    <t>A data-driven, goal-oriented framework for process-focused enterprise re-engineering</t>
  </si>
  <si>
    <r>
      <rPr>
        <rFont val="Helvetica Neue"/>
        <color rgb="FF1155CC"/>
        <u/>
      </rPr>
      <t>https://link.springer.com/10.1007/s10257-021-00523-6</t>
    </r>
  </si>
  <si>
    <t>683-747</t>
  </si>
  <si>
    <t>Abstract
Along with enterprise transformation, enterprise re-engineering is essential for maintaining the competitiveness of an enterprise. Enterprise re-engineering addresses (emergent) changes, re-organizing, outsourcing and re-aligning alike. Re-engineering itself has drawn traction in both academia and business. Most scholarly work in this area is confined to model-driven analysis, holistic frameworks for analyzing as-is/to-be enterprise models, and a few other conceptualization techniques. The practice of process redesign understandably takes the stage in re-engineering. Yet algorithmic techniques that insightfully point out how a process might be improved for proactively re-engineering process-intensive enterprise architecture are missing. Data science and business intelligence have brought a refreshingly new analysis to this mainstream problem by studying the operational history of a business process to facilitate most plausible changes. In this article, we investigate enterprise process redesign taking into account enterprise’s high-level strategy and data warehouse. More specifically, we propose an approach to reasoning about an enterprise’s strategy together with data mining rules extracted from the data warehouse of the enterprise. Our redesign algorithms suggest design-time changes to be made to its business processes, primarily by eliminating redundant tasks and re-ordering inefficiently-located tasks. We analyze the effectiveness of candidate to-be business processes with regard to business intelligence indicators. We report our work on the enterprise architecture developed for a retailer of low-cost domestic flights.</t>
  </si>
  <si>
    <t>10.1007/s10257-021-00523-6</t>
  </si>
  <si>
    <t>Score: 0
Justification:
	•	CI01: not met — Não há menção explícita a BPM ou “Business Process Management”.
	•	CI02: not met — Não há menção explícita a transformação digital, digitalização ou inovação digital.
	•	CI03: met — Tecnologia mencionada: “association rule mining technique”.
	•	CI04: met — Apresenta modelo e aplicação: “proposed model… implemented using a real-world case study”.
	•	CI05: met — Texto em inglês.
	•	CE01: applies — Ausência de BPM explícito e transformação digital explícita coloca o estudo fora do escopo.
	•	CE02: not applicable — Contexto organizacional: autoridade fiscal.
	•	CE03: not applicable — Não é estudo secundário.
	•	CE04: not applicable — Informações suficientes no abstract.</t>
  </si>
  <si>
    <t>**Score: 0**
**Justification:**
- **CI01: Not met** — The abstract does not explicitly mention "Business Process Management" or "BPM." It references "Business process reengineering (BPR)" and "business processes (BPs)" throughout, but neither constitutes an explicit mention of Business Process Management as a discipline or the acronym BPM.
- **CI02: Not met** — The abstract does not explicitly mention "digital transformation," "digitalization," or "digital innovation." The study focuses on business process reengineering and performance improvement, without any digital transformation framing.
- **CI03: Met** — Association rule mining is explicitly named and applied as the core analytical technique for examining the link between critical success factors and business process performance — constituting an explicit mention of a data mining technology.
- **CI04: Met** — The study proposes a configurable model integrating CSFs and BPs performance, applied to a real-world case study at the Egyptian Tax Authority, with pre- and post-reengineering measurements across process time, cycle time, quality, and cost — constituting both a model contribution and an empirical validation.
- **CI05: Met** — Title and abstract are written in English.
- **CE01–CE04: None clearly apply** — The study is in an organizational/business context, is a primary study, and provides sufficient information for assessment.
**Decisive factors:** CI01 and CI02 are not met. The absence of explicit references to "Business Process Management"/"BPM" and to digital transformation/digitalization is sufficient to assign **Score = 0**.</t>
  </si>
  <si>
    <t>Bayomy, Noha Ahmed; Khedr, Ayman E.; Abd-Elmegid, Laila A.</t>
  </si>
  <si>
    <t>A configurable mining approach for enhancing the business processes' performance</t>
  </si>
  <si>
    <r>
      <rPr>
        <rFont val="Helvetica Neue"/>
        <color rgb="FF1155CC"/>
        <u/>
      </rPr>
      <t>https://link.springer.com/10.1007/s10115-023-02011-4</t>
    </r>
  </si>
  <si>
    <t>2537-2560</t>
  </si>
  <si>
    <t>Abstract  Business is a war to get the attention you deserve from your enemies, and many competitors strive to gain a prominent position. Organizations are constantly seeking innovative ways to work to stay in a competitive business environment. Business process reengineering (BPR) is one of the most management approaches that are adopted by many organizations in order to achieve a dramatic increase in performance and cost reduction. Since the risks enfolded and failure rates related to BPR projects are very high, it is necessary to find ways to support success of BPR in a systematic approach. The major target of this article is to find the implementation of the proposed model to reengineer business processes (BPs) successfully via integrating critical success factors (CSFs) of BPR and BPs' performance. It is created to detect the inefficiencies and bottlenecks in the business process, decrease costs, time and increase quality of business processes, enhance financial environment and make an effective and efficient performance of the business process. It also applies a mining technique of association rule to examine the link between CSFs and several BPs and measures business processes' performance (intended BPR success) by process time, cycle time, quality and cost pre and post reengineering BPs. Thus, it uses a way to select the appropriate model for each business process. The proposed model will be implemented using a real world the Egyptian tax authority case study in order to prove its usefulness and efficiency. Then, inferred CSFs were applied according to each process, which proved the validity and success of the proposed model.</t>
  </si>
  <si>
    <t>10.1007/s10115-023-02011-4</t>
  </si>
  <si>
    <t>Score: 0
Justification:
	•	CI01: not met — Não há menção explícita a BPM ou “Business Process Management”.
	•	CI02: not met — Não há menção explícita a transformação digital, digitalização ou inovação digital (cloud manufacturing aparece, mas não nesses termos).
	•	CI03: met — Tecnologias explicitamente mencionadas: “K-means clustering”, “multi-objective optimization”, “genetic algorithm”.
	•	CI04: met — Apresenta método e aplicação: “proposes a two-stage method… case study… verifies effectiveness”.
	•	CI05: met — Texto em inglês.
	•	CE01: applies — Ausência de BPM explícito e transformação digital explícita coloca o estudo fora do escopo.
	•	CE02: not applicable — Contexto organizacional/industrial: manufatura.
	•	CE03: not applicable — Não é estudo secundário.
	•	CE04: not applicable — Informações suficientes no abstract.</t>
  </si>
  <si>
    <t>**Score: 0**
**Justification:**
- **CI01: Not met** — The abstract does not explicitly mention "Business Process Management" or "BPM." The study focuses on manufacturing service composition (MSC) in cloud manufacturing, with no reference to Business Process Management as a discipline or acronym.
- **CI02: Not met** — The abstract does not explicitly mention "digital transformation," "digitalization," or "digital innovation." The study is framed around cloud manufacturing, QoS optimization, and sustainability — without referencing any of the three required concepts.
- **CI03: Met** — K-means clustering, multi-objective optimization modeling, and a fast non-dominated sorting genetic algorithm are all explicitly named and applied as computational technologies in the proposed two-stage method.
- **CI04: Met** — The study proposes a two-stage method integrating clustering and multi-objective optimization for manufacturing service composition, validated through a real-world case study involving customized automated guided vehicle production — constituting a clear methodological and empirical contribution.
- **CI05: Met** — Title and abstract are written in English.
- **CE01–CE04: None clearly apply** — The study is in an organizational/manufacturing context, is a primary study, and provides sufficient information for assessment.
**Decisive factors:** CI01 and CI02 are not met. The absence of explicit references to "Business Process Management"/"BPM" and to digital transformation/digitalization is sufficient to assign **Score = 0**.</t>
  </si>
  <si>
    <t>Tang, Chunhua; Zhao, Shuangyao; Su, Han; Chen, Binbin</t>
  </si>
  <si>
    <t>A QoS and sustainability-driven two-stage service composition method in cloud manufacturing: combining clustering and bi-objective optimization</t>
  </si>
  <si>
    <r>
      <rPr>
        <rFont val="Helvetica Neue"/>
        <color rgb="FF1155CC"/>
        <u/>
      </rPr>
      <t>https://link.springer.com/10.1007/s10898-024-01430-z</t>
    </r>
  </si>
  <si>
    <t>481-516</t>
  </si>
  <si>
    <t>Abstract
Manufacturing service composition (MSC) is a core technology in cloud manufacturing (CMfg), which has been intensively studied to find an optimal composite service with the best quality of service (QoS). With the continuous expansion of CMfg platforms, the difficulty of MSC is gradually increasing. Large-scale platforms have put forward higher requirements for combination efficiency, and its open and dynamic environment makes service QoS exhibit strong uncertainty, leading to reliability issues of MSC. Meanwhile, the increased number of services and users makes it necessary for the platform to consider the sustainability issue, including economic, environmental, and social aspects, based on an operations management perspective. However, current studies only consider part of efficiency, reliability, and sustainability as optimization objectives in MSC allocation models, and do not take them into account simultaneously in an integrated manner. Therefore, this study proposes a two-stage method integrating clustering and multi-objective optimization for reliable and sustainable MSC allocation. Specifically, in the first stage, the K-means clustering technique and the QoS stability-based service pruning mechanism are integrated into the service clustering process to improve the reliability of candidate services and reduce the search space of combinations. In the second stage, a multi-objective optimization model with maximizing QoS and sustainability is proposed to find the optimal MSC, and the fast non-dominated sorting genetic algorithm is adopted to solve the model. Finally, a case study of the actual production of a customized automated guided vehicle verifies the effectiveness of the proposed two-stage method.</t>
  </si>
  <si>
    <t>10.1007/s10898-024-01430-z</t>
  </si>
  <si>
    <t>Score: 0
Justification:
	•	CI01: not met — Não há menção explícita a BPM ou “Business Process Management”.
	•	CI02: not met — Não há menção explícita a transformação digital, digitalização ou inovação digital.
	•	CI03: not met — Não há menção explícita a tecnologias (AI, RPA, process mining, etc.).
	•	CI04: met — Apresenta análise e tipologia: “exploratory analysis… identified… 12 BPS strategies”.
	•	CI05: met — Texto em inglês.
	•	CE01: applies — Ausência de BPM explícito, transformação digital e tecnologias coloca o estudo fora do escopo.
	•	CE02: not applicable — Contexto organizacional.
	•	CE03: not applicable — Não é claramente revisão sistemática (embora use literatura).
	•	CE04: not applicable — Informações suficientes no abstract.</t>
  </si>
  <si>
    <t>**Score: 0**
**Justification:**
- **CI01: Not met** — The abstract does not explicitly mention "Business Process Management" or "BPM." It focuses on "Business Process Standardization (BPS)" and references "business processes," but neither constitutes an explicit mention of Business Process Management as a discipline or the acronym BPM.
- **CI02: Not met** — The abstract does not explicitly mention "digital transformation," "digitalization," or "digital innovation." The study addresses process standardization strategies in terms of efficiency and effectiveness, without any digital transformation framing.
- **CI03: Not met** — The abstract does not explicitly mention or apply any specific technology (e.g., AI, RPA, process mining, big data, blockchain, IoT, or software systems). The study is entirely focused on strategic typology development through literature analysis.
- **CI04: Met** — The study derives a typology of 12 BPS strategies through exploratory analysis of existing BPS literature, instantiated by mapping 21 published cases — constituting a structured analytical and classificatory contribution.
- **CI05: Met** — Title and abstract are written in English.
- **CE01–CE04: None clearly apply** — The study is in an organizational/business context, and while it analyzes published literature, it is not explicitly identified as a systematic literature review or mapping study. Sufficient information is available for assessment.
**Decisive factors:** CI01, CI02, and CI03 are not met → **Score = 0**.</t>
  </si>
  <si>
    <t>Goel, Kanika; Bandara, Wasana; Gable, Guy</t>
  </si>
  <si>
    <t>A Typology of Business Process Standardization Strategies</t>
  </si>
  <si>
    <r>
      <rPr>
        <rFont val="Helvetica Neue"/>
        <color rgb="FF1155CC"/>
        <u/>
      </rPr>
      <t>https://link.springer.com/10.1007/s12599-021-00693-0</t>
    </r>
  </si>
  <si>
    <t>621-635</t>
  </si>
  <si>
    <t>Abstract
Business Process Standardization (BPS) is a strategy for improved efficiency and effectiveness of business processes. However, BPS approaches are known to vary much in practice, can consume inordinate time and resources, and are ill-understood. This study applies an exploratory analysis of BPS literature to identify alternative BPS strategies. The analysis identified three key decision-points when strategizing: (i) Approach to standardization (Bottom-up or Top-down), (ii) Choice of Master Process (Internal Exemplar, Internal Best-of-Breed, or External Exemplar), and (iii) Optimization of the Master Process (Yes or No). These alternative choices, in combination, yield 12 BPS strategies, which are described herein and instantiated by mapping 21 published BPS cases against the 12 strategy types. The resulting typology of BPS strategies can serve as a useful tool for researchers investigating BPS and may provide insight for practitioners when considering an appropriate BPS strategy, or in better understanding their existing implicit or explicit strategy.</t>
  </si>
  <si>
    <t>10.1007/s12599-021-00693-0</t>
  </si>
  <si>
    <t>Score: 0
Justification:
	•	CI01: not met — Não há menção explícita a BPM ou “Business Process Management”.
	•	CI02: not met — Não há menção explícita a transformação digital, digitalização ou inovação digital.
	•	CI03: not met — Não há menção explícita a tecnologias (AI, RPA, process mining, etc.).
	•	CI04: met — Apresenta método e avaliação: “proposes… Continuous Maturity Assessment Method (CMAM)”, “evaluation of six organizations… case study”.
	•	CI05: met — Texto em inglês.
	•	CE01: applies — Ausência de BPM, transformação digital e tecnologias coloca o estudo fora do escopo.
	•	CE02: not applicable — Contexto organizacional.
	•	CE03: not applicable — Não é estudo secundário.
	•	CE04: not applicable — Informações suficientes no abstract.</t>
  </si>
  <si>
    <t>**Score: 0**
**Justification:**
- **CI01: Not met** — The abstract does not explicitly mention "Business Process Management" or "BPM." The study focuses on organizational capability and maturity assessment in general, without referencing Business Process Management as a discipline or the acronym BPM.
- **CI02: Not met** — The abstract does not explicitly mention "digital transformation," "digitalization," or "digital innovation." The study acknowledges "dynamic organizational environments" and continuous change, but without connecting this to any of the three required concepts.
- **CI03: Not met** — The abstract does not explicitly mention or apply any specific technology (e.g., AI, RPA, process mining, big data, blockchain, IoT, or software systems). The study is entirely focused on a methodological framework for maturity assessment, with no technological component referenced.
- **CI04: Met** — The study proposes the Continuous Maturity Assessment Method (CMAM), comprising five steps, developed following design science research principles and evaluated across six organizations in different industry sectors plus an industrial case study — constituting a rigorous methodological contribution with empirical validation.
- **CI05: Met** — Title and abstract are written in English.
- **CE01–CE04: None clearly apply** — The study is in an organizational/business context, is a primary study, and provides sufficient information for assessment.
**Decisive factors:** CI01, CI02, and CI03 are not met → **Score = 0**.</t>
  </si>
  <si>
    <t>Stoiber, Christoph; Stöter, Maximilian; Englbrecht, Ludwig; Schönig, Stefan; Häckel, Björn</t>
  </si>
  <si>
    <t>Keeping Your Maturity Assessment Alive: A Method for the Continuous Tracking and Assessment of Organizational Capabilities and Maturity</t>
  </si>
  <si>
    <r>
      <rPr>
        <rFont val="Helvetica Neue"/>
        <color rgb="FF1155CC"/>
        <u/>
      </rPr>
      <t>https://link.springer.com/10.1007/s12599-023-00805-y</t>
    </r>
  </si>
  <si>
    <t>703-721</t>
  </si>
  <si>
    <t>Abstract  Maturity models are valuable management tools for assessing and managing capabilities and therefore creating a basis for their identification, prioritization, and further development. Numerous maturity assessment methods have been developed to support organizations in applying maturity models. However, these methods are mostly used for unique assessments and only provide a snapshot of the current state of capabilities and their maturity. Certainly, this does not reflect the continuous change of capabilities within dynamic organizational environments. Moreover, the systematic selection of suitable maturity models and the identification of the actions that should be targeted following the maturity assessment require more attention. To fill these research gaps, this study proposes the generally applicable Continuous Maturity Assessment Method (CMAM) that enables comprehensive and continuous maturity assessments. The CMAM comprises five steps that extend and advance existing principles of maturity assessment and can be implemented as an organizational routine. The rigorous development of the CMAM followed basic principles of the design science research methodology, including an evaluation of six organizations in different industry sectors and an extensive industrial case study.</t>
  </si>
  <si>
    <t>10.1007/s12599-023-00805-y</t>
  </si>
  <si>
    <t>Score: 0
Justification:
	•	CI01: not met — Não há menção explícita a BPM ou “Business Process Management”.
	•	CI02: not met — Não há menção explícita a transformação digital, digitalização ou inovação digital.
	•	CI03: not met — Não há menção explícita a tecnologias.
	•	CI04: met — Apresenta estudo empírico: “multiple-case study with 50 interviewees”.
	•	CI05: met — Texto em inglês.
	•	CE01: applies — Ausência de BPM, transformação digital e tecnologias coloca o estudo fora do escopo.
	•	CE02: not applicable — Contexto organizacional.
	•	CE03: not applicable — Não é estudo secundário.
	•	CE04: not applicable — Informações suficientes no abstract.</t>
  </si>
  <si>
    <t>**Score: 0**
**Justification:**
- **CI01: Not met** — The abstract does not explicitly mention "Business Process Management" or "BPM." The study focuses on Project Portfolio Management (PPM) and organizational capability building, with no reference to Business Process Management as a discipline or the acronym BPM.
- **CI02: Not met** — The abstract does not explicitly mention "digital transformation," "digitalization," or "digital innovation." The study addresses organizational sensemaking and capability development in project portfolio management, without any digital transformation framing.
- **CI03: Not met** — The abstract does not explicitly mention or apply any specific technology (e.g., AI, RPA, process mining, big data, blockchain, IoT, or software systems). The study is entirely focused on organizational and managerial aspects of PPM capability building.
- **CI04: Met** — The study develops a theoretical model of the PPM capability-building process grounded in organizational sensemaking theory, based on a multiple-case study with 50 interviewees — constituting a rigorous empirical and theoretical contribution.
- **CI05: Met** — Title and abstract are written in English.
- **CE01–CE04: None clearly apply** — The study is in an organizational/business context, is a primary empirical study, and provides sufficient information for assessment.
**Decisive factors:** CI01, CI02, and CI03 are not met → **Score = 0**.</t>
  </si>
  <si>
    <t>Ahlemann, Frederik; Bergan, Peder; Karger, Erik; Greulich, Malte; Reining, Stefan</t>
  </si>
  <si>
    <t>Making Sense of Projects—Developing Project Portfolio Management Capabilities</t>
  </si>
  <si>
    <r>
      <rPr>
        <rFont val="Helvetica Neue"/>
        <color rgb="FF1155CC"/>
        <u/>
      </rPr>
      <t>https://link.springer.com/10.1007/s41471-023-00178-8</t>
    </r>
  </si>
  <si>
    <t>293-325</t>
  </si>
  <si>
    <t>Abstract  Project management and project portfolio management (PPM) foster competitiveness by facilitating the implementation of organizational strategy. Although organizations often struggle to develop PPM capabilities, the academic community does not have an in-depth understanding of the conditions for successfully developing these capabilities. In response, we conducted a multiple-case study with 50 interviewees to develop a theoretical model of the PPM capability-building process. This model is built on the notion of organizational sensemaking and identifies aspects that comprehensively explain why it usually takes so long to develop PPM capabilities. We conceptualize the PPM capability-building process as one that is strongly influenced by (1) the effects of structural rearrangements, (2) the appropriate use of external resources during that process, (3) the role of executive support and legitimization, (4) episodes of regression, and (5) the need for internalization and habitualization. In addition, we provide starting points for explaining organizational capability building in more general terms.</t>
  </si>
  <si>
    <t>10.1007/s41471-023-00178-8</t>
  </si>
  <si>
    <t>Score: 0
Justification:
	•	CI01: not met — Não há menção explícita a BPM ou “Business Process Management” (apenas BPO).
	•	CI02: not met — Não há menção explícita a transformação digital, digitalização ou inovação digital.
	•	CI03: not met — Não há menção explícita a tecnologias.
	•	CI04: met — Apresenta estudo empírico: “large-scale international dataset”, “quantitatively evaluate”.
	•	CI05: met — Texto em inglês.
	•	CE01: applies — Ausência de BPM explícito, transformação digital e tecnologias coloca o estudo fora do escopo.
	•	CE02: not applicable — Contexto organizacional.
	•	CE03: not applicable — Não é estudo secundário.
	•	CE04: not applicable — Informações suficientes no abstract.</t>
  </si>
  <si>
    <t>**Score: 0**
**Justification:**
- **CI01: Not met** — The abstract does not explicitly mention "Business Process Management" or "BPM." It focuses on "business process orientation (BPO)" and maturity models for BPO development, which are related but distinct concepts from Business Process Management as a discipline. The acronym BPM never appears.
- **CI02: Not met** — The abstract does not explicitly mention "digital transformation," "digitalization," or "digital innovation." The study addresses BPO development and maturity in organizational contexts, without any digital transformation framing.
- **CI03: Not met** — The abstract does not explicitly mention or apply any specific technology (e.g., AI, RPA, process mining, big data, blockchain, IoT, or software systems). The study relies on configuration theory and quantitative analysis of an international dataset, without referencing any enabling technologies.
- **CI04: Met** — The study develops an empirical taxonomy of seven BPO archetypes through quantitative evaluation of a large-scale international dataset, with performance comparisons across archetypes — constituting a rigorous empirical and classificatory contribution.
- **CI05: Met** — Title and abstract are written in English.
- **CE01–CE04: None clearly apply** — The study is in an organizational/business context, is a primary empirical study, and provides sufficient information for assessment.
**Decisive factors:** CI01, CI02, and CI03 are not met → **Score = 0**.</t>
  </si>
  <si>
    <t>Van Looy, Amy; Trkman, Peter; Clarysse, Els</t>
  </si>
  <si>
    <t>A Configuration Taxonomy of Business Process Orientation</t>
  </si>
  <si>
    <r>
      <rPr>
        <rFont val="Helvetica Neue"/>
        <color rgb="FF1155CC"/>
        <u/>
      </rPr>
      <t>https://link.springer.com/10.1007/s12599-021-00700-4</t>
    </r>
  </si>
  <si>
    <t>133-147</t>
  </si>
  <si>
    <t>Abstract
Organizations strive to develop a variety of capabilities to improve and measure business processes. Researchers have used various maturity models to investigate the development of a business process orientation (BPO), and most have argued that such a development comes in stages. Current literature underestimates the interrelationships between BPO capabilities and fails to consider multidimensional or non-linear paths to maturity. To refine the features of maturity models, this study relies on configuration theory to uncover different archetypes for BPO development and quantitatively evaluate them by examining performance differences among archetypes based on a large-scale international dataset. The resulting empirical taxonomy with seven BPO archetypes establishes important performance differences between organizations at a similar maturity level. Besides strengthening the theoretical foundations of BPO and making maturity assessments more multifaceted, the results help organizations give their managerial efforts a focus by enabling comparison with peers in the same archetype and showing various paths for BPO improvement.</t>
  </si>
  <si>
    <t>10.1007/s12599-021-00700-4</t>
  </si>
  <si>
    <t>Score: 0
Justification:
	•	CI01: not met — Não há menção explícita a BPM ou “Business Process Management”.
	•	CI02: not met — Não há menção explícita a transformação digital, digitalização ou inovação digital.
	•	CI03: not met — Não há menção explícita a tecnologias.
	•	CI04: met — Apresenta estudo empírico: “laboratory observations with 159 participants”.
	•	CI05: met — Texto em inglês.
	•	CE01: applies — Ausência de BPM, transformação digital e tecnologias coloca o estudo fora do escopo.
	•	CE02: not applicable — Contexto organizacional.
	•	CE03: not applicable — Não é estudo secundário.
	•	CE04: not applicable — Informações suficientes no abstract.</t>
  </si>
  <si>
    <t>**Score: 0**
**Justification:**
- **CI01: Not met** — The abstract does not explicitly mention "Business Process Management" or "BPM." References to "business process execution" and "business processes" appear in a general operational sense, but do not constitute an explicit mention of Business Process Management as a discipline or the acronym BPM.
- **CI02: Not met** — The abstract does not explicitly mention "digital transformation," "digitalization," or "digital innovation." The study focuses on cognitive aspects of process performance through mental models, without any digital transformation framing.
- **CI03: Not met** — The abstract does not explicitly mention or apply any specific technology (e.g., AI, RPA, process mining, big data, blockchain, IoT, or software systems). The study relies on behavioral laboratory experiments and process knowledge tests, without referencing any enabling technologies.
- **CI04: Met** — The study conducts laboratory observations with 159 participants across 10 teams using a real-effort loan processing role play, measuring both individual and team-level mental model accuracy and similarity — constituting a rigorous empirical investigation.
- **CI05: Met** — Title and abstract are written in English.
- **CE01–CE04: None clearly apply** — The study is in an organizational/business context (process execution), is a primary empirical study, and provides sufficient information for assessment.
**Decisive factors:** CI01, CI02, and CI03 are not met → **Score = 0**.</t>
  </si>
  <si>
    <t>Leyer, Michael; Schneider, Sabrina; Strohhecker, Jürgen</t>
  </si>
  <si>
    <t>Measurement and performance impact of team mental models on process performance</t>
  </si>
  <si>
    <r>
      <rPr>
        <rFont val="Helvetica Neue"/>
        <color rgb="FF1155CC"/>
        <u/>
      </rPr>
      <t>https://link.springer.com/10.1007/s12144-022-03293-7</t>
    </r>
  </si>
  <si>
    <t>21805-21819</t>
  </si>
  <si>
    <t>Abstract  Efficient business process execution is an essential part of an organisation’s success. It depends on good dynamic decision making of process actors that is guided by their mental models of business processes (MMBP). The study investigates the effect of MMBPs on process performance at two levels. At the level of individuals, the impact of MMBP accuracy on performance is analyzed, and at the level of a team, the effect of similarity of MMBPs of all team on performance is researched. At both levels, MMBPs are differentiated in a narrow part that focuses on the mental representations of process steps that precede or follow on the one conducted by the actor and a holistic model that captures the process as a whole. We use laboratory observations with 159 participants in 10 teams from a real effort loan processing role play. We obtain individual MMBP accuracy measures by using a process knowledge test and measure the process performance of teams with the outcome of the role play. Our study contributes in three ways to existing research. First, the measurement approach of individual MMBP accuracy and similarity is extended to the level of teams. Second, the study shows that the accuracy of both narrow and holistic MMBPs as well as similarity of holistic MMBPs positively impact team process performance. Third, by using an observable team process performance measures from a real-effort task, we increase the validity of our findings compared to other research relying on self-assessed performance measures.</t>
  </si>
  <si>
    <t>10.1007/s12144-022-03293-7</t>
  </si>
  <si>
    <t>Title format</t>
  </si>
  <si>
    <t>Abstract Format</t>
  </si>
  <si>
    <t>Score: 1
Justification:
	•	CI01: met — explicitly mentions “Business Process Management” in the title and “business process management systems” in the abstract.
	•	CI02: met — directly addresses digital transformation, stating that “digital transformation of the organization’s processes accelerated” and that BPM can drive process changes.
	•	CI03: met — explicitly mentions technology through business process management systems, automation of flows, and digital support for process changes.
	•	CI04: met — presents a case study in a higher education institution, involving implementation of an internal process and a user survey.
	•	CI05: met — the title and abstract are written in English.
	•	CE01–CE04: none apply — the study is related to BPM, digital transformation, technology, and an organizational context; it is not a secondary study, and the abstract provides enough information to assess relevance.</t>
  </si>
  <si>
    <t>Score: 1
Justification:
* **CI01: Met** — The study explicitly mentions "business process management systems" and "business process management" multiple times throughout the abstract.
* **CI02: Met** — "Digital transformation of the organization's processes" is the central theme, explicitly stated in the opening sentence and the title.
* **CI03: Met** — The study refers to "business process management systems" as the technology applied, and mentions "automation of flows" as a technological outcome.
* **CI04: Met** — The study presents a case study based on the implementation of an internal process on a BPM system, complemented by a user survey using the ISO/IEC-25010 quality standard — constituting an empirical analysis.
* **CI05: Met** — The title and abstract are written in English.
* **CE01: Does not apply** — The study is directly related to BPM and digital transformation.
* **CE02: Does not apply** — The study is set within an organizational context (a higher education institution).
* **CE03: Does not apply** — This is a primary study (a case study with empirical data collection), not a secondary study.
* **CE04: Does not apply** — The abstract provides sufficient information to assess relevance clearly.</t>
  </si>
  <si>
    <t>Cruz, Leandro; Basto, Mário; Silva, Joaquim; Lopes, Nuno</t>
  </si>
  <si>
    <t>2021 16th Iberian Conference on Information Systems and Technologies (CISTI)</t>
  </si>
  <si>
    <t>Business Process Management as a driver for Digital Transformation : A case study in a higher education institution</t>
  </si>
  <si>
    <r>
      <rPr>
        <rFont val="Helvetica Neue"/>
        <color rgb="FF1155CC"/>
        <u/>
      </rPr>
      <t>https://ieeexplore.ieee.org/document/9476422/</t>
    </r>
  </si>
  <si>
    <t>10.23919/CISTI52073.2021.9476422</t>
  </si>
  <si>
    <t>Digital transformation of the organization's processes accelerated in recent years and boosted with the Covid-19 pandemic. Digital transformation usually implies process changes and leads to increased automation of flows, which results in many benefits. In this scenario, the use of business process management systems presents clear advantages due to the speed of implementation and, above all, the ease and rapid adjustment of digital support to changes in business processes. To concretely evaluate the benefits of adopting business process management systems in higher education, it was carried out a case study based on the implementation of an internal process on a business process management system, and the subsequent completion of a user survey. The survey, based on the ISO/IEC-25010 quality standard, concluded that the process implemented under the case study is significantly better in terms of quality of use.</t>
  </si>
  <si>
    <t>2166-0727</t>
  </si>
  <si>
    <t>Score: 1
Justification:
        •        CI01: met — explicitly mentions “Business Process Management” and “BPM” several times, including “Business Process Management (BPM) model.”
        •        CI02: met — addresses digital transformation through the title “Digital Transformation of Islamic Banks” and the abstract’s mention of “digital conversion.”
        •        CI03: met — explicitly mentions technology, including “business process management system,” “automating the business using technology,” and “technical challenges.”
        •        CI04: met — presents a model and also reports that one stage of the model was implemented in the Libyan Islamic Bank with results.
        •        CI05: met — the title and abstract are written in English.
        •        CE01–CE04: none apply — the study is related to BPM, digital transformation/digital conversion, technology, and an organizational/business context; it is not identified as a secondary study, and the abstract provides enough information to assess relevance.</t>
  </si>
  <si>
    <t>Score: 1
Justification:
* **CI01: Met** — The study explicitly mentions "Business Process Management (BPM)" and "business process management model" multiple times throughout the abstract.
* **CI02: Met** — The study directly addresses "digital transformation" and "digital conversion" of Islamic banks, as stated in both the title and abstract.
* **CI03: Met** — The study refers to a "business process management system" designed for "automating the business using technology," with explicit mention of technology's role in the digital conversion process.
* **CI04: Met** — The study proposes a BPM model for digital conversion and reports on its partial implementation at the Libyan Islamic Bank, constituting both a model proposal and an empirical application.
* **CI05: Met** — The title and abstract are written in English.
* **CE01: Does not apply** — The study is directly related to BPM, digital transformation, and technology.
* **CE02: Does not apply** — The study is firmly grounded in an organizational and business context (Islamic banking institutions in Libya).
* **CE03: Does not apply** — This is a primary study presenting an original model and its implementation, not a secondary study.
* **CE04: Does not apply** — The abstract provides sufficient detail to assess relevance without ambiguity.</t>
  </si>
  <si>
    <t>Mansori, Hafsa Abdjalil; Maatuk, Abdelsalam M.</t>
  </si>
  <si>
    <t>2023 IEEE 3rd International Maghreb Meeting of the Conference on Sciences and Techniques of Automatic Control and Computer Engineering (MI-STA)</t>
  </si>
  <si>
    <t>Digital Transformation of Islamic Banks using Business Process Management</t>
  </si>
  <si>
    <r>
      <rPr>
        <rFont val="Helvetica Neue"/>
        <color rgb="FF1155CC"/>
        <u/>
      </rPr>
      <t>https://ieeexplore.ieee.org/document/10169836/</t>
    </r>
  </si>
  <si>
    <t>397-401</t>
  </si>
  <si>
    <t>10.1109/MI-STA57575.2023.10169836</t>
  </si>
  <si>
    <t>Organizational management that utilizes business processes has become of paramount importance to organizations to reach a high level of effectiveness and competitiveness by adopting an effective Business Process Management (BPM) model. This paper presents a business process management model in Islamic banks for digital conversion with a business process management system. The study is to clarify the role of technology in Islamic financing banks in the start-up phase, by proposing to work with the practice BPM system, designed for automating the business using technology. This is for facing the most serious administrative challenges in Islamic banks, with control over the most technical challenges. One of the stages of the model was implemented in the Libyan Islamic Bank and achieved encouraging results through which it is possible to continue applying the entire stages of the system to many Islamic banks operating in Libya.</t>
  </si>
  <si>
    <t>Score: 0
Justification:
	•	CI01: not met — the abstract mentions “process” and “business processes,” but does not explicitly mention Business Process Management or BPM.
	•	CI02: met — explicitly addresses digital transformation (DT) throughout the title and abstract.
	•	CI03: met — explicitly mentions technology, including “technological aspects,” “technology integration,” and “people, process and technology.”
	•	CI04: met — presents an action design research study and proposes a Digital-by-Design (DbD) framework.
	•	CI05: met — the title and abstract are written in English.
	•	CE01–CE04: no exclusion criterion clearly applies, but the study is excluded because CI01 is not met. It discusses digital transformation, process, and technology, but not explicitly BPM/Business Process Management.</t>
  </si>
  <si>
    <t>Score: 0
Justification:
* **CI01: Not met** — The study does not explicitly mention "Business Process Management" or the acronym "BPM." While the abstract references "business processes" and "process" as one of three dimensions, this alone does not constitute an explicit mention of BPM as a discipline, methodology, or system.
* **CI02: Met** — Digital transformation (DT) is the central focus of the study, explicitly and extensively addressed throughout the abstract.
* **CI03: Met** — The study addresses "technology integration and scale-up patterns" as one of its key contributions, and frames technology as one of the three core pillars of the proposed framework.
* **CI04: Met** — The study develops a "Digital-by-Design (DbD) framework" through action design research, constituting a framework with theoretical and practical grounding.
* **CI05: Met** — The title and abstract are written in English.
* **CE01: Does not apply** — The study is related to digital transformation and technology.
* **CE02: Does not apply** — The study is grounded in an organizational and business context.
* **CE03: Does not apply** — This is a primary study based on action design research.
* **CE04: Does not apply** — The abstract provides sufficient information to assess relevance.
**Reason for Score = 0:** CI01 is not met. The study does not explicitly mention BPM or Business Process Management, which is a mandatory inclusion criterion.</t>
  </si>
  <si>
    <t>Satwekar, Abhijeet; Miozza, Mario; Abbattista, Chiara; Palumbo, Sabrina; Rossi, Mara</t>
  </si>
  <si>
    <t>IEEE Transactions on Engineering Management</t>
  </si>
  <si>
    <t>Triad of Digital Transformation: Holistic Orchestration for People, Process, and Technology</t>
  </si>
  <si>
    <r>
      <rPr>
        <rFont val="Helvetica Neue"/>
        <color rgb="FF1155CC"/>
        <u/>
      </rPr>
      <t>https://ieeexplore.ieee.org/document/10491319/</t>
    </r>
  </si>
  <si>
    <t>7815-7831</t>
  </si>
  <si>
    <t>10.1109/TEM.2024.3384995</t>
  </si>
  <si>
    <t>Digital transformation (DT) is a critical area of focus as it disruptively transforms organizational business models, processes, and products. Despite being a prominent topic among information system scholars, the research has mostly centered around technological aspects, and there is a need to broaden the research approach to increase the understanding of DT's intricate dynamics, interdisciplinary nature, and cross-level perspectives, with practical guidance, while providing actionable insights for organizations. Through action design research, we elaborate a practical Digital-by-Design (DbD) framework grounded in theoretical foundations, to emphasize the interconnected dimensions of people, process and technology for enhancing DT feasibility and viability. This research contributes to a deeper understanding of DT initiatives by recognizing the significance of: 1) diverse organizational, process, and industry needs; 2) individual uniqueness concerning DT; 3) technology integration and scale-up patterns; 4) cross-level empirical perspectives; and 5) an interdisciplinary approach by supporting organizations when navigating DT complexities and dynamics. Recognizing the practical managerial challenges, the study offers a comprehensive guidance for designing and implementing a DT into the business processes.</t>
  </si>
  <si>
    <t>1558-0040</t>
  </si>
  <si>
    <t>Score: 0
Justification:
	•	CI01: not met — the abstract mentions “management and organization of processes” and “production processes,” but does not explicitly mention Business Process Management or BPM.
	•	CI02: met — addresses digitalization and implementation of digital technologies in production processes.
	•	CI03: met — explicitly mentions several technologies, including big data, information technologies, blockchain, IT/OT, EQMS, ERP, and PLM.
	•	CI04: partially met — the abstract says the article “shows the role of information technology” and describes technologies used in production, but it is not fully clear from the abstract whether it presents an application, framework, model, method, or empirical analysis. Since the instruction says to be strict, this is not clearly met.
	•	CI05: met — the title and abstract are written in English.
	•	CE01–CE04: no exclusion criterion clearly applies, but the study is excluded because CI01 is not met and CI04 is not clearly supported.</t>
  </si>
  <si>
    <t>Score: 0
Justification:
* **CI01: Not met** — The study does not explicitly mention "Business Process Management" or the acronym "BPM" anywhere in the title or abstract. References to "management of processes" and "management processes" are generic and do not constitute an explicit mention of BPM as a discipline or methodology.
* **CI02: Met** — The study addresses digitalization explicitly, referencing "digitalization of big data collection, storage and analysis" and the role of digital technologies in production.
* **CI03: Met** — The study explicitly mentions multiple technologies, including big data, blockchain, information technologies (IT), operational technologies (OT), ERP, PLM, and EQMS.
* **CI04: Met** — The article presents an analysis of the role and implementation of information technologies within production and enterprise contexts, constituting an applied analysis.
* **CI05: Met** — The title and abstract are written in English.
* **CE01: Does not apply** — The study is related to digital technologies and process management in a production context.
* **CE02: Does not apply** — The study is set within an organizational and business context (enterprise production management).
* **CE03: Does not apply** — This appears to be a primary study presenting original analysis.
* **CE04: Does not apply** — The abstract provides sufficient information to assess relevance.
**Reason for Score = 0:** CI01 is not met. The study makes no explicit mention of Business Process Management (BPM) or the term "BPM," which is a mandatory inclusion criterion.</t>
  </si>
  <si>
    <t>Aleksandrova, Svetlana V.</t>
  </si>
  <si>
    <t>2023 International Conference on Quality Management, Transport and Information Security, Information Technologies (IT&amp;QM&amp;IS)</t>
  </si>
  <si>
    <t>Implementation of Digital Technologies in Production Processes</t>
  </si>
  <si>
    <r>
      <rPr>
        <rFont val="Helvetica Neue"/>
        <color rgb="FF1155CC"/>
        <u/>
      </rPr>
      <t>https://ieeexplore.ieee.org/document/10346533/</t>
    </r>
  </si>
  <si>
    <t>104-108</t>
  </si>
  <si>
    <t>10.1109/ITQMTIS58985.2023.10346533</t>
  </si>
  <si>
    <t>Modern production requires modern methods of management and organization of processes. The most important methods are digitalization of big data collection, storage and analysis, control of production and management processes, building a product lifecycle management system based on modern information technologies. The article shows the role of information technology in a successful enterprise. Analytics helps to understand the information contained in big data. Visualization of data provides for more efficient use by humans. Blockchain is another digital technology with future potential for quality improvement, especially in the field of security and traceability. The connection between information technologies (IT) and operational technologies (OT) is shown, where IT includes the enterprise quality management system (EQMS), enterprise resource planning (ERP) and product lifecycle management (PLM), and OT are technologies used in production.</t>
  </si>
  <si>
    <t>Score: 1
Justification:
	•	CI01: met — explicitly mentions “Business Process Management (BPM)” and later “business process management (BPM).”
	•	CI02: met — addresses digital transformation through the phrase “digital revolution” and discusses how it affects BPM.
	•	CI03: met — explicitly mentions technologies such as machine learning, artificial intelligence (AI), and automated BPM.
	•	CI04: met — indicates an empirical analysis through interviews with digital businesses and proposes recommendations/use cases: “Digital businesses will be interviewed and analysed to determine potential use cases.”
	•	CI05: met — the title and abstract are written in English.
	•	CE01–CE04: none apply — it is related to BPM, digital transformation, technology, and business context; it is not clearly a secondary study, and there is enough information in the abstract to assess relevance.</t>
  </si>
  <si>
    <t>Score: 1
Justification:
* **CI01: Met** — The study explicitly mentions "Business Process Management (BPM)" and the acronym "BPM" multiple times throughout the abstract, including in the context of optimization and automation.
* **CI02: Met** — The abstract explicitly refers to "the digital revolution" and its impact on BPM, directly addressing digital transformation as a core theme.
* **CI03: Met** — The study explicitly applies artificial intelligence (AI) and machine learning as the core technologies examined in relation to BPM optimization and automation.
* **CI04: Met** — The study conducts interviews and analysis of digital businesses to identify use cases, and presents recommendations for future research and development — constituting an empirical analysis with applied findings.
* **CI05: Met** — The title and abstract are written in English.
* **CE01: Does not apply** — The study is directly related to BPM, digital transformation, and technologies (AI and machine learning).
* **CE02: Does not apply** — The study is firmly grounded in a business and organizational context, focusing on companies and their internal procedures.
* **CE03: Does not apply** — This is a primary study involving original data collection (interviews with digital businesses), not a secondary study.
* **CE04: Does not apply** — The abstract provides sufficient information to assess relevance clearly.</t>
  </si>
  <si>
    <t>Ravisankar, A.; Singh, Ravinjit; Sree Hari Raju, S.; Azhagu Jaisudhan Pazhani, A.</t>
  </si>
  <si>
    <t>2023 International Conference on New Frontiers in Communication, Automation, Management and Security (ICCAMS)</t>
  </si>
  <si>
    <t>AIML: The Approach of Optimization to Support the Company Organizing the Automated Business Technique</t>
  </si>
  <si>
    <r>
      <rPr>
        <rFont val="Helvetica Neue"/>
        <color rgb="FF1155CC"/>
        <u/>
      </rPr>
      <t>https://ieeexplore.ieee.org/document/10525897/</t>
    </r>
  </si>
  <si>
    <t>10.1109/ICCAMS60113.2023.10525897</t>
  </si>
  <si>
    <t>Companies struggle with the ongoing optimization of their business processes. In this era of rapid technological advancement, ever-changing internal and external framework circumstances, and evolving consumer preferences, Businesses should optimize their internal procedures to provide the quickest turnaround times, the highest product quality, and other benefits. The goal of this article is to use techniques like machine learning and artificial intelligence (AI) to examine how the digital revolution will affect Business Process Management (BPM). As a result, break down the essentials to show that everything fits together. Digital businesses will be interviewed and analysed to determine potential use cases. The paper's findings will consist of recommendations for future research and development in the area of business process management (BPM) and procedure optimization using machine learning and AI. The optimum tool for automated BPM may be determined with the use of machine learning and AI-based process of management strategies.</t>
  </si>
  <si>
    <t>Score: 0
Justification:
	•	CI01: met — explicitly mentions Business Process Management in the sentence: “BPA is an established area in Business Process Management.”
	•	CI02: not clearly met — the abstract discusses “transforming business processes” and automation, but does not clearly mention digital transformation, digitalization, or digital innovation.
	•	CI03: met — explicitly mentions technologies/tools such as RPA, C-RPA, Workflow Management Systems, ERP, and Blockchain.
	•	CI04: met — it presents a systematic literature review covering more than 300 research papers.
	•	CI05: met — the title and abstract are written in English.
	•	CE01–CE04: CE03 applies — the title explicitly says “A Systematic Literature Review,” and the abstract confirms it is an SLR. Therefore, even though it is related to BPM and technologies, it must be excluded as a secondary study.</t>
  </si>
  <si>
    <t>Score: 0
Justification:
* **CI01: Met** — The study explicitly mentions "Business Process Management" and positions BPA as an area within BPM, with multiple references throughout the abstract.
* **CI02: Met** — The study addresses the transformation of business processes through automation and digitalization, referencing the broader context of organizational change driven by technology.
* **CI03: Met** — The study explicitly mentions multiple technologies, including Robotic Process Automation (RPA), Cognitive-RPA, Workflow Management Systems (WfMS), ERP, and Blockchain.
* **CI04: Met** — The study reviews over 300 research papers and presents synthesized findings, typologies, and critical success factors for BPA implementation.
* **CI05: Met** — The title and abstract are written in English.
* **CE01: Does not apply** — The study is directly related to BPM, process automation, and technologies.
* **CE02: Does not apply** — The study is grounded in an organizational and business context, with a specific focus on SMEs.
* **CE03: Applies** — The abstract explicitly identifies this work as a "Systematic Literature Review (SLR)," covering more than 300 research papers from multiple scientific databases. This is a secondary study by definition, which directly triggers CE03.
* **CE04: Does not apply** — The abstract provides sufficient information to assess relevance.
**Reason for Score = 0:** CE03 applies. The study is explicitly a Systematic Literature Review (SLR), which constitutes a secondary study and is therefore excluded under CE03.</t>
  </si>
  <si>
    <t>Moreira, Silvia; Mamede, Henrique S.; Santos, Arnaldo</t>
  </si>
  <si>
    <t>IEEE Access</t>
  </si>
  <si>
    <t>Business Process Automation in SMEs: A Systematic Literature Review</t>
  </si>
  <si>
    <r>
      <rPr>
        <rFont val="Helvetica Neue"/>
        <color rgb="FF1155CC"/>
        <u/>
      </rPr>
      <t>https://ieeexplore.ieee.org/document/10540093/</t>
    </r>
  </si>
  <si>
    <t>75832-75864</t>
  </si>
  <si>
    <t>10.1109/ACCESS.2024.3406548</t>
  </si>
  <si>
    <t>Business Process Automation has been gaining increasing importance in the management of companies and organizations since it reduces the time needed to carry out routine tasks, freeing employees for other, more creative and exciting things. It can be applied in the most varied business areas. Organizations from any sector of activity can also adopt it. Given these benefits, the granted success in transforming business processes would be expected. However, automation initiatives still fail. Adopting this technology can raise social, technological, ethical, methodical, and organizational issues. These facts have triggered the necessity for a summary that could extract more information about how to implement Business Process Automation (BPA), attending to the administrative processes, especially when applied in Small and Medium-sized Enterprises (SMEs). This study aims not only to review the available literature on how to implement BPA but also to typify the processes that can be automated, which technologies or tools exist for making that change, and influence factors in the procedure of BPA. We have covered more than 300 research papers published between 2016 and 2023 in reputable scientific data sources like Scopus, Web of Science/Clarivate, and ScienceDirect/Elsevier. The review revealed some paths for BPA, with some common steps. In addition, some common process characteristics fundamental to automation are exposed, as well as factors that are critical to an organization for successful automation. The results indicate that BPA is an established area in Business Process Management related to technologies/tools like Robotic Process Automation (RPA) or Cognitive-Robotic Process Automation (C-RPA), Workflow Management Systems (WfMS), Enterprise Resource Planning (ERP), and Blockchain. As far as we observed, this Systematic Literature Review (SLR) is a unique study that covers all the environmental variables for applying automation in business processes.</t>
  </si>
  <si>
    <t>2169-3536</t>
  </si>
  <si>
    <t>Score: 1
Justification:
	•	CI01: met — explicitly mentions Business Process Management (BPM) several times, including “Business Process Management (BPM) as a management discipline.”
	•	CI02: met — explicitly mentions digital transformation, stating that the BPM project aimed at “digital transformation from a functional management system to a business process management system.”
	•	CI03: met — explicitly mentions technological/process-system elements, especially business process management system, as well as modeling, simulation, and implementation.
	•	CI04: met — presents a project/application at the Libyan International Medical University, describing its inception, trainee selection, development stages, and current stage.
	•	CI05: met — the title and abstract are written in English.
	•	CE01–CE04: none apply — the study is related to BPM, digital transformation, technology/system implementation, and an organizational context; it is not a secondary study, and the abstract provides enough information to assess relevance.</t>
  </si>
  <si>
    <t>Score: 1
Justification:
* **CI01: Met** — The study explicitly and repeatedly mentions "Business Process Management (BPM)" throughout the abstract, both as a management discipline and as a system being implemented.
* **CI02: Met** — The abstract explicitly states the project's purpose is "digital transformation from a functional management system to a business process management system," directly addressing digital transformation.
* **CI03: Met** — The study references a "business process management system" as the software system being implemented, and mentions process modeling and simulation as technological practices. A BPM system constitutes a software system as referenced in CI03.
* **CI04: Met** — The study presents a BPM implementation project at the Libyan International Medical University (LIMU), describing its inception, development stages, and outcomes — constituting an applied case with empirical elements.
* **CI05: Met** — The title and abstract are written in English.
* **CE01: Does not apply** — The study is directly related to BPM and digital transformation.
* **CE02: Does not apply** — The study is set within an organizational context (a university undergoing digital transformation through BPM adoption).
* **CE03: Does not apply** — This is a primary study reporting on an original BPM implementation project, not a secondary study.
* **CE04: Does not apply** — The abstract provides sufficient information to assess relevance.</t>
  </si>
  <si>
    <t>Abdelnabi, Esra A.; Fadel, Maram A.; Erhoma, Latifa A.; Elbarghathi, Bariq A.</t>
  </si>
  <si>
    <t>Application of Business Process Management in the Libyan International Medical University: History and Development</t>
  </si>
  <si>
    <r>
      <rPr>
        <rFont val="Helvetica Neue"/>
        <color rgb="FF1155CC"/>
        <u/>
      </rPr>
      <t>https://ieeexplore.ieee.org/document/10169815/</t>
    </r>
  </si>
  <si>
    <t>348-352</t>
  </si>
  <si>
    <t>10.1109/MI-STA57575.2023.10169815</t>
  </si>
  <si>
    <t>Business Process Management (BPM) as a management discipline has become crucial for organizations to be competitive and also an important area of research for many business organizations. The need for employees with skills and knowledge in business process management, as organizations develop their processes through modeling, simulation, implementation and continuous improvement may require an appropriate workforce to develop people with knowledge and expertise such as business process modelers, analysts, designers and implementers etc. This places a great demand on higher education institutions to provide these competencies by teaching business process management to their students. It has become necessary to develop educational approaches that actually allow for effective BPM teaching. Furthermore, to provide high-quality education and research, the universities themselves may take advantage of Business Process Management. Due to the emergence of BPM a number of higher education institutions around the world have begun implementing BPM over the past few decades. However, the number of institutions that offer specialized education on BPM in a systematic and in-depth manner is rare compared to other disciplines. This paper presents a business process management project at the Libyan International Medical University (LIMU) for the purpose of digital transformation from a functional management system to a business process management system. We will present the project from its inception, the process of selecting trainees, the stages of development they have gone through and the current stage of the project. In general, the selected trainees have achieved high levels of learning using the assisted self-learning method.</t>
  </si>
  <si>
    <t>Score: 1
Justification:
	•	CI01: met — explicitly mentions Business Process Management in the abstract: “Digital Transformation or Business Process Management.”
	•	CI02: met — explicitly addresses Digital Transformation and business process digitalization, including in the title.
	•	CI03: met — explicitly mentions technologies/software elements such as simulation business games, user interfaces (UI), UI prototype, and information systems education.
	•	CI04: met — presents a design and implementation study: it defines requirements, implements them into a UI prototype using SCRUM, and evaluates the prototype through expert interview and SUS questionnaire.
	•	CI05: met — the title and abstract are written in English.
	•	CE01–CE04: none apply — it is related to BPM, digitalization, technology/software, and an educational/organizational context; it is not a secondary study, and the abstract provides enough information to assess relevance.</t>
  </si>
  <si>
    <t>Score: 0
Justification:
* **CI01: Met** — The study explicitly mentions "Business Process Management" and "business process digitalization" in both the title and abstract.
* **CI02: Met** — The abstract explicitly references "Digital Transformation" and "business process digitalization" as core concepts being addressed.
* **CI03: Not met** — While the study mentions information systems and uses SCRUM methodology to develop a UI prototype, the technologies referenced are related to game and interface development, not to BPM-enabling technologies such as AI, RPA, process mining, blockchain, or similar. The study treats BPM and digital transformation as subjects to be taught, not as technologies being applied or analyzed.
* **CI04: Met** — The study proposes a UI prototype design, implements ten gathered requirements, and evaluates it through expert interviews and a System Usability Scale (SUS) questionnaire, constituting a design method with empirical evaluation.
* **CI05: Met** — The title and abstract are written in English.
* **CE01: Does not apply** — The study is related to BPM and digital transformation, even if from a pedagogical angle.
* **CE02: Applies** — The study is set in an educational context focused on teaching IS concepts through simulation games. It does not address BPM or digital transformation within an organizational or business operational context.
* **CE03: Does not apply** — This is a primary study presenting original design and evaluation work.
* **CE04: Does not apply** — The abstract provides sufficient information to assess relevance.
**Reason for Score = 0:** CI03 is not met, as the study does not explicitly mention or apply BPM-relevant technologies. Additionally, CE02 applies, as the study operates in an educational rather than organizational or business context.</t>
  </si>
  <si>
    <t>Levkovskyi, Borys; Bondarenko, Maksym; Ring, Marco; Strimbu, George; Utesch, Matthias; Krcmar, Helmut</t>
  </si>
  <si>
    <t>2022 IEEE Global Engineering Education Conference (EDUCON)</t>
  </si>
  <si>
    <t>Toward a Game-like Experience: Design of a Modern User Interface of a Simulation Game for Teaching Business Process Digitalization</t>
  </si>
  <si>
    <r>
      <rPr>
        <rFont val="Helvetica Neue"/>
        <color rgb="FF1155CC"/>
        <u/>
      </rPr>
      <t>https://ieeexplore.ieee.org/document/9766496/</t>
    </r>
  </si>
  <si>
    <t>1849-1857</t>
  </si>
  <si>
    <t>10.1109/EDUCON52537.2022.9766496</t>
  </si>
  <si>
    <t>Educators have recently been searching for new teaching methods other than traditional frontal lectures, and the ongoing pandemic has drastically boosted this process. Information systems (IS) education is no exception, since, in addition to the challenges of virtual learning, some IS concepts, like Digital Transformation or Business Process Management, lead to better mastering of the learning objectives when taught with some hands-on experience. One method of providing such an experience is the adoption of simulation business games. However, while the learning effect of the existing games is proven to be positive, their user interfaces (UI) are often criticized, which is also reflected in the research. Thus, taking one such game as an example, we propose a way to improve its UI by analyzing non-educational games with simulation aspects with a focus on requirements definition for the game UI in the educational context. Afterward, we implement the ten gathered requirements into a UI prototype by utilizing the SCRUM method, and finally, we evaluate our UI with an expert interview as well as by showcasing it to our target audience and gathering their opinion using the System Usability Scale (SUS) questionnaire. Our research leads to a drastic improvement of the SUS score, compared to the previous version, thus paving the way to implementing further scenarios for teaching business process digitalization.</t>
  </si>
  <si>
    <t>2165-9567</t>
  </si>
  <si>
    <t>Score: 0
Justification:
	•	CI01: not met — the abstract mentions “process approach” and “process management,” but does not explicitly mention Business Process Management or BPM.
	•	CI02: met — addresses the use of digital technologies in process/production management, which is related to digitalization.
	•	CI03: met — explicitly mentions digital technologies, artificial intelligence, and predictive analytics.
	•	CI04: not clearly met — the abstract discusses possible uses of digital technologies, but does not clearly present an application, framework, model, method, or empirical analysis.
	•	CI05: met — the title and abstract are written in English.
	•	CE01–CE04: no exclusion criterion clearly applies, but the study is excluded because CI01 is not met and CI04 is not clearly supported.</t>
  </si>
  <si>
    <t>Score: 0
Justification:
* **CI01: Not met** — The study does not explicitly mention "Business Process Management" or the acronym "BPM." References to "process management" and "process approach" are generic and do not constitute an explicit mention of BPM as a discipline or methodology.
* **CI02: Not met** — The abstract does not explicitly mention "digital transformation," "digitalization," or "digital innovation." It references "digital technologies" and "modern digital technologies," but this falls short of explicitly addressing digital transformation as a concept or organizational phenomenon.
* **CI03: Met** — The study explicitly mentions artificial intelligence (AI), predictive analytics, and digital technologies as tools applied to process management and decision-making.
* **CI04: Met** — The study presents an analysis of how digital technologies and process approaches can be applied in production and management contexts, constituting a conceptual analysis.
* **CI05: Met** — The title and abstract are written in English.
* **CE01: Applies** — The study is not clearly related to BPM as a discipline or to digital transformation as defined in the research topic. Its focus is on generic process and production management using digital tools, without explicit connection to BPM or digital transformation.
* **CE02: Does not apply** — The study references production and managerial processes within an organizational context.
* **CE03: Does not apply** — This appears to be a primary study.
* **CE04: Applies** — The abstract is too brief and vague to clearly establish relevance to the research topic. It lacks sufficient detail about the study's scope, methodology, or specific contributions to allow confident assessment.
**Reason for Score = 0:** CI01 and CI02 are not met, and CE04 applies. The abstract does not provide enough concrete information to confirm alignment with the research topic of BPM and digital transformation.</t>
  </si>
  <si>
    <t>Vasiliev, Victor A.; Aleksandrova, Svetlana V.</t>
  </si>
  <si>
    <t>2024 International Conference "Quality Management, Transport and Information Security, Information Technologies" (QM&amp;TIS&amp;IT)</t>
  </si>
  <si>
    <t>Digital Technologies and a Process Approach</t>
  </si>
  <si>
    <r>
      <rPr>
        <rFont val="Helvetica Neue"/>
        <color rgb="FF1155CC"/>
        <u/>
      </rPr>
      <t>https://ieeexplore.ieee.org/document/10762906/</t>
    </r>
  </si>
  <si>
    <t>10.1109/QMTISIT63393.2024.10762906</t>
  </si>
  <si>
    <t>One of the key principles of building modern production is the process approach. The processes determine the possibility and efficiency of obtaining modern materials and products, mechanical engineering, electrical engineering, electronic and any other products. On the other hand, process management at the current stage of technology development requires the use of modern digital technologies. Decision-making on process adjustments becomes possible directly during their realization. In some cases, it is possible to use artificial intelligence and use predictive analytics. Another possible use of digital technologies is the management process and the reduction of managerial errors.</t>
  </si>
  <si>
    <t>Score: 0
Justification:
	•	CI01: not met — the abstract does not explicitly mention Business Process Management or BPM.
	•	CI02: met — explicitly mentions digital transformation.
	•	CI03: met — explicitly mentions information technologies implemented in production and quality management.
	•	CI04: not clearly met — the abstract says the paper “considers” information technologies, but does not clearly indicate an application, framework, model, method, or empirical analysis.
	•	CI05: met — the title and abstract are written in English.
	•	CE01–CE04: CE04 may apply because the abstract is very brief and does not provide enough detail to assess the type of contribution clearly. The main reason for exclusion is that CI01 is not met.</t>
  </si>
  <si>
    <t>Score: 0
Justification:
* **CI01: Not met** — The study does not explicitly mention "Business Process Management" or the acronym "BPM" anywhere in the title or abstract. References to "organization of production" and "quality management" are generic management terms that do not constitute an explicit mention of BPM.
* **CI02: Met** — The abstract explicitly states that "digital transformation affects an increasing number of areas of activity of each enterprise or organization," directly addressing digital transformation.
* **CI03: Met** — The study addresses "information technologies implemented in the organization of production and quality management," explicitly referencing technology as its core subject.
* **CI04: Not met** — The abstract is too brief to confirm the presence of a framework, model, method, or empirical analysis. The phrase "most common information technologies… are considered" suggests a descriptive overview rather than a structured application, framework, or empirical study.
* **CI05: Met** — The title and abstract are written in English.
* **CE01: Does not apply** — The study is related to digital transformation and information technologies in an organizational context.
* **CE02: Does not apply** — The study is set within an enterprise/organizational context focused on production and quality management.
* **CE03: Does not apply** — There is insufficient evidence to classify this as a secondary study.
* **CE04: Applies** — The abstract is extremely brief (two sentences) and provides insufficient detail about the study's scope, methodology, specific technologies covered, or contributions to allow a confident assessment of relevance to the research topic.
**Reason for Score = 0:** CI01 and CI04 are not met, and CE04 applies. The abstract lacks explicit mention of BPM and does not provide enough information to confirm the nature or contribution of the study.</t>
  </si>
  <si>
    <t>Vasiliev, Victor A.</t>
  </si>
  <si>
    <t>Information Technologies in the Organization of Production and Quality Management</t>
  </si>
  <si>
    <r>
      <rPr>
        <rFont val="Helvetica Neue"/>
        <color rgb="FF1155CC"/>
        <u/>
      </rPr>
      <t>https://ieeexplore.ieee.org/document/10346584/</t>
    </r>
  </si>
  <si>
    <t>10.1109/ITQMTIS58985.2023.10346584</t>
  </si>
  <si>
    <t>Digital transformation affects an increasing number of areas of activity of each enterprise or organization. In this paper, the most common information technologies implemented in the organization of production and quality management are considered.</t>
  </si>
  <si>
    <t>Score: 1
Justification:
	•	CI01: met — explicitly mentions Business Process Management (BPM) in the title and abstract.
	•	CI02: met — explicitly connects BPM to digital transformation initiatives, stating that the model strengthens BPM’s role in “organizational and digital transformation initiatives.”
	•	CI03: met — explicitly mentions technologies such as low-code (LC), hyperautomation (HA), LC-BPM environments, process automation, and process observability.
	•	CI04: met — presents an empirically grounded model, developed using a modified Delphi method with experts and validated through workshops.
	•	CI05: met — the title and abstract are written in English.
	•	CE01–CE04: none apply — the study is related to BPM, digital transformation, technologies, and organizational contexts; it is not a secondary study, and the abstract provides enough information to assess relevance.</t>
  </si>
  <si>
    <t>Score: 1
Justification:
* **CI01: Met** — The study explicitly and repeatedly mentions "Business Process Management (BPM)" throughout the abstract, including references to BPM lifecycle, BPM practice, BPM projects, and BPM's strategic role.
* **CI02: Met** — The abstract explicitly references "digital transformation initiatives" and "process transformation," positioning the iBPM lifecycle as a contribution to organizational and digital transformation.
* **CI03: Met** — The study explicitly mentions and integrates multiple technologies, including low-code (LC), hyperautomation (HA), and intelligent BPM (iBPM), describing their convergence and application within BPM environments.
* **CI04: Met** — The study develops the iBPM lifecycle model using a modified Delphi method with ten experts and validates it through formative evaluation workshops across manufacturing, financial services, and IT consulting organizations — constituting both a model proposal and empirical validation.
* **CI05: Met** — The title and abstract are written in English.
* **CE01: Does not apply** — The study is directly and centrally related to BPM, digital transformation, and technologies.
* **CE02: Does not apply** — The study is firmly grounded in organizational contexts, with validation conducted across multiple industries including manufacturing, financial services, and IT consulting.
* **CE03: Does not apply** — This is a primary study presenting an original model developed and validated through empirical methods.
* **CE04: Does not apply** — The abstract provides rich and detailed information to assess relevance with full confidence.</t>
  </si>
  <si>
    <t>Arno, Pavel; Gabryelczyk, Renata</t>
  </si>
  <si>
    <t>The iBPM Lifecycle: Integrating Low-Code and Hyperautomation Into Business Process Management</t>
  </si>
  <si>
    <r>
      <rPr>
        <rFont val="Helvetica Neue"/>
        <color rgb="FF1155CC"/>
        <u/>
      </rPr>
      <t>https://ieeexplore.ieee.org/document/11196068/</t>
    </r>
  </si>
  <si>
    <t>175410-175426</t>
  </si>
  <si>
    <t>10.1109/ACCESS.2025.3619274</t>
  </si>
  <si>
    <t>Low-code (LC) technology and hyperautomation (HA) are reshaping Business Process Management (BPM) practice by enabling faster, more agile, and more accessible process design and automation. This technological convergence challenges the relevance of the traditional BPM lifecycle, which is increasingly misaligned with the proactive, user-centric capabilities now available in LC-BPM environments augmented with HA capabilities. This study introduces the intelligent BPM (iBPM) lifecycle – an empirically grounded model that redefines the traditional BPM approach in light of new technological advances. The iBPM lifecycle model reflects HA capabilities and LC democratization, integrating them into BPM practices to proactively enhance user experience and efficiency in BPM projects. The model was developed using a modified Delphi method with ten experts from leading LC-BPM vendors and validated through formative evaluation workshops in manufacturing, financial services, and IT consulting organizations. Findings show that the iBPM lifecycle unifies process design, application design, and process observability within an integrated, augmented environment, reducing reliance on professional developers and accelerating process transformation. By explicitly incorporating LC and HA capabilities, the iBPM lifecycle provides both a theoretical revision of the traditional BPM lifecycle and a practical roadmap for intelligent process management and automation, strengthening BPM’s strategic role in organizational and digital transformation initiatives.</t>
  </si>
  <si>
    <t>Score: 0
Justification:
	•	CI01: not met — the title and abstract mention “business processes” and “business process adaptability,” but do not explicitly mention Business Process Management or BPM.
	•	CI02: not clearly met — the abstract discusses technological disruption and emerging technology in organizations, but does not explicitly mention digital transformation, digitalization, or digital innovation.
	•	CI03: met — explicitly mentions Intelligent Automation, Artificial Intelligence, and Machine Learning.
	•	CI04: met — the study aims to propose a framework for Intelligent Automation systems.
	•	CI05: met — the title and abstract are written in English.
	•	CE01–CE04: no exclusion criterion clearly applies, but the study is excluded because CI01 is not met and CI02 is not clearly supported.</t>
  </si>
  <si>
    <t>Score: 0
Justification:
* **CI01: Not met** — The study does not explicitly mention "Business Process Management" or the acronym "BPM" anywhere in the title or abstract. References to "business processes" and "organisational workflow" are generic and do not constitute an explicit mention of BPM as a discipline or methodology.
* **CI02: Not met** — The abstract does not explicitly mention "digital transformation," "digitalization," or "digital innovation." The reference to "emerging technology" and "technological disruption" does not sufficiently equate to digital transformation as defined in the research topic.
* **CI03: Met** — The study explicitly mentions Artificial Intelligence (AI) and Machine Learning as core technologies integrated within the proposed Intelligent Automation framework.
* **CI04: Met** — The study proposes a framework for Intelligent Automation systems applied to business processes, constituting a framework proposal as required by CI04.
* **CI05: Met** — The title and abstract are written in English.
* **CE01: Does not apply** — The study is related to technology application in business processes, even if BPM and digital transformation are not explicitly named.
* **CE02: Does not apply** — The study is set within an organisational and business context, focusing on workflow, performance, and competitive purposes.
* **CE03: Does not apply** — This is a primary study presenting an original framework proposal.
* **CE04: Does not apply** — The abstract provides sufficient information to assess relevance.
**Reason for Score = 0:** CI01 and CI02 are not met. The study does not explicitly mention BPM or digital transformation, both of which are mandatory inclusion criteria.</t>
  </si>
  <si>
    <t>Williams, Olatorera C.; Olajide, Funminiyi</t>
  </si>
  <si>
    <t>2022 5th International Conference on Information and Computer Technologies (ICICT)</t>
  </si>
  <si>
    <t>Towards the Design of an Intelligent Automation Framework for Business Processes</t>
  </si>
  <si>
    <r>
      <rPr>
        <rFont val="Helvetica Neue"/>
        <color rgb="FF1155CC"/>
        <u/>
      </rPr>
      <t>https://ieeexplore.ieee.org/document/9844997/</t>
    </r>
  </si>
  <si>
    <t>13-17</t>
  </si>
  <si>
    <t>10.1109/ICICT55905.2022.00010</t>
  </si>
  <si>
    <t>The impact of emerging technology on organisations has caused technological disruption to business processes. It is therefore required to develop better measures to improve and speed up processes for performance and competitive purposes. Intelligent Automation is an emerging technological concept that focuses on organisational workflow via the integration of Artificial Intelligence and Machine Learning, for effective operability and decision-making processes. Focusing on business process adaptability, this study aims at proposing a framework for Intelligent Automation systems. Outcomes could enable adoption, integration, and deployment of Intelligent Automation to business processes in dynamic environments.</t>
  </si>
  <si>
    <t>Score: 0
Justification:
        •        CI01: met — explicitly mentions Business Process Management (BPM) and BPM lifecycle.
        •        CI02: met — explicitly connects BPM to digital transformation, stating that BPM offers “a strategic pathway to operational efficiency and digital transformation.”
        •        CI03: met — explicitly mentions technologies such as low-code platforms, low-code tools, workflow automation, AI, and process mining.
        •        CI04: met — presents an empirical study using a triangulated research design, combining rapid literature review and expert survey.
        •        CI05: met — the title and abstract are written in English.
        •        CE01–CE04: CE03 applies — although the study includes an expert survey, the abstract states that the design combines a rapid literature review with an expert survey. Since your exclusion criterion removes literature reviews/secondary studies, I would exclude it to stay strict, unless you decide that mixed studies with primary empirical data can be included.</t>
  </si>
  <si>
    <t>Score: 1
Justification:
* **CI01: Met** — The study explicitly mentions "Business Process Management (BPM)" and "BPM lifecycle" multiple times throughout the abstract, positioning BPM as the central subject of investigation.
* **CI02: Met** — The abstract explicitly states that BPM "offers a strategic pathway to operational efficiency and digital transformation," directly addressing digital transformation.
* **CI03: Met** — The study explicitly mentions low-code technologies, workflow automation, AI, and process mining as technologies examined in the context of BPM adoption among SMEs.
* **CI04: Met** — The study employs a triangulated research design combining a rapid literature review with an expert survey of BPM practitioners in SMEs, constituting a robust empirical analysis.
* **CI05: Met** — The title and abstract are written in English.
* **CE01: Does not apply** — The study is directly related to BPM, digital transformation, and technologies.
* **CE02: Does not apply** — The study is firmly grounded in an organizational and business context, specifically focusing on SMEs and their BPM practices.
* **CE03: Does not apply** — Although the study includes a rapid literature review as one component of a triangulated design, its primary contribution is empirical, based on an original expert survey. The study is not a secondary study by nature or intent.
* **CE04: Does not apply** — The abstract provides detailed and sufficient information to assess relevance with confidence.</t>
  </si>
  <si>
    <t>Arno, Pavel</t>
  </si>
  <si>
    <t>From Theory to Practice: Empirical Insights on BPM Lifecycle Adoption and Low-Code Utilization in SMEs</t>
  </si>
  <si>
    <r>
      <rPr>
        <rFont val="Helvetica Neue"/>
        <color rgb="FF1155CC"/>
        <u/>
      </rPr>
      <t>https://ieeexplore.ieee.org/document/11062816/</t>
    </r>
  </si>
  <si>
    <t>117385-117403</t>
  </si>
  <si>
    <t>10.1109/ACCESS.2025.3585261</t>
  </si>
  <si>
    <t>Small and medium-sized enterprises (SMEs) face growing pressure to adapt to dynamic, competitive markets. Business Process Management (BPM) offers a strategic pathway to operational efficiency and digital transformation. While the BPM lifecycle and low-code platforms are frequently presented as key enablers for SMEs, few empirical studies examine their practical implementation. This study addresses two research questions: 1) how SMEs use low-code technologies to support BPM, and 2) how they apply – or deviate from – the traditional BPM lifecycle. Using a triangulated research design combining a rapid literature review and an expert survey of BPM practitioners in SMEs, the study finds that low-code tools are widely adopted for basic BPM tasks such as process modeling and workflow automation. However, advanced features like AI and process mining are underutilized. Likewise, SMEs often skip or adapt BPM lifecycle phases due to organizational constraints. These findings highlight a gap between BPM theory and SME practice, emphasizing the need for more adaptive BPM frameworks and accessible low-code solutions tailored to SME contexts.</t>
  </si>
  <si>
    <t>Score: 0
Justification:
	•	CI01: not met — the abstract mentions “business processes,” “process automation” and “process optimisation,” but does not explicitly mention Business Process Management or BPM.
	•	CI02: met — explicitly addresses AI-powered digital transformation.
	•	CI03: met — explicitly mentions technologies such as RPA, machine learning (ML), artificial intelligence (AI), and AI-driven analytics.
	•	CI04: met — appears to provide a roadmap for businesses looking to automate and optimize processes using AI.
	•	CI05: met — the title and abstract are written in English.
	•	CE01–CE04: no exclusion criterion clearly applies, but the study is excluded because CI01 is not met. Under your strict rule, “business processes” or “process automation” alone are not enough without explicit BPM/Business Process Management.</t>
  </si>
  <si>
    <t>Score: 0
Justification:
* **CI01: Not met** — The study does not explicitly mention "Business Process Management" or the acronym "BPM" anywhere in the title or abstract. References to "business processes" and "process optimisation" are generic terms that do not constitute an explicit mention of BPM as a discipline or methodology.
* **CI02: Met** — The abstract explicitly addresses "AI-powered digital transformation" as its central theme, with direct and repeated references to digital transformation throughout.
* **CI03: Met** — The study explicitly mentions multiple technologies including Robotic Process Automation (RPA), Machine Learning (ML), Artificial Intelligence (AI), and AI-driven analytics as core subjects of the study.
* **CI04: Met** — The article examines principles, advantages, and challenges of the integration of process automation and optimization, and provides a roadmap for businesses — constituting a framework-level analysis with practical guidance.
* **CI05: Met** — The title and abstract are written in English.
* **CE01: Does not apply** — The study is related to digital transformation and technologies in a business context.
* **CE02: Does not apply** — The study is set within an organizational and business context, addressing operational efficiency, cost reduction, and competitive advantage across sectors.
* **CE03: Does not apply** — This appears to be a primary study presenting an original analysis and roadmap.
* **CE04: Does not apply** — The abstract provides sufficient information to assess relevance.
**Reason for Score = 0:** CI01 is not met. The study does not explicitly mention Business Process Management (BPM) or the term "BPM," which is a mandatory inclusion criterion.</t>
  </si>
  <si>
    <t>Kotte, Kulasekhara Reddy; Thammareddi, Latha; Kodi, Divya; Anumolu, Venkateswara Rao; K, Arun Kumar; Joshi, Shubham</t>
  </si>
  <si>
    <t>2025 First International Conference on Advances in Computer Science, Electrical, Electronics, and Communication Technologies (CE2CT)</t>
  </si>
  <si>
    <t>Integration of Process Optimization and Automation: A Way to AI Powered Digital Transformation</t>
  </si>
  <si>
    <r>
      <rPr>
        <rFont val="Helvetica Neue"/>
        <color rgb="FF1155CC"/>
        <u/>
      </rPr>
      <t>https://ieeexplore.ieee.org/document/10939966/</t>
    </r>
  </si>
  <si>
    <t>1133-1138</t>
  </si>
  <si>
    <t>10.1109/CE2CT64011.2025.10939966</t>
  </si>
  <si>
    <t>One of the most important factors facilitating AI-powered digital transformation is the combination of process automation and optimisation. Organisations may improve operational efficacy, save costs, and streamline procedures by utilising cutting-edge technology like robotic process automation (RPA), machine learning (ML), and artificial intelligence (AI). While automation seeks to reduce human participation in repetitive and rule-based operations, process optimisation concentrates on improving current business processes to attain improved productivity. The development of intelligent, adaptable, and self-improving systems is made possible by the combination of these two methodologies. Predictive findings, real-time decision-making, and customised customer experiences are further made possible by AI-driven analytics. This connection promotes innovation, scalability, and agility across sectors, giving businesses a competitive edge in the quickly changing digital market. The article examines the main principles, advantages, and difficulties of this shift and provides a road map for businesses looking to automate and optimise processes using AI in order to attain operational excellence and sustainable growth.</t>
  </si>
  <si>
    <t>Score: 1
Justification:
	•	CI01: met — explicitly mentions Business Process Management in the abstract: “Digital Technologies - Business Process Management, Robotic Process Automation, Natural Language Processing.”
	•	CI02: met — explicitly addresses Digital Transformation and digitalization, especially in sourcing/procurement and tender management processes.
	•	CI03: met — explicitly mentions technologies such as Business Process Management, Robotic Process Automation, Natural Language Processing, digital technologies, digital platforms, and automation.
	•	CI04: met — presents an intended empirical analysis/study in a Malaysian multinational electricity and utility company, focused on the impact of digital transformation and business process reengineering on employee job satisfaction.
	•	CI05: met — the title and abstract are written in English.
	•	CE01–CE04: none apply — the study is related to BPM, digital transformation, technologies, and an organizational/business context; it is not a secondary study, and the abstract provides enough information to assess relevance.</t>
  </si>
  <si>
    <t>Score: 1
Justification:
* **CI01: Met** — The study explicitly mentions "Business Process Management" as one of the digital technologies applied in the study, alongside RPA and NLP, within the context of procurement process transformation.
* **CI02: Met** — "Digital Transformation" is explicitly and centrally addressed throughout the abstract, described as "a methodology of leveraging emerging digital technologies &amp; platforms to re-imagine and re-engineer business/operational processes."
* **CI03: Met** — The study explicitly mentions multiple technologies including Business Process Management, Robotic Process Automation (RPA), and Natural Language Processing (NLP) as tools applied within the research context.
* **CI04: Met** — The study conducts an empirical analysis of the impact of digital transformation and Business Process Reengineering on employee job satisfaction in a specific organizational context (a Malaysian multinational electricity company), constituting an applied empirical study.
* **CI05: Met** — The title and abstract are written in English.
* **CE01: Does not apply** — The study is directly related to BPM, digital transformation, and technologies.
* **CE02: Does not apply** — The study is firmly grounded in an organizational and business context, specifically within the procurement division of a multinational utility company in Malaysia.
* **CE03: Does not apply** — This is a primary empirical study focused on a specific case organization, not a secondary study.
* **CE04: Does not apply** — The abstract provides detailed and sufficient information to assess relevance with confidence.</t>
  </si>
  <si>
    <t>Mukherjee, Debiprasad; Ahmad, Shaheen</t>
  </si>
  <si>
    <t>2023 1st International Conference on Intelligent Computing and Research Trends (ICRT)</t>
  </si>
  <si>
    <t>Impact of Digital Transformation in Sourcing &amp; Tender Management Processes on Employee Job Satisfaction - A Study on Malaysian Multinational Electricity Company</t>
  </si>
  <si>
    <r>
      <rPr>
        <rFont val="Helvetica Neue"/>
        <color rgb="FF1155CC"/>
        <u/>
      </rPr>
      <t>https://ieeexplore.ieee.org/document/10146729/</t>
    </r>
  </si>
  <si>
    <t>10.1109/ICRT57042.2023.10146729</t>
  </si>
  <si>
    <t>This Digital Transformation is a methodology of leveraging emerging digital technologies &amp; platforms to re-imagine and re-engineer AS-IS business/operational processes, organizational culture, and user experiences to meet evolving global business requirements. Hence, reimagining the business in the digital age with technological innovation &amp; adoption is the essence of digital transformation. Job Satisfaction is measured as the extent to which employees prefer their job or specific aspects of jobs, like the profile of work or quality of the job and has a direct relationship with employee Work-life Balance, Work Performance Management, Job Rotation/Distribution &amp; Skill Management.Key objective of this research is focused on the Analysis of the Impact of Digital Transformation &amp; Business Process Reengineering in the areas of E2E Sourcing/Procurement Management &amp; Tender Life Cycle Management eco-system on the Employee Job Satisfaction Index. This study is intended to deal with existing issues, to analyze process gaps &amp; to assess potential improvement in the team’s job satisfaction of Sourcing &amp; Category Managers of the Procurement Division with the help of Digital Technologies - Business Process Management, Robotic Process Automation, Natural Language Processing, specifically in the context of a Malaysian Multinational Electricity &amp; Utility Company (to be referred as Case-Organization).The intended research finding analysis should help senior management of the procurement division to focus their attention to digitalization &amp; automation activities from internal human resource &amp; leadership perspectives to leverage if digital transformation brings any value in effective work allocation, better job rotation, improved work-life balance, enhanced work quality and efficient performance management etc.</t>
  </si>
  <si>
    <t>Score: 0
Justification:
	•	CI01: not met — the abstract mentions “management of its business processes” and “business process reengineering,” but does not explicitly mention Business Process Management or BPM.
	•	CI02: met — explicitly addresses digitalization and digital transformation, especially in the context of business processes.
	•	CI03: not clearly met — the abstract refers broadly to “digitalization process,” but does not explicitly mention or apply a specific technology, digital system, software, or technological tool.
	•	CI04: not clearly met — the abstract says the article “discusses” business process reengineering, but does not clearly present an application, framework, model, method, or empirical analysis.
	•	CI05: met — the title and abstract are written in English.
	•	CE01–CE04: no exclusion criterion clearly applies, but the study is excluded because CI01 is not met, and CI03/CI04 are not clearly supported based only on title and abstract.</t>
  </si>
  <si>
    <t>Score: 0
Justification:
* **CI01: Not met** — The study does not explicitly mention "Business Process Management" or the acronym "BPM." References to "management of business processes" and "business process reengineering" are related but distinct concepts that do not constitute an explicit mention of BPM as a discipline or methodology.
* **CI02: Met** — The abstract explicitly references "digital transformation" and "digitalization" as core themes, framing business process reengineering as a catalyst for the digitalization process.
* **CI03: Not met** — The abstract does not explicitly mention or apply any specific technologies such as AI, RPA, process mining, big data, blockchain, IoT, or software systems. The study focuses on reengineering and restructuring concepts without referencing concrete technologies.
* **CI04: Met** — The study discusses business process reengineering and restructuring within a telecommunications company, suggesting a conceptual or applied analysis of management approaches.
* **CI05: Met** — The title and abstract are written in English.
* **CE01: Does not apply** — The study is related to business process management and digital transformation in an organizational context.
* **CE02: Does not apply** — The study is set within a clear organizational and business context, specifically a telecommunications operator in the infocommunication industry.
* **CE03: Does not apply** — This appears to be a primary study presenting original analysis.
* **CE04: Applies** — The abstract is very brief and lacks sufficient detail about the study's methodology, scope, specific contributions, or findings to allow confident assessment of its relevance to the research topic.
**Reason for Score = 0:** CI01 and CI03 are not met, and CE04 applies. The study does not explicitly mention BPM or specific technologies, and the abstract does not provide enough information to confirm alignment with the research topic.</t>
  </si>
  <si>
    <t>Kaberova, Asiya</t>
  </si>
  <si>
    <t>2022 Intelligent Technologies and Electronic Devices in Vehicle and Road Transport Complex (TIRVED)</t>
  </si>
  <si>
    <t>Restructuring and Reengineering as a Basis for Digitalization of Business Processes of a Telecommunications Operator</t>
  </si>
  <si>
    <r>
      <rPr>
        <rFont val="Helvetica Neue"/>
        <color rgb="FF1155CC"/>
        <u/>
      </rPr>
      <t>https://ieeexplore.ieee.org/document/9965483/</t>
    </r>
  </si>
  <si>
    <t>10.1109/TIRVED56496.2022.9965483</t>
  </si>
  <si>
    <t>A necessary condition for the competitiveness of an infocommunication industry company is the effective management of its business processes, considering the prospects of digital transformation. Therefore, companies systematically analyze and change approaches to their management. The article discusses the issues of business process reengineering, which involves the restructuring of the company and is a catalyst for the digitalization process.</t>
  </si>
  <si>
    <t>Score: 1
Justification:
	•	CI01: met — explicitly mentions business process management (BPM) several times, including “integrating blockchain technology with business process management (BPM).”
	•	CI02: met — explicitly connects blockchain and BPM to digital transformation, stating that the technology “facilitates digital transformation and efficient business processes.”
	•	CI03: met — explicitly mentions blockchain technology, “blockchain-based technologies,” technological infrastructure, Industry 4.0, data security, and decentralized design.
	•	CI04: met — presents an empirical study investigating how blockchain technology affects corporate/business management.
	•	CI05: met — the title and abstract are written in English.
	•	CE01–CE04: none apply — it is related to BPM, digital transformation, technology, and organizational/business context; it is not a secondary study, and the abstract provides enough information to assess relevance.</t>
  </si>
  <si>
    <t>Score: 1
Justification:
* **CI01: Met** — The study explicitly mentions "business process management (BPM)" multiple times throughout the abstract, directly linking blockchain technology to BPM practice and outcomes.
* **CI02: Met** — The abstract explicitly references "digital transformation," stating that blockchain technology "facilitates digital transformation and efficient business processes" in alignment with Industry 4.0 concepts.
* **CI03: Met** — The study explicitly applies blockchain technology as its core subject, examining its integration with BPM and its impact on cross-organizational business processes, transparency, and efficiency.
* **CI04: Met** — The abstract describes this as an empirical study investigating how blockchain technology impacts corporate management and BPM, constituting an empirical analysis with findings and conclusions.
* **CI05: Met** — The title and abstract are written in English.
* **CE01: Does not apply** — The study is directly and centrally related to BPM, digital transformation, and blockchain technology.
* **CE02: Does not apply** — The study is firmly grounded in an organizational and business context, addressing corporate management, cross-organizational processes, client satisfaction, and operational efficiency.
* **CE03: Does not apply** — This is a primary empirical study presenting original investigation and findings, not a secondary study.
* **CE04: Does not apply** — The abstract provides detailed and sufficient information to assess relevance with full confidence.</t>
  </si>
  <si>
    <t>Naved, Mohd; Jain, Mini; Reddy, V Venkat; Singla, Atul; Shakir, Aboothar Mahmood; Rajalakshmi, B</t>
  </si>
  <si>
    <t>2023 10th IEEE Uttar Pradesh Section International Conference on Electrical, Electronics and Computer Engineering (UPCON)</t>
  </si>
  <si>
    <t>Blockchain Technology for Enhanced Business Management</t>
  </si>
  <si>
    <r>
      <rPr>
        <rFont val="Helvetica Neue"/>
        <color rgb="FF1155CC"/>
        <u/>
      </rPr>
      <t>https://ieeexplore.ieee.org/document/10434531/</t>
    </r>
  </si>
  <si>
    <t>1704-1708</t>
  </si>
  <si>
    <t>10.1109/UPCON59197.2023.10434531</t>
  </si>
  <si>
    <t>This empirical study investigates how blockchain technology is revolutionizing corporate management in a dynamic way. Blockchain-based technologies have drawn a lot of interest as well as started revolutionizing a number of industries. Driven by contemporary programming and technological infrastructure., the introduction of blockchain technology has brought about new opportunities for company strategy and commercial operations. Blockchain has the ability to improve transparency and transform cross-organizational business processes because of its safe and decentralized design. The paper explores the important consequences of integrating blockchain technology with business process management (BPM). The use of blockchain in business process management (BPM) has prospects for improved information accuracy, higher client happiness, and increased efficiency. Technology plays a particularly significant role in the fourth industrialization phase since it is in accordance with Industry 4.0 concepts as well as facilitates digital transformation and efficient business processes. The study does, however, highlight the difficulties associated with employing blockchain technology, such as issues with scalability, data security, and legal compliance. The study highlights that in order for organizations to fully utilize blockchain technology, feasibility investigations and solutions to these issues must be implemented. The study's conclusion recognizes blockchain's bright future in business process management and its capacity to solve important organizational issues. Blockchain technology possesses the potential to revolutionize corporate operations as well as procedure management by providing cutting-edge solutions to a wide range of sectors as it develops further.</t>
  </si>
  <si>
    <t>2687-7767</t>
  </si>
  <si>
    <t>Score: 0
Justification:
	•	CI01: not met — the abstract mentions “management of business processes,” but does not explicitly mention Business Process Management or BPM.
	•	CI02: met — addresses digitalization through “integrated digital platform” and “implementation of digital technologies.”
	•	CI03: met — explicitly mentions technologies such as Big Data, artificial intelligence (AI), Internet of Things (IoT), digital platform, and intelligent systems.
	•	CI04: met — proposes a variant/system for intelligent management of business processes and defines implementation/investment priorities.
	•	CI05: met — the title and abstract are written in English.
	•	CE01–CE04: no exclusion criterion clearly applies, but the study is excluded because CI01 is not met. Since your protocol requires explicit Business Process Management or BPM, “management of business processes” alone is not enough.</t>
  </si>
  <si>
    <t>Score: 0
Justification:
* **CI01: Not met** — While the study mentions "management of business processes" and "business processes" throughout the abstract, it does not explicitly mention "Business Process Management" as a discipline or use the acronym "BPM." The phrasing used refers generically to process management within the oil and gas industry.
* **CI02: Not met** — The abstract does not explicitly mention "digital transformation," "digitalization," or "digital innovation." References to "digital technologies" and a "digital platform" do not sufficiently equate to digital transformation as a defined organizational concept.
* **CI03: Met** — The study explicitly mentions Big Data, Artificial Intelligence (AI), and Internet of Things (IoT) as priority digital technologies applied to management and technological business processes in the oil and gas sector.
* **CI04: Met** — The study proposes a system for intelligent management of business processes based on an integrated digital platform, constituting a model or framework proposal with defined implementation priorities.
* **CI05: Met** — The title and abstract are written in English.
* **CE01: Does not apply** — The study is related to technology application in business processes within an industrial context.
* **CE02: Does not apply** — The study is set within a clear organizational and industrial context, specifically the oil and gas industry in Russia.
* **CE03: Does not apply** — This appears to be a primary study presenting an original system proposal.
* **CE04: Applies** — The abstract is very brief and lacks sufficient detail about methodology, scope, empirical grounding, or specific contributions to allow confident assessment of its full relevance to the research topic.
**Reason for Score = 0:** CI01 and CI02 are not met, and CE04 applies. The study does not explicitly mention BPM or digital transformation, both of which are mandatory inclusion criteria.</t>
  </si>
  <si>
    <t>Karnauhov, Aleksandr; Kozhubaev, Yuriy; Ilin, Aleksei; Ivanov, Viacheslav</t>
  </si>
  <si>
    <t>2025 XXVIII International Conference on Soft Computing and Measurements (SCM)</t>
  </si>
  <si>
    <t>Intelligent Management of Business Processes in the Energy, Oil and Gas Industries of Russia</t>
  </si>
  <si>
    <r>
      <rPr>
        <rFont val="Helvetica Neue"/>
        <color rgb="FF1155CC"/>
        <u/>
      </rPr>
      <t>https://ieeexplore.ieee.org/document/11060097/</t>
    </r>
  </si>
  <si>
    <t>296-299</t>
  </si>
  <si>
    <t>10.1109/SCM66446.2025.11060097</t>
  </si>
  <si>
    <t>A variant of the system of end-to-end intelligent management of business processes of the oil and gas industry of Russia based on an integrated digital platform is proposed, priority variants of implementation of digital technologies and investments in management and technological business processes of the oil and gas complex (OGC) are defined: Big Data (big data), artificial intelligence (AI) and the Internet of things (IoT technologies). Keywords: digital technologies, platform, big data, intelligent systems, artificial intelligence.</t>
  </si>
  <si>
    <t>Score: 0
Justification:
	•	CI01: not met — the abstract does not explicitly mention Business Process Management or BPM.
	•	CI02: met — explicitly mentions digital transformation, SMEs “going digital,” and Industry 4.0.
	•	CI03: met — explicitly mentions science and technology, new technologies, and Industry 4.0.
	•	CI04: met — presents a bibliometric analysis of 2,385 Scopus papers.
	•	CI05: met — the title and abstract are written in English.
	•	CE01–CE04: CE03 applies — the study is a bibliometric analysis, therefore a secondary study. It is excluded because CI01 is not met and because CE03 applies.</t>
  </si>
  <si>
    <t>Score: 0
Justification:
* **CI01: Not met** — The study does not explicitly mention "Business Process Management" or the acronym "BPM" anywhere in the title or abstract. The topics covered include digital transformation, SMEs, and Industry 4.0, but BPM is not referenced.
* **CI02: Met** — The abstract explicitly mentions "digital transformation" and "how Small and Medium Enterprises (SMEs) are going digital" as key topics identified in the bibliometric analysis.
* **CI03: Not met** — While the abstract broadly references "science and technology" and "Industry 4.0," it does not explicitly mention or apply specific technologies such as AI, RPA, process mining, blockchain, IoT, or software systems in any concrete analytical way.
* **CI04: Not met** — Although the study presents a bibliometric analysis of 2,385 research papers, the findings are high-level trend observations about research output and citation patterns, rather than an application, framework, model, or empirical analysis focused on BPM or related technologies.
* **CI05: Met** — The title and abstract are written in English.
* **CE01: Does not apply** — The study touches on digital transformation and technology in a business context, even if tangentially.
* **CE02: Does not apply** — The study addresses business growth and organizational contexts in Indonesia.
* **CE03: Applies** — The study is explicitly a bibliometric analysis of 2,385 research papers published on Scopus, which constitutes a secondary study by definition, directly triggering CE03.
* **CE04: Does not apply** — The abstract provides sufficient information to assess relevance.
**Reason for Score = 0:** CI01, CI03, and CI04 are not met, and CE03 applies. The study is a secondary bibliometric analysis that does not explicitly address BPM, specific technologies, or present a primary empirical contribution relevant to the research topic.</t>
  </si>
  <si>
    <t>Wahyuni, Cecillia Angelica Aurelia Citra; Herman, Robertus Tang</t>
  </si>
  <si>
    <t>2025 4th International Conference on Digital Transformation and Applications (ICDXA)</t>
  </si>
  <si>
    <t>Science and Technology as a Catalyst for Business Growth in Indonesia: A Bibliometric Analysis of Opportunities and Challenges</t>
  </si>
  <si>
    <r>
      <rPr>
        <rFont val="Helvetica Neue"/>
        <color rgb="FF1155CC"/>
        <u/>
      </rPr>
      <t>https://ieeexplore.ieee.org/document/11329572/</t>
    </r>
  </si>
  <si>
    <t>46-50</t>
  </si>
  <si>
    <t>10.1109/ICDXA69105.2025.11329572</t>
  </si>
  <si>
    <t>This bibliometric analysis dives into how science and technology (S&amp;T) really boost business growth in Indonesia, highlighting both the exciting chances and the tough challenges. We looked at 2,385 research papers published on Scopus from 2020 to 2025, finding a clear surge in interest. Key topics that kept popping up included digital transformation, how Small and Medium Enterprises (SMEs) are going digital, and Industry 4.0. Interestingly, research seems to be moving away from just technical stuff to bigger picture issues like sustainability and making supply chains more efficient. Even though more papers are coming out, the average number of times they're cited is still low. This might suggest a challenge in making a real scientific impact. Also, a lot of what's published are conference papers, which tells us researchers are keen to share their findings quickly. Ultimately, this study emphasizes that we really need better teamwork between universities, businesses, and government folks, plus more cross-disciplinary approaches, to make sure new technologies genuinely help Indonesian businesses grow in a way that benefits everyone.</t>
  </si>
  <si>
    <t>Score: 0
Justification:
	•	CI01: not met — the abstract discusses “process architecture,” “process maps,” and “process redesign,” but does not explicitly mention Business Process Management or BPM.
	•	CI02: met — explicitly addresses digital transformation, especially in the phrase “De La Salle University’s digital transformation journey.”
	•	CI03: not clearly met — the abstract mentions “information assets” and process documentation, but does not explicitly mention or apply a specific digital technology, software system, platform, or technological tool.
	•	CI04: met — presents a case study/application involving process architecture formulation, process redesign, reference frameworks, Lean Technique, and lessons/challenges/milestones.
	•	CI05: met — the title and abstract are written in English.
	•	CE01–CE04: no exclusion criterion clearly applies, but the study is excluded because CI01 is not met and CI03 is not clearly supported based only on the title and abstract.</t>
  </si>
  <si>
    <t>Score: 0
Justification:
* **CI01: Not met** — The study does not explicitly mention "Business Process Management" or the acronym "BPM" anywhere in the title or abstract. While it addresses process architecture, process redesign, and process maps, these references do not constitute an explicit mention of BPM as a discipline or methodology.
* **CI02: Met** — The abstract explicitly references "digital transformation journey" as the central context of the study, with De La Salle University's digital transformation serving as the primary case setting.
* **CI03: Not met** — The abstract does not explicitly mention or apply specific technologies such as AI, RPA, process mining, blockchain, IoT, or software systems. The reference to "information assets" and digital transformation is contextual rather than technological. The frameworks referenced (CAUDIT, APQC) and the Lean Technique are methodological tools, not digital technologies.
* **CI04: Met** — The study presents a process architecture formulation and redesign effort grounded in reference frameworks and the Lean Technique, applied to a specific university case, constituting an applied framework with empirical elements.
* **CI05: Met** — The title and abstract are written in English.
* **CE01: Does not apply** — The study is related to process redesign and digital transformation in an organizational context.
* **CE02: Does not apply** — The study is set within a clear organizational context (De La Salle University) undergoing strategic digital transformation.
* **CE03: Does not apply** — This is a primary study reporting on an original process architecture initiative, not a secondary study.
* **CE04: Does not apply** — The abstract provides sufficient information to assess relevance.
**Reason for Score = 0:** CI01 and CI03 are not met. The study does not explicitly mention BPM or apply specific digital technologies, both of which are mandatory inclusion criteria.</t>
  </si>
  <si>
    <t>Lamsin, Criscel; Tangkeko, Marivic</t>
  </si>
  <si>
    <t>2023 IEEE 15th International Conference on Humanoid, Nanotechnology, Information Technology, Communication and Control, Environment, and Management (HNICEM)</t>
  </si>
  <si>
    <t>Redesigning and Building a Business Process Architecture: The Case of De La Salle University's Digital Transformation Journey</t>
  </si>
  <si>
    <r>
      <rPr>
        <rFont val="Helvetica Neue"/>
        <color rgb="FF1155CC"/>
        <u/>
      </rPr>
      <t>https://ieeexplore.ieee.org/document/10589202/</t>
    </r>
  </si>
  <si>
    <t>10.1109/HNICEM60674.2023.10589202</t>
  </si>
  <si>
    <t>Generally viewed as an integral part of an organization's information assets, the documentation of the as-is and to-be process maps became one of the key focal points and activities of De La Salle University's digital transformation journey. The initial part of the study delved into formulating a process architecture for the Student Life Cycle domain using reference frameworks, particularly CAUDIT and APQC. The process redesign efforts, meanwhile, guided by the principles of the Lean Technique, allowed the intrinsic identification of process inefficiencies and non-value-adding activities, that in turn, led to the capture of processes that are aimed to increase the organizational flexibility, centered on the more pivotal goal of improving the overall student experience. The results of this study may help reinforce the appropriate perspective of using processes as an organizational glue that shall not only address knowledge silos and lack of process ownership but also pave the way to the creation of a sustainable competitive advantage. This study, the key lessons, challenges, and milestones can also help other HEIs that are to embark on their own strategic transformation initiatives.</t>
  </si>
  <si>
    <t>2770-0682</t>
  </si>
  <si>
    <t>Score: 0
Justification:
	•	CI01: not met — the abstract mentions “process automation,” “process mapping,” and “government workflows,” but does not explicitly mention Business Process Management or BPM.
	•	CI02: not clearly met — the abstract discusses automation and revising governance with intelligent automation, but does not clearly mention digital transformation, digitalization, or digital innovation.
	•	CI03: met — explicitly mentions Robotic Process Automation (RPA), bots, intelligent automation, system integration, and security/scalability issues.
	•	CI04: met — presents implementation-oriented content: “process mapping,” “implementation of bots,” “analysis of performance,” and “design and implementation” of RPA-powered government process automation.
	•	CI05: met — the title and abstract are written in English.
	•	CE01–CE04: no exclusion criterion clearly applies, but the study is excluded because CI01 is not met and CI02 is not clearly supported.</t>
  </si>
  <si>
    <t>Score: 0
Justification:
* **CI01: Not met** — The study does not explicitly mention "Business Process Management" or the acronym "BPM" anywhere in the title or abstract. References to "process mapping," "process automation," and "government workflows" are generic and do not constitute an explicit mention of BPM as a discipline or methodology.
* **CI02: Not met** — The abstract does not explicitly mention "digital transformation," "digitalization," or "digital innovation." References to RPA as a "disruptive solution" and "intelligent automation" do not sufficiently equate to digital transformation as a defined organizational concept.
* **CI03: Met** — The study explicitly mentions and applies Robotic Process Automation (RPA) as the core technology, including bot implementation, performance analysis, and process automation design within the public sector.
* **CI04: Met** — The study presents a design and implementation of an RPA-powered government process automation system, including performance analysis and practical guidance for IT administrators and policymakers, constituting an applied empirical study.
* **CI05: Met** — The title and abstract are written in English.
* **CE01: Does not apply** — The study is related to process automation technology in an organizational context.
* **CE02: Does not apply** — The study is set within a clear organizational context, specifically the public sector and government workflows.
* **CE03: Does not apply** — This is a primary study presenting original implementation and analysis, not a secondary study.
* **CE04: Does not apply** — The abstract provides sufficient information to assess relevance.
**Reason for Score = 0:** CI01 and CI02 are not met. The study does not explicitly mention BPM or digital transformation, both of which are mandatory inclusion criteria.</t>
  </si>
  <si>
    <t>Shreyansh; Rajpoot, Sachin; Khajuria, Aryan; Dubey, Siddhartha; Yadav, Jyotish Kumar; Thakur, Mannat</t>
  </si>
  <si>
    <t>2025 4th International Conference on Automation, Computing and Renewable Systems (ICACRS)</t>
  </si>
  <si>
    <t>Robotic Process Automation in Public Sector: Enhancing Efficiency and Transparency in Government Workflows</t>
  </si>
  <si>
    <r>
      <rPr>
        <rFont val="Helvetica Neue"/>
        <color rgb="FF1155CC"/>
        <u/>
      </rPr>
      <t>https://ieeexplore.ieee.org/document/11324422/</t>
    </r>
  </si>
  <si>
    <t>450-454</t>
  </si>
  <si>
    <t>10.1109/ICACRS67045.2025.11324422</t>
  </si>
  <si>
    <t>Repetitive, rule-based, time and resource intensive activities, a feature of the government activity also cause delays and inefficient services. Robotic process automation, or RPA, is a disruptive solution as it automates those processes, increases their accuracy, reduces client operations, and increases citizen satisfaction. This research addresses process mapping, the implementation of bots, the analysis of performance and the design and implementation of an RPA-powered government process automation. The analysis indicates that the implementation of RPA in the work of the public sector can accelerate the decision-making process, guarantee compliance and simplify the administrative framework. There are also security, scalability and system integration questions and solutions. The results give guidance to IT administrators and policymakers who seek to revise governance using intelligent automation.</t>
  </si>
  <si>
    <t>Score: 0
Justification:
	•	CI01: not met — the abstract mentions “management system,” “business models,” and “methods,” but does not explicitly mention Business Process Management or BPM.
	•	CI02: met — explicitly addresses digitalization, including “digitalization of the intellectual property management system” and “building a digital ecosystem.”
	•	CI03: met — mentions digital technologies/tools broadly through “digital patent information fund,” “digital ecosystem,” and “developed methods and tools.”
	•	CI04: met — presents business models, methods, and tools, and states that they were used in building a digital intellectual property management body.
	•	CI05: met — the title and abstract are written in English.
	•	CE01–CE04: no exclusion criterion clearly applies, but the study is excluded because CI01 is not met.</t>
  </si>
  <si>
    <t>Score: 0
Justification:
* **CI01: Not met** — The study does not explicitly mention "Business Process Management" or the acronym "BPM" anywhere in the title or abstract. The reference to "business models" relates to intellectual property management structures, not to BPM as a discipline or methodology.
* **CI02: Met** — The abstract explicitly references "digitalization" as a central theme, addressing the digitalization of an intellectual property management system and the building of a "digital ecosystem."
* **CI03: Not met** — The abstract does not explicitly mention or apply specific technologies such as AI, RPA, process mining, big data, blockchain, IoT, or software systems. References to "methods and tools" are too vague to confirm the presence of identifiable digital technologies.
* **CI04: Met** — The study proposes business models and methods for optimizing the structure of a digital patent information fund and reports on their application in building a digital intellectual property management body in the Eurasian region, constituting a model proposal with applied elements.
* **CI05: Met** — The title and abstract are written in English.
* **CE01: Does not apply** — The study is related to digitalization and management within an organizational context.
* **CE02: Does not apply** — The study is set within an organizational and regional governance context focused on intellectual property management.
* **CE03: Does not apply** — This appears to be a primary study presenting original models and methods.
* **CE04: Applies** — The abstract is very brief and lacks sufficient detail about methodology, scope, specific technologies, or empirical grounding to allow confident assessment of its relevance to the research topic of BPM and digital transformation.
**Reason for Score = 0:** CI01 and CI03 are not met, and CE04 applies. The study does not explicitly mention BPM or specific technologies, both of which are mandatory inclusion criteria.</t>
  </si>
  <si>
    <t>Chernov, Igor; Sirotyuk, Vladimir; Bogatyreva, Larisa</t>
  </si>
  <si>
    <t>2025 18th International Conference on Management of Large-Scale System Development (MLSD)</t>
  </si>
  <si>
    <t>Business Models and Methods of Digitalization of the Regional Intellectual Property Management System</t>
  </si>
  <si>
    <r>
      <rPr>
        <rFont val="Helvetica Neue"/>
        <color rgb="FF1155CC"/>
        <u/>
      </rPr>
      <t>https://ieeexplore.ieee.org/document/11220609/</t>
    </r>
  </si>
  <si>
    <t>10.1109/MLSD65526.2025.11220609</t>
  </si>
  <si>
    <t>The goals, principles and tasks of digitalization of the intellectual property management system are considered. Business models and methods for optimizing the structure of the digital patent information fund, building a digital ecosystem of intellectual property are proposed. The developed methods and tools were used in building a digital intellectual property management body in the Eurasian region.</t>
  </si>
  <si>
    <t>Score: 0
Justification:
	•	CI01: not met — the abstract mentions “business processes”, but does not explicitly mention Business Process Management or BPM.
	•	CI02: met — the title explicitly mentions Digital Transformation, and the abstract discusses teaching business processes in information systems.
	•	CI03: met — explicitly mentions technological artifacts such as simulation business games, two web modules, Admin-Cockpit, prototypes, game management, configuration options, and statistics collection.
	•	CI04: met — presents the development, implementation, and evaluation of prototypes for a business game module and an Admin-Cockpit module.
	•	CI05: met — the title and abstract are written in English.
	•	CE01–CE04: no exclusion criterion clearly applies, but the study is excluded because CI01 is not met. Under your rule, mentioning “business processes” alone is not enough without explicit Business Process Management or BPM.</t>
  </si>
  <si>
    <t>Score: 0
Justification:
* **CI01: Not met** — The study does not explicitly mention "Business Process Management" or the acronym "BPM." References to "business processes" and "business models" are used in a generic educational context and do not constitute an explicit mention of BPM as a discipline or methodology.
* **CI02: Not met** — While the title references "Digital Transformation," the abstract does not address digital transformation as an organizational or business phenomenon. The term is used only in reference to the name of a simulation game being taught, not as a substantive topic of study.
* **CI03: Not met** — The study does not explicitly mention or apply specific BPM-related technologies such as AI, RPA, process mining, blockchain, or IoT. The development of web modules and prototypes relates to game and UI development, not to BPM-enabling technologies.
* **CI04: Met** — The study presents the development and evaluation of two web module prototypes (a simulation game interface and an Admin-Cockpit), with data collection through focus groups and surveys, constituting an applied development study with empirical evaluation.
* **CI05: Met** — The title and abstract are written in English.
* **CE01: Does not apply** — The study touches on business processes and digital transformation conceptually, even if not substantively.
* **CE02: Applies** — The study is situated in an educational context focused on teaching information systems students through simulation games. It does not address BPM or digital transformation within an organizational or business operational context.
* **CE03: Does not apply** — This is a primary study presenting original development and evaluation work.
* **CE04: Does not apply** — The abstract provides sufficient information to assess relevance.
**Reason for Score = 0:** CI01, CI02, and CI03 are not met, and CE02 applies. The study is focused on educational game design and does not explicitly address BPM, digital transformation as an organizational concept, or BPM-relevant technologies.</t>
  </si>
  <si>
    <t>Bondarenko, Maksym; Kudryk, Ihor; Levkovskyi, Borys; Utesch, Matthias; Krcmar, Helmut</t>
  </si>
  <si>
    <t>Learning by gaming: Improvement of User Experience of a Simulation Game for Teaching the Digital Transformation and its Administration Cockpit</t>
  </si>
  <si>
    <r>
      <rPr>
        <rFont val="Helvetica Neue"/>
        <color rgb="FF1155CC"/>
        <u/>
      </rPr>
      <t>https://ieeexplore.ieee.org/document/9766623/</t>
    </r>
  </si>
  <si>
    <t>1858-1867</t>
  </si>
  <si>
    <t>10.1109/EDUCON52537.2022.9766623</t>
  </si>
  <si>
    <t>Simulation business games have recently become a suitable tool that gives students an understanding of how companies and their markets function, as well as the interaction of the components necessary to build a business. Interpreting business processes and business models is a key competency for future graduates in information systems, which is hard to teach without dealing with real-world problems. Simulation games are one of the possible approaches for teaching business processes to information systems students. This paper presents a description of the development of two web modules: for the administration of simulation games and the interface of the business game itself. After collecting data, requirements for the prototypes of Admin-Cockpit, and the simulation game itself, which were conducted in focus groups, the implementation phase began. The main requirements for the applications were successfully implemented in the prototypes and afterward were evaluated. In the output, we have a working prototype of the business game module and the Admin-Cockpit module for configuration. In summary, our contribution is a planned and implemented redesign of the game, positively affecting students’ engagement and interest. Additionally, was developed an improved and expanded version of Admin-Cockpit for game management, giving configuration options and statistics collection. Thus, we can conclude that this work has a positive contribution to the development of simulation game design and development, which was also confirmed by the results of the surveys.</t>
  </si>
  <si>
    <t>Score: 0
Justification:
	•	CI01: not met — the abstract discusses automation, digitalization, technological processes, and management systems, but does not explicitly mention Business Process Management or BPM.
	•	CI02: met — addresses digitalizing calculations and designing technological processes, and refers to “Digital Factory” and “SMART Factory.”
	•	CI03: met — explicitly mentions technologies such as computer and manufacturing technologies, hardware and software, industrial network, digital subsystems, automation of information collection and processing, and control signals.
	•	CI04: met — presents/describes a system/concept for hyperautomation in a construction materials enterprise.
	•	CI05: met — the title and abstract are written in English.
	•	CE01–CE04: no exclusion criterion clearly applies, but the study is excluded because CI01 is not met. It is about industrial hyperautomation/digitalization, but not explicitly about BPM/Business Process Management.</t>
  </si>
  <si>
    <t>Score: 0
Justification:
* **CI01: Not met** — The study does not explicitly mention "Business Process Management" or the acronym "BPM" anywhere in the title or abstract. The focus is on industrial automation and manufacturing processes, with no reference to BPM as a discipline or methodology.
* **CI02: Not met** — The abstract does not explicitly mention "digital transformation," "digitalization," or "digital innovation" as organizational concepts. While the study references "digitalizing calculations" and a "Digital Factory," these are used in a narrow technical and manufacturing sense rather than as expressions of organizational digital transformation.
* **CI03: Met** — The study references hardware and software systems, industrial networks, digital subsystems, and automation technologies integrated into a smart manufacturing environment, constituting explicit mention of technology application.
* **CI04: Met** — The study proposes and describes a concrete system based on the "Digital Factory" and "SMART Factory" concepts, with defined subsystems and implementation details, constituting a system design and application.
* **CI05: Met** — The title and abstract are written in English.
* **CE01: Does not apply** — The study is related to technology and process automation, even if not in a BPM context.
* **CE02: Applies** — The study is focused on a technical manufacturing and industrial engineering context (concrete plant operations), not on an organizational or business management context as required by the research topic.
* **CE03: Does not apply** — This is a primary study presenting an original system design.
* **CE04: Does not apply** — The abstract provides sufficient information to assess the nature and scope of the study.
**Reason for Score = 0:** CI01 and CI02 are not met, and CE02 applies. The study does not mention BPM or digital transformation in an organizational sense, and its focus is on industrial manufacturing automation rather than business or organizational process management.</t>
  </si>
  <si>
    <t>Ostroukh, A. V.; Kuftinova, N. G.; Maksimychev, O. I.; Odinokova, I. V.</t>
  </si>
  <si>
    <t>2021 Intelligent Technologies and Electronic Devices in Vehicle and Road Transport Complex (TIRVED)</t>
  </si>
  <si>
    <t>Hyperautomation of Construction Materials Enterprise</t>
  </si>
  <si>
    <r>
      <rPr>
        <rFont val="Helvetica Neue"/>
        <color rgb="FF1155CC"/>
        <u/>
      </rPr>
      <t>https://ieeexplore.ieee.org/document/9639170/</t>
    </r>
  </si>
  <si>
    <t>10.1109/TIRVED53476.2021.9639170</t>
  </si>
  <si>
    <t>This paper describes, how, in the most concentrated form, latest computer and manufacturing technologies become valuable assets for digitalizing calculations and designing technological processes for manufacturing building materials and structures. The system is based on the concepts of “Digital Factory” and “SMART Factory” and includes a set of technological equipment, information, hardware and software integrated into a industrial network. The system is scalable and includes digital subsystems for the preparation of concrete mixtures, systems for targeted distribution of concrete, access control subsystems, and jobs for management personnel. In accordance with the proposed concept, the optimum level of automation of information collection and processing is provided for generating control signals and transmitting them without loss and distortion to actuators in order to achieve the most efficient operation of the concrete plant.</t>
  </si>
  <si>
    <t>Score: 0
Justification:
	•	CI01: met — explicitly mentions “business process management” in the abstract.
	•	CI02: met — explicitly addresses digital transformation in public administration/public sector.
	•	CI03: not clearly met — the abstract refers broadly to digital transformation, skills and knowledge sharing, but does not clearly mention or apply specific technologies, software systems, digital tools, platforms, AI, RPA, process mining, etc.
	•	CI04: not met for your criteria — the paper performs an analysis of secondary data, but it does not clearly present an application, framework, model, method, or empirical implementation related to BPM technologies in digital transformation.
	•	CI05: met — the title and abstract are written in English.
	•	CE01–CE04: CE03 may apply because the study is based on secondary data analysis rather than a primary application/model/framework. Even if CE03 is not applied strictly, the study is excluded because CI03 and CI04 are not clearly met.</t>
  </si>
  <si>
    <t>Score: 0
Justification:
* **CI01: Met** — The abstract explicitly mentions "business process management" in its concluding sentence, referencing it as one of the segments requiring effort in the context of digital transformation in public administration.
* **CI02: Met** — "Digital transformation" is the central theme of the study, explicitly addressed throughout the abstract in relation to the public sector and Croatia's positioning relative to EU countries.
* **CI03: Not met** — The abstract does not explicitly mention or apply any specific technologies such as AI, RPA, process mining, big data, blockchain, IoT, or software systems. The study focuses on strategic and organizational aspects of digital transformation without referencing concrete technologies.
* **CI04: Not met** — The study's methodology consists of an "analysis of secondary data that have a primary character," used to position Croatia relative to surrounding and EU countries. This constitutes a descriptive comparative analysis rather than a framework, model, method, or empirical study in the sense required by CI04. The contribution appears to be a positional assessment rather than an applied or empirical investigation.
* **CI05: Met** — The title and abstract are written in English.
* **CE01: Does not apply** — The study is related to digital transformation and business process management in a public sector context.
* **CE02: Does not apply** — The study is set within a clear organizational and governmental context (public administration in Croatia and the EU).
* **CE03: Does not apply** — Although secondary data is used, this is a primary study conducting original comparative analysis, not a systematic review or literature mapping.
* **CE04: Does not apply** — The abstract provides sufficient information to assess relevance.
**Reason for Score = 0:** CI03 and CI04 are not met. The study does not explicitly mention specific technologies, and does not present a sufficiently structured application, framework, model, or empirical analysis as required by the inclusion criteria.</t>
  </si>
  <si>
    <t>Glavaš, Jerko; Uroda, Ivan; Mandić, Bruno</t>
  </si>
  <si>
    <t>2021 44th International Convention on Information, Communication and Electronic Technology (MIPRO)</t>
  </si>
  <si>
    <t>Managing Digital Transformation in Public Administration</t>
  </si>
  <si>
    <r>
      <rPr>
        <rFont val="Helvetica Neue"/>
        <color rgb="FF1155CC"/>
        <u/>
      </rPr>
      <t>https://ieeexplore.ieee.org/document/9596775/</t>
    </r>
  </si>
  <si>
    <t>1466-1469</t>
  </si>
  <si>
    <t>10.23919/MIPRO52101.2021.9596775</t>
  </si>
  <si>
    <t>Important strategic area, for every country, is the functioning of its public administration. Public administration utilises appropriate results the increased efficiency and effectiveness in both public sector and private sector. Managers must organise public administration to function adequately by training quality people and by motivating employees so that they do their job well. The main goal of this paper is to point out the importance of digital transformation in the public sector. Also through the analysis of secondary data that have a primary character to position the Republic of Croatia in relation to the surrounding countries and the countries of the European Union. The results of the analysis show that additional efforts are needed to encourage the process of digital transformation, acquisition of new skills, knowledge sharing, business process management and other segments.</t>
  </si>
  <si>
    <t>2623-8764</t>
  </si>
  <si>
    <t>Score: 1
Justification:
	•	CI01: met — explicitly mentions “Business process management” in the first sentence.
	•	CI02: met — addresses digitalization and automation of the diagnosis process, stating that the PD process requires analysis for “digitalization, automation, and combining with ML applications.”
	•	CI03: met — explicitly mentions technologies such as artificial intelligence (AI), machine learning (ML), Internet of Things (IoT), distributed systems, process automation, laboratory equipment, and ML algorithms.
	•	CI04: met — presents a case study and process modeling approach: “The research method covers the PD laboratory case study” and “Authors presented PD process models in BPMN notation.”
	•	CI05: met — the title and abstract are written in English.
	•	CE01–CE04: none apply — the study is related to BPM, digitalization, technologies, and process modeling in an organizational/healthcare laboratory context; it is not a secondary study, and the abstract provides enough information to assess relevance.</t>
  </si>
  <si>
    <t>Score: 1
Justification:
* **CI01: Met** — The study explicitly mentions "Business process management" in the opening sentence, and applies BPMN (Business Process Model and Notation) as the process modeling framework throughout the study.
* **CI02: Met** — The abstract explicitly references "digitalization" of the pathomorphological diagnosis process as a central objective, stating that "the PD process requires detailed analysis for its digitalization, automation, and combining with ML applications."
* **CI03: Met** — The study explicitly mentions and applies multiple technologies including Artificial Intelligence (AI), Machine Learning (ML), Internet of Things (IoT), and distributed systems, with ML algorithms being the primary technology implemented in the process digitalization effort.
* **CI04: Met** — The study presents a case study of the pathomorphological diagnosis laboratory, including process models in BPMN notation with detailed analysis of data flows, laboratory equipment, and ML algorithm integration, constituting an empirical case study with applied modeling.
* **CI05: Met** — The title and abstract are written in English.
* **CE01: Does not apply** — The study is directly related to BPM, digitalization, and technologies including AI and ML.
* **CE02: Does not apply** — The study is set within an organizational context (a pathomorphological diagnosis laboratory), addressing operational process improvement and automation within a healthcare institution.
* **CE03: Does not apply** — This is a primary study presenting original process modeling and case study research, not a secondary study.
* **CE04: Does not apply** — The abstract provides detailed and sufficient information to assess relevance with full confidence.</t>
  </si>
  <si>
    <t>Pańkowska, Małgorzata; Żytniewski, Mariusz; Kozak, Mateusz; Tomaszek, Krzysztof; Spinczyk, Dominik</t>
  </si>
  <si>
    <t>2024 19th Conference on Computer Science and Intelligence Systems (FedCSIS)</t>
  </si>
  <si>
    <t>Pathomorphological Diagnosis Process Modeling for Machine Learning Algorithms’ Applying</t>
  </si>
  <si>
    <r>
      <rPr>
        <rFont val="Helvetica Neue"/>
        <color rgb="FF1155CC"/>
        <u/>
      </rPr>
      <t>https://ieeexplore.ieee.org/document/10736038/</t>
    </r>
  </si>
  <si>
    <t>237-242</t>
  </si>
  <si>
    <t>10.15439/2024F8289</t>
  </si>
  <si>
    <t>Business process management is oriented towards improving processes to best support people, who are working in them. Recent innovations in the area of artificial intelligence (AI), machine learning (ML), Internet of Things (IoT), and distributed systems have provided opportunities for new technologies applications, including process automation. This paper aims at the pathomorphological diagnosis (PD) process modeling for the ML solution implementation. The research method covers the PD laboratory case study. Authors argue that the PD process requires detailed analysis for its digitalization, automation, and combining with ML applications. Authors presented PD process models in BPMN notation, including laboratory equipment and emphasizing data and ML algorithms which are to be utilized in PD process digitalization for appropriate diagnosis for patients. Authors have found and emphasized that implementation of ML/AI algorithms is strongly based on fundamental process modeling.</t>
  </si>
  <si>
    <t>Score: 0
Justification:
	•	CI01: not met — the abstract mentions “business process synchronizing” and “business automation,” but does not explicitly mention Business Process Management or BPM.
	•	CI02: met — explicitly addresses digitalization in supply chain integration.
	•	CI03: met — explicitly mentions digital technologies such as Internet of Things, artificial intelligence, and cloud computing.
	•	CI04: met — the paper presents a literature review analyzing aspects of digital supply chain integration and digital technologies.
	•	CI05: met — the title and abstract are written in English.
	•	CE01–CE04: CE03 applies — the title explicitly identifies it as “a literature review.” It is excluded because CI01 is not met and because it is a secondary study.</t>
  </si>
  <si>
    <t>Score: 0
Justification:
* **CI01: Not met** — The study does not explicitly mention "Business Process Management" or the acronym "BPM" anywhere in the title or abstract. The phrase "business process synchronizing" is a generic reference and does not constitute an explicit mention of BPM as a discipline or methodology.
* **CI02: Met** — The abstract explicitly and repeatedly addresses "digitalization" and "digital supply chain integration" as central themes, directly referencing digital transformation of business operations in the context of supply chain management.
* **CI03: Met** — The study explicitly mentions Internet of Things (IoT), Artificial Intelligence (AI), and cloud computing as specific digital technologies essential for effective supply chain integration and digitalization.
* **CI04: Not met** — The study is a literature review that seeks to "cultivate a fundamental understanding" of digital supply chain integration by analyzing its main aspects. It does not present an original application, framework, model, or empirical analysis as required by CI04.
* **CI05: Met** — The title and abstract are written in English.
* **CE01: Does not apply** — The study is related to digitalization and technology in a business context.
* **CE02: Does not apply** — The study is set within a clear organizational and business context, focusing on supply chain management and firms' competitiveness.
* **CE03: Applies** — The title explicitly identifies this as "A literature review," and the abstract confirms the study's purpose is to analyze and synthesize existing knowledge on the topic, constituting a secondary study that directly triggers CE03.
* **CE04: Does not apply** — The abstract provides sufficient information to assess relevance.
**Reason for Score = 0:** CI01 and CI04 are not met, and CE03 applies. The study does not explicitly mention BPM, does not present an original empirical contribution, and is explicitly identified as a literature review.</t>
  </si>
  <si>
    <t>Najat, Toufah; Alaa Eddine, El Moussaoui</t>
  </si>
  <si>
    <t>2024 IEEE 15th International Colloquium on Logistics and Supply Chain Management (LOGISTIQUA)</t>
  </si>
  <si>
    <t>Digitalization and Business Automation for an Effective Supply Chain Integration: A literature review</t>
  </si>
  <si>
    <r>
      <rPr>
        <rFont val="Helvetica Neue"/>
        <color rgb="FF1155CC"/>
        <u/>
      </rPr>
      <t>https://ieeexplore.ieee.org/document/10571518/</t>
    </r>
  </si>
  <si>
    <t>10.1109/LOGISTIQUA61063.2024.10571518</t>
  </si>
  <si>
    <t>Since the onset of the Covid19 pandemic crisis, supply chain integration and digitalization have emerged as essential strategies for all firms due to flow disruption and considerable market uncertainty. Firms’ managers recognize the imperative need to cultivate a new business model to enhance connectivity with both upstream and downstream chain links. The intended outcomes encompass effective collaborative planning, information sharing, and the establishment of relationships with targeted customers through tailored and innovative offers designed to meet their specific requirements. To achieve this, a suitable level of supply chain integration and effective use of digital technologies such as internet of things, artificial intelligence, and cloud computing are essential. Supply chain integration and digitalization lead to business process synchronizing, automation, flexibility, and the efficient analysis and management of data, thereby, enhancing firms’ profitability and competitiveness. This paper seeks to cultivate a fundamental understanding of the digital supply chain integration by analyzing it main aspects. Additionally, it illuminates the significance of leveraging specific digital technologies to ensure effective supply chain management and optimization.</t>
  </si>
  <si>
    <t>2166-7373</t>
  </si>
  <si>
    <t>Score: 0
Justification:
	•	CI01: met — explicitly mentions “business process management” as one of the categorized industry fields.
	•	CI02: met — explicitly addresses digital transformation throughout the title and abstract.
	•	CI03: met — explicitly mentions Artificial Intelligence (AI) as a key technology.
	•	CI04: met — presents a systematic review using Future-Oriented Technology Analysis techniques.
	•	CI05: met — the title and abstract are written in English.
	•	CE01–CE04: CE03 applies — the abstract explicitly states that the study conducted a systematic review, so it is a secondary study. Therefore, it must be excluded even though CI01–CI05 are mostly met.</t>
  </si>
  <si>
    <t>Score: 0
Justification:
* **CI01: Met** — The abstract explicitly mentions "business process management" as one of the industry fields into which the findings are categorized, confirming an explicit reference to BPM within the study's scope.
* **CI02: Met** — "Digital transformation" is a central and recurring theme throughout the abstract, explicitly addressed as the primary focus of the research alongside AI.
* **CI03: Met** — The study explicitly addresses Artificial Intelligence (AI) as the core technology analyzed in relation to digital transformation trends.
* **CI04: Not met** — Although the study employs a systematic review with Future-Oriented Technology Analysis (FTA) methodology, its contribution consists of identifying future trends and feasible years for events across multiple industries. BPM is mentioned only as one of nine industry categories, without any specific application, framework, model, or empirical analysis focused on BPM or related technologies.
* **CI05: Met** — The title and abstract are written in English.
* **CE01: Does not apply** — The study is related to digital transformation and AI technologies.
* **CE02: Does not apply** — The study addresses multiple business and organizational contexts, including business process management and industry fields.
* **CE03: Applies** — The study explicitly states it "conducted a systematic review" of the literature, constituting a secondary study that directly triggers CE03.
* **CE04: Does not apply** — The abstract provides sufficient information to assess relevance.
**Reason for Score = 0:** CI04 is not met and CE03 applies. The study is a systematic review in which BPM appears only as one of nine broad categories, without presenting a primary empirical contribution focused on BPM or its associated technologies.</t>
  </si>
  <si>
    <t>Simões, Rachel Vital; Parreiras, Marcus Vinícius Coutinho; Silva, Ana Clara Correa Da; Barbosa, Carlos Eduardo; Lima, Yuri Oliveira de; Souza, Jano Moreira de</t>
  </si>
  <si>
    <t>2022 IEEE International Conference on Systems, Man, and Cybernetics (SMC)</t>
  </si>
  <si>
    <t>Artificial Intelligence and Digital Transformation: Analyzing Future Trends</t>
  </si>
  <si>
    <r>
      <rPr>
        <rFont val="Helvetica Neue"/>
        <color rgb="FF1155CC"/>
        <u/>
      </rPr>
      <t>https://ieeexplore.ieee.org/document/9945429/</t>
    </r>
  </si>
  <si>
    <t>1462-1467</t>
  </si>
  <si>
    <t>10.1109/SMC53654.2022.9945429</t>
  </si>
  <si>
    <t>In recent decades, technological advances have exponentially accelerated the search for digital transformation. The use of technologies based on Artificial Intelligence (AI) is essential to achieve these goals. In this work, we investigate the future trends in the field. We conducted a systematic review and analyzed their content with a methodology based on Future-Oriented Technology Analysis (FTA) techniques. We have identified 30 future events related to digital transformation and AI and their respective feasible years. Our findings are categorized into industry fields: business process management, construction industry, digital economy, human resources, healthcare, industry, social innovation, tourism, and education. Our work allows decision-makers to draw up strategies, map the paths to be taken, and better prepare for their future needs, using AI as a tool for value aggregation.</t>
  </si>
  <si>
    <t>2577-1655</t>
  </si>
  <si>
    <t>Score: 0
Justification:
	•	CI01: not met — the abstract mentions “business processes,” “process automation,” and “business process automation,” but does not explicitly mention Business Process Management or BPM.
	•	CI02: met — explicitly mentions digital transformation as a “driving force for competitive business.”
	•	CI03: met — discusses technology implementation and process automation in retail business.
	•	CI04: met — presents research on automation implementation and discusses elements of a conceptual framework for process automation in retail.
	•	CI05: met — the title and abstract are written in English.
	•	CE01–CE04: no exclusion criterion clearly applies, but the study is excluded because CI01 is not met. Under your strict protocol, “business process automation” is not enough unless Business Process Management or BPM appears explicitly.</t>
  </si>
  <si>
    <t>Score: 0
Justification:
* **CI01: Not met** — The study does not explicitly mention "Business Process Management" or the acronym "BPM" anywhere in the title or abstract. References to "organization business processes" and "process automation" are generic and do not constitute an explicit mention of BPM as a discipline or methodology.
* **CI02: Met** — The abstract explicitly mentions "digital transformation" as a driving force for competitive business, positioning it as a key theme of the study.
* **CI03: Met** — The study addresses process automation technology as its core subject, discussing its implementation within retail business processes, which constitutes an explicit reference to a technology category.
* **CI04: Met** — The study discusses elements of a conceptual framework for process automation in the retail sector, constituting a framework proposal with applied focus.
* **CI05: Met** — The title and abstract are written in English.
* **CE01: Does not apply** — The study is related to digital transformation and process automation in a business context.
* **CE02: Does not apply** — The study is set within a clear organizational and business context, specifically the retail industry.
* **CE03: Does not apply** — This is a primary study presenting original research and a conceptual framework, not a secondary study.
* **CE04: Does not apply** — The abstract provides sufficient information to assess the nature and scope of the study.
**Reason for Score = 0:** CI01 is not met. The study does not explicitly mention Business Process Management (BPM) or the term "BPM," which is a mandatory inclusion criterion.</t>
  </si>
  <si>
    <t>Lazareva, Natalja; Karasevskis, Kaspars; Girjatovcs, Andrejs; Kuznecova, Oksana</t>
  </si>
  <si>
    <t>2022 63rd International Scientific Conference on Information Technology and Management Science of Riga Technical University (ITMS)</t>
  </si>
  <si>
    <t>Business Process Automation in Retail</t>
  </si>
  <si>
    <r>
      <rPr>
        <rFont val="Helvetica Neue"/>
        <color rgb="FF1155CC"/>
        <u/>
      </rPr>
      <t>https://ieeexplore.ieee.org/document/9937096/</t>
    </r>
  </si>
  <si>
    <t>10.1109/ITMS56974.2022.9937096</t>
  </si>
  <si>
    <t>Digital transformation nowadays is stated as a driving force for competitive business. It is widely mentioned in many industries as a key factor to meet the ambition of being an innovative company. Although a lack of understanding the essence of the technology, its value and functional benefits can result in missed expectation and losses of time and monetary investments. Despite various use cases and success stories, implementation of the technology into organization business processes requires strong understanding how a particular technology can deliver business expected values. The paper summarizes authors' research on automation implementation in retail business. The goal is to explore what activities should the company perform to successfully implement process automation in Retail sector. Although there are frameworks available describing process automation implementation, there is limited research available specifically for the retail industry. The paper discusses elements of a conceptual framework for process automation considering retail specific, also considered within the paper.</t>
  </si>
  <si>
    <t>2771-6937</t>
  </si>
  <si>
    <t>Score: 1
Justification:
	•	CI01: met — explicitly mentions BPM in “process-based management (BPM)” and also mentions BPMN notation.
	•	CI02: met — explicitly addresses digital transformation in higher education and in the financial area of UTPL.
	•	CI03: met — explicitly mentions technologies/tools such as automated system, Bizagi, BPMN, Alfresco (ECM), document repository, workflow automation, applications and data integration.
	•	CI04: met — presents a methodology, including analysis of business processes, business capability maps, design of a technological solution, modeling and automation of workflows, and implementation results.
	•	CI05: met — the title and abstract are written in English.
	•	CE01–CE04: none apply — the study is related to BPM, digital transformation, technologies, and an organizational context; it is not a secondary study, and the abstract provides enough information to assess relevance.</t>
  </si>
  <si>
    <t>Score: 1
Justification:
* **CI01: Met** — The abstract explicitly references "process-based management (BPM)" and BPMN notation as the core methodology applied, with direct mention of BPM as the technological and methodological foundation of the solution.
* **CI02: Met** — "Digital transformation" is explicitly and repeatedly addressed throughout the abstract as the primary objective and outcome of the study, applied to the financial area of a higher education institution.
* **CI03: Met** — The study explicitly mentions and applies multiple technologies including Bizagi (BPM software), BPMN notation, Alfresco ECM (Enterprise Content Management), and workflow automation systems as part of the implemented solution.
* **CI04: Met** — The study develops and implements an automated system for financial process management at UTPL, using business capability maps, BPM, and ECM integration, constituting an applied implementation with empirical results reported.
* **CI05: Met** — The title and abstract are written in English.
* **CE01: Does not apply** — The study is directly related to BPM, digital transformation, and specific technologies.
* **CE02: Does not apply** — The study is firmly grounded in an organizational context, specifically the financial administration area of a university undergoing digital transformation.
* **CE03: Does not apply** — This is a primary study presenting original system development and implementation with reported results, not a secondary study.
* **CE04: Does not apply** — The abstract provides detailed and sufficient information to assess relevance with full confidence.</t>
  </si>
  <si>
    <t>Cabrera-Silva, Armando; Rodriguez-Morales, Germania; Abad, Patricio; Sucunuta, Manuel</t>
  </si>
  <si>
    <t>2025 IEEE Technology and Engineering Management Society (TEMSCON LATAM)</t>
  </si>
  <si>
    <t>Digital Transformation in Higher Education: Enhancing Processes with Capabilities Mapping and Automation</t>
  </si>
  <si>
    <r>
      <rPr>
        <rFont val="Helvetica Neue"/>
        <color rgb="FF1155CC"/>
        <u/>
      </rPr>
      <t>https://ieeexplore.ieee.org/document/11238925/</t>
    </r>
  </si>
  <si>
    <t>10.1109/TEMSCONLATAM65810.2025.11238925</t>
  </si>
  <si>
    <t>The study focuses on the need to take steps towards the digital transformation of the financial area of the Universidad Técnica Particular de Loja (UTPL), where traditional methods are inefficient. The main objective is to develop and implement an automated system that improves efficiency and transparency in financial administration. The methodology employed includes the analysis of existing business processes, using business capability maps as an analysis mechanism, and the design of a technological solution based on process-based management (BPM) with BPMN notation, using Bizagi to model and automate workflows. In addition, a document repository in Alfresco (ECM) is integrated to centralize document management. This integration facilitates digital transformation by aligning processes, applications and data in a coherent system. The results show an improvement in the management of queries and the recording of financial processes, with an efficient document repository. In conclusion, the implementation of a process management and control system, based on BPMN and ECM, optimizes workflows, improves efficiency in information management and contributes to better customer service in the financial area processes, demonstrating the value of digital transformation in this sector.</t>
  </si>
  <si>
    <t>Score: 0
Justification:
	•	CI01: not met — the abstract does not explicitly mention Business Process Management or BPM.
	•	CI02: met — discusses digital transformation/digital revolution in education, with phrases such as “digital technology transformation,” “transformational changes,” and “digital revolution.”
	•	CI03: met — explicitly mentions digital technology and education technology.
	•	CI04: met — presents a literature review about digital technology in computer education.
	•	CI05: met — the title and abstract are written in English.
	•	CE01–CE04: CE03 applies — the abstract explicitly states that it is a literature review. It is also excluded because CI01 is not met and the context is computer education broadly, not BPM in digital transformation.</t>
  </si>
  <si>
    <t>Score: 0
Justification:
* **CI01: Not met** — The study does not explicitly mention "Business Process Management" or the acronym "BPM" anywhere in the title or abstract. The focus is entirely on digital technology in computer education, with no reference to BPM as a discipline or methodology.
* **CI02: Not met** — While the abstract references "digital technology transformation" and "the digital revolution," these are used in an educational context and do not address digital transformation as an organizational or business phenomenon as required by the research topic.
* **CI03: Not met** — The abstract does not explicitly mention or apply specific technologies such as AI, RPA, process mining, big data, blockchain, IoT, or software systems. References to "digital technology" are generic and lack specificity.
* **CI04: Not met** — The study is described as a literature review that provides "a thorough summary of the literature," identifying emerging issues and obstacles in education technology. It does not present an original application, framework, model, or empirical analysis.
* **CI05: Met** — The title and abstract are written in English.
* **CE01: Applies** — The study is unrelated to BPM, digital transformation in an organizational sense, or BPM-relevant technologies. Its focus is exclusively on digital technology in computer education.
* **CE02: Applies** — The study is set in an educational context focused on computer education, not in an organizational or business context as required by the research topic.
* **CE03: Applies** — The abstract explicitly describes the study as a literature review, constituting a secondary study that directly triggers CE03.
* **CE04: Does not apply** — The abstract provides sufficient information to assess relevance, albeit confirming the study is outside the scope of the research topic.
**Reason for Score = 0:** All inclusion criteria CI01–CI04 are not met, and CE01, CE02, and CE03 all apply. The study is a literature review on digital technology in computer education with no connection to BPM, organizational digital transformation, or relevant technologies.</t>
  </si>
  <si>
    <t>Rath, Ramesh Chandra; Pandey, Sumit Kumar; Goel, Richa; Baral, Sukanta Kumar</t>
  </si>
  <si>
    <t>2021 9th International Conference on Reliability, Infocom Technologies and Optimization (Trends and Future Directions) (ICRITO)</t>
  </si>
  <si>
    <t>Role of Digital Technology Transformation in Computer Education: Emerging Needs and Challenges</t>
  </si>
  <si>
    <r>
      <rPr>
        <rFont val="Helvetica Neue"/>
        <color rgb="FF1155CC"/>
        <u/>
      </rPr>
      <t>https://ieeexplore.ieee.org/document/9596188/</t>
    </r>
  </si>
  <si>
    <t>10.1109/ICRITO51393.2021.9596188</t>
  </si>
  <si>
    <t>At present era, digital technology plays an important role in computer education because of its important role in various segmentations, due to lack of support and application of digital technology, education may not success in to an eye catchable performance. In short, the primary goals of this research paper are to offer a fresh take on the application of digital technology in the context of transformational changes and to provide ground-breaking insight for the important researchers, scientists, teachers, and readers who are curious about the future of computer education. We the researchers have focused on a valuable and up-to-date literature review of the aforesaid research title. We have tried to our level best to justify the aforesaid research title in to a valuable and meaningful research work for the future researchers. In this paper, a thorough summary of the literature on how digital technology contributes to computer education is provided. However, this paper aims to identify many important emerging issues in education technology and major obstacles hinder broad successful implementation in the area of computer education, even though “technology in almost every element of education” are widely used. This study also found similar results, however here the paper is concentrated on the additional difficulties that were discovered due to the advent of the digital revolution to improve the empowered use of digital technology on education across all sectors, digital transmission must be applied to achieve this.</t>
  </si>
  <si>
    <t>Score: 1
Justification:
	•	CI01: met — explicitly mentions BPM as one of the tools for implementing a management system: “ERP, CRM, BPM, EDM etc.”
	•	CI02: met — explicitly addresses digital transformation and the “introduction of digital technologies” in business models and management systems.
	•	CI03: met — explicitly mentions technologies/tools such as ERP, CRM, BPM, EDM, digital tools, and a comprehensive digital management system.
	•	CI04: met — presents approaches, methods, and a general methodology for building a comprehensive digital management system.
	•	CI05: met — the title and abstract are written in English.
	•	CE01–CE04: none apply — the study is related to BPM, digital transformation, technologies, and business/organizational management systems; it is not clearly a secondary study, and the abstract provides enough information to assess relevance.</t>
  </si>
  <si>
    <t>Score: 0
Justification:
* **CI01: Met** — The abstract explicitly mentions "BPM" as one of the well-known management tools referenced in the context of management system implementation, constituting a direct mention of the acronym.
* **CI02: Met** — The abstract explicitly addresses "digital transformation" of management systems as the central theme, with references to "digital tools," "digital technologies," and the "digital transformation of the organization's management tools."
* **CI03: Met** — The study explicitly mentions ERP, CRM, BPM, and EDM as digital tools, and addresses the introduction of digital technologies in business models, constituting explicit reference to software systems and technology application.
* **CI04: Not met** — The abstract describes the article as considering "individual approaches and methods" and a "general methodology for building a comprehensive digital management system." However, the description is too vague to confirm the presence of a concrete framework, model, or empirical analysis. No specific application, case study, or structured methodology is described with sufficient clarity to satisfy CI04.
* **CI05: Met** — The title and abstract are written in English.
* **CE01: Does not apply** — The study is related to digital transformation and management technologies in a business context.
* **CE02: Does not apply** — The study is set within an organizational and business context, addressing enterprise management systems and competitiveness.
* **CE03: Does not apply** — This appears to be a primary study presenting original approaches and methodology.
* **CE04: Applies** — The abstract is insufficiently detailed about the study's scope, methodology, empirical grounding, or specific contributions to allow confident assessment of its relevance and whether it truly meets CI04. The description of "methods and approaches" is too vague to confirm the nature of the study's output.
**Reason for Score = 0:** CI04 is not met and CE04 applies. The abstract does not provide enough concrete information to confirm that the study presents a structured application, framework, model, or empirical analysis as required by the inclusion criteria.</t>
  </si>
  <si>
    <t>Aleksandrova, Svetlana V.; Vasiliev, Victor A.; Aleksandrov, Mark N.</t>
  </si>
  <si>
    <t>2021 International Conference on Quality Management, Transport and Information Security, Information Technologies (IT&amp;QM&amp;IS)</t>
  </si>
  <si>
    <t>Methods of Digital Transformation of Management Systems</t>
  </si>
  <si>
    <r>
      <rPr>
        <rFont val="Helvetica Neue"/>
        <color rgb="FF1155CC"/>
        <u/>
      </rPr>
      <t>https://ieeexplore.ieee.org/document/9642778/</t>
    </r>
  </si>
  <si>
    <t>10.1109/ITQMIS53292.2021.9642778</t>
  </si>
  <si>
    <t>Introduction of digital technologies in the business models of companies is a trend of the current decade, every day the demand for digital technologies for business in the market is growing. A deep reorganization of business processes with the widespread use of digital tools for their execution, which leads to a significant increase in the effectiveness of the organization's process model for the entire product/service life cycle — is a necessary condition for ensuring competitiveness in the global market. Implementation of a management system based on well-known tools such as ERP, CRM, BPM, EDM etc. they do not fully allow you to build a proactive vertical management of the enterprise. The article considers both individual approaches and methods of digital transformation of the organization's management tools, and the general methodology for building a comprehensive digital management system that meets the requirements of international standards in the field of management systems.</t>
  </si>
  <si>
    <t>Score: 1
Justification:
	•	CI01: met — explicitly mentions “business process management” in the abstract.
	•	CI02: met — explicitly addresses digital transformation projects (DTP).
	•	CI03: met — explicitly mentions digital technologies such as Internet of Things and Industry 4.0.
	•	CI04: met — presents an empirical analysis, specifically a “secondary analysis of interview data from two series of qualitative interviews,” and aims to support the development of a methodology.
	•	CI05: met — the title and abstract are written in English.
	•	CE01–CE04: none clearly apply — although it uses secondary analysis of interview data, it is not described as a literature review, systematic review, mapping study, or survey/review of publications. The abstract provides enough information, and the study remains empirical and organizational in scope.</t>
  </si>
  <si>
    <t>Score: 1
Justification:
* **CI01: Met** — The abstract explicitly mentions "business process management" as one of the key activities involved in managing digital transformation projects, constituting a direct reference to BPM within the study's scope.
* **CI02: Met** — "Digital transformation" is the central theme of the study, explicitly and extensively addressed throughout the abstract in the context of digital transformation projects (DTP) and organizational change.
* **CI03: Met** — The abstract explicitly mentions Internet of Things (IoT) and Industry 4.0 as digital technologies that underpin digital transformation projects, constituting explicit reference to specific technologies.
* **CI04: Met** — The study conducts a secondary analysis of qualitative interview data from two series of interviews to scrutinize the applicability of lifecycle models to DTPs, constituting an empirical analysis with a methodological contribution toward developing a management methodology.
* **CI05: Met** — The title and abstract are written in English.
* **CE01: Does not apply** — The study is directly related to BPM, digital transformation, and technologies including IoT and Industry 4.0.
* **CE02: Does not apply** — The study is set within organizational and inter-organizational contexts, addressing project management, budgeting, stakeholder environments, and business activities.
* **CE03: Does not apply** — Although the study performs a secondary analysis of previously collected interview data, this constitutes a primary empirical study using original analytical methods on qualitative data, not a systematic literature review or mapping study.
* **CE04: Does not apply** — The abstract provides sufficient information to assess relevance with confidence.</t>
  </si>
  <si>
    <t>Albrecht, Jan Christoph</t>
  </si>
  <si>
    <t>2025 IEEE European Technology and Engineering Management Summit (E-TEMS)</t>
  </si>
  <si>
    <t>Towards a Description of the Lifecycle of Digital Transformation Projects – Empirical Insights</t>
  </si>
  <si>
    <r>
      <rPr>
        <rFont val="Helvetica Neue"/>
        <color rgb="FF1155CC"/>
        <u/>
      </rPr>
      <t>https://ieeexplore.ieee.org/document/11239239/</t>
    </r>
  </si>
  <si>
    <t>166-170</t>
  </si>
  <si>
    <t>10.1109/E-TEMS64751.2025.11239239</t>
  </si>
  <si>
    <t>Digital transformation projects (DTP) enable new kinds of either inter- or intra-organizational collaboration on the foundation of digital technologies such as the Internet of Things/ industry 4.0 and bring about organizational change. The speed of innovation; the interconnectedness of technologies; a diverse stakeholder environment; dependencies with other business activities; activities of business process management and change management all turn the management of DTP into a challenging endeavour. This is particularly true for their budgeting that does not seem to match descriptions of project management lifecycle models from recognized international project management standards. Based on this observation, a secondary analysis of interview data from two series of qualitative interviews was performed. In this article we scrutinize the applicability of popular lifecycle models to DTP. Therewith, this research contributes to a better understanding of DTPs’ lifecycles and builds a foundation for the development of a methodology for their management.</t>
  </si>
  <si>
    <t>2836-7588</t>
  </si>
  <si>
    <t>Score: 0
Justification:
	•	CI01: not met — the abstract mentions “process automation,” “process mining,” and process discovery/enhancement, but does not explicitly mention Business Process Management or BPM.
	•	CI02: not clearly met — the abstract discusses RPA and process mining technologies, but does not clearly mention digital transformation, digitalization, or digital innovation.
	•	CI03: met — explicitly mentions Robotic Process Automation (RPA), software robots, process mining, event logs, UI logs, and a user-interface interaction recorder.
	•	CI04: met — presents a tool for recording user-interface interactions and generating UI logs for process mining.
	•	CI05: met — the title and abstract are written in English.
	•	CE01–CE04: no exclusion criterion clearly applies, but the study is excluded because CI01 is not met and CI02 is not clearly supported based only on title and abstract.</t>
  </si>
  <si>
    <t>Score: 0
Justification:
* **CI01: Not met** — The study does not explicitly mention "Business Process Management" or the acronym "BPM" anywhere in the title or abstract. The focus is on the integration of RPA and process mining tools, without reference to BPM as a discipline or methodology.
* **CI02: Not met** — The abstract does not explicitly mention "digital transformation," "digitalization," or "digital innovation." The reference to a "digital force" is a metaphorical expression for software robots and does not constitute an explicit mention of digital transformation as an organizational concept.
* **CI03: Met** — The study explicitly mentions and applies Robotic Process Automation (RPA) and Process Mining as core technologies, discussing their integration through a UI interaction recording tool.
* **CI04: Met** — The study presents a concrete tool for recording user interface interactions and generating UI logs to support process mining and RPA task identification, constituting an applied technological contribution.
* **CI05: Met** — The title and abstract are written in English.
* **CE01: Does not apply** — The study is related to process automation technologies in a business context.
* **CE02: Does not apply** — The study addresses automation of human tasks within organizational workflows, implying a business operational context.
* **CE03: Does not apply** — This is a primary study presenting an original tool development, not a secondary study.
* **CE04: Does not apply** — The abstract provides sufficient information to assess the nature and scope of the study.
**Reason for Score = 0:** CI01 and CI02 are not met. The study does not explicitly mention BPM or digital transformation, both of which are mandatory inclusion criteria.</t>
  </si>
  <si>
    <t>Choi, Daehyoun; R’bigui, Hind; Cho, Chiwoon</t>
  </si>
  <si>
    <t>Enabling the Gab Between RPA and Process Mining: User Interface Interactions Recorder</t>
  </si>
  <si>
    <r>
      <rPr>
        <rFont val="Helvetica Neue"/>
        <color rgb="FF1155CC"/>
        <u/>
      </rPr>
      <t>https://ieeexplore.ieee.org/document/9751752/</t>
    </r>
  </si>
  <si>
    <t>39604-39612</t>
  </si>
  <si>
    <t>10.1109/ACCESS.2022.3165797</t>
  </si>
  <si>
    <t>Robotic process automation (RPA) is a rapid-emerging technology for process automation that is using software robots to replicate high-volume, manual, repeatable, routine, rule-based, and unmotivating human tasks. The goal is not to replace human workers but to allow them focus more on difficult tasks by delegating their tedious routine tasks to a digital force. RPA tools demonstrated powerful cost-saving and other performances. Nevertheless, one of the main challenges of implementing RPA is the identification of the suitable tasks for automation. Process mining is as an emerging technology for process discovery and enhancement based on event log data. Since RPA operates on the user interface level; process mining techniques can play a huge role in deciding the tasks that can be automated. However, process mining requires an event log as input to be used. This paper presents a tool responsible for recording the interactions with user interfaces and generating a UI log that can be used by process mining techniques for deciding the tasks that can be automated with RPA.</t>
  </si>
  <si>
    <t>Score: 0
Justification:
	•	CI01: not met — the abstract mentions “management of innovation processes and projects,” but does not explicitly mention Business Process Management or BPM.
	•	CI02: not clearly met — it discusses innovation management and implementation of AI in company software, but does not clearly mention digital transformation, digitalization, or digital innovation.
	•	CI03: met — explicitly mentions artificial intelligence, technologies, technological tools, and software for optimizing management.
	•	CI04: met — presents an analysis of AI implementation prospects and formulates recommendations for software development.
	•	CI05: met — the title and abstract are written in English.
	•	CE01–CE04: no exclusion criterion clearly applies, but the study is excluded because CI01 is not met and CI02 is not clearly supported based only on title and abstract.</t>
  </si>
  <si>
    <t>Score: 0
Justification:
* **CI01: Not met** — The study does not explicitly mention "Business Process Management" or the acronym "BPM" anywhere in the title or abstract. References to "management of innovation processes" and "management process" are generic and do not constitute an explicit mention of BPM as a discipline or methodology.
* **CI02: Not met** — The abstract does not explicitly mention "digital transformation," "digitalization," or "digital innovation." References to innovation management and technological tools do not sufficiently equate to digital transformation as a defined organizational concept.
* **CI03: Met** — The study explicitly mentions Artificial Intelligence (AI) as the core technology analyzed, examining its implementation prospects within innovation management software and programs used in companies.
* **CI04: Met** — The study analyzes factors affecting management complexity, examines existing optimization methods, and formulates recommendations for software development to optimize innovation management using AI, constituting an analytical study with applied recommendations.
* **CI05: Met** — The title and abstract are written in English.
* **CE01: Does not apply** — The study is related to technology application in organizational management contexts.
* **CE02: Does not apply** — The study is set within an organizational and business context, addressing innovation management in companies.
* **CE03: Does not apply** — This appears to be a primary study presenting original analysis and recommendations.
* **CE04: Applies** — The abstract is insufficiently detailed about the study's methodology, scope, empirical grounding, or specific findings to allow confident assessment of its relevance to the research topic of BPM and digital transformation.
**Reason for Score = 0:** CI01 and CI02 are not met, and CE04 applies. The study does not explicitly mention BPM or digital transformation, both of which are mandatory inclusion criteria.</t>
  </si>
  <si>
    <t>Chubakova, Viktoria D.; Chobitko, Miroslava T.; Zueva, Ekaterina V.</t>
  </si>
  <si>
    <t>2024 6th International Youth Conference on Radio Electronics, Electrical and Power Engineering (REEPE)</t>
  </si>
  <si>
    <t>Artificial Intelligence in the Innovation Management Systems</t>
  </si>
  <si>
    <r>
      <rPr>
        <rFont val="Helvetica Neue"/>
        <color rgb="FF1155CC"/>
        <u/>
      </rPr>
      <t>https://ieeexplore.ieee.org/document/10479688/</t>
    </r>
  </si>
  <si>
    <t>10.1109/REEPE60449.2024.10479688</t>
  </si>
  <si>
    <t>In this paper the management of innovation processes and projects is studied, which is the basis for analyzing of factors affecting the complexity of the management process, and the existing methods of its optimization based on technologies and technological tools for innovation management are considered. The analysis of the prospects for the implementation artificial intelligence in the programs currently used in companies, positive and negative sides and conditions for effective use are identified. Also, according to the results of the research, recommendations for the development of software to optimize the management of innovation processes and projects using artificial intelligence are formulated.</t>
  </si>
  <si>
    <t>2831-7262</t>
  </si>
  <si>
    <t>Score: 0
Justification:
	•	CI01: met — explicitly mentions Business Process Management in the title and discusses “process management” in the abstract.
	•	CI02: met — explicitly mentions digitalization trends.
	•	CI03: met — mentions technology-related elements such as process automation, information system governance, and the “technical side” of organizational ecosystems.
	•	CI04: not clearly met — the abstract says the aim is “to start a discourse and consider” whether self-managed organizations benefit from process management. It does not clearly present an application, framework, model, method, or empirical analysis.
	•	CI05: met — the title and abstract are written in English.
	•	CE01–CE04: no exclusion criterion clearly applies, but the study is excluded because CI04 is not clearly met.</t>
  </si>
  <si>
    <t>Score: 0
Justification:
* **CI01: Met** — The study explicitly mentions "Business Process Management" in the title and references "process management" and "business process continuity" throughout the abstract.
* **CI02: Met** — The abstract explicitly references "process automation and digitalization trends" as the broader context motivating the study, constituting an explicit mention of digitalization.
* **CI03: Not met** — The abstract does not explicitly mention or apply specific technologies such as AI, RPA, process mining, big data, blockchain, IoT, or software systems. References to "process automation" and "information system governance" are generic and lack the specificity required to satisfy CI03.
* **CI04: Not met** — The study explicitly states its aim is to "start a discourse and consider if self-managed organizations benefit from a systematic approach of process management." This framing positions the paper as a conceptual discussion or position paper rather than an application, framework, model, method, or empirical analysis as required by CI04.
* **CI05: Met** — The title and abstract are written in English.
* **CE01: Does not apply** — The study is related to BPM and organizational process management.
* **CE02: Does not apply** — The study is set within an organizational context, addressing management paradigms and business process governance in companies.
* **CE03: Does not apply** — This appears to be a primary conceptual study, not a secondary study.
* **CE04: Does not apply** — The abstract provides sufficient information to assess the nature and scope of the study.
**Reason for Score = 0:** CI03 and CI04 are not met. The study does not explicitly reference specific technologies, and its contribution is framed as a conceptual discourse rather than a concrete application, framework, model, or empirical analysis.</t>
  </si>
  <si>
    <t>Ore, Alina; Kuznecova, Oksana; Jegorova, Anna</t>
  </si>
  <si>
    <t>2021 62nd International Scientific Conference on Information Technology and Management Science of Riga Technical University (ITMS)</t>
  </si>
  <si>
    <t>Self-managed Organization: A Role of Business Process Management</t>
  </si>
  <si>
    <r>
      <rPr>
        <rFont val="Helvetica Neue"/>
        <color rgb="FF1155CC"/>
        <u/>
      </rPr>
      <t>https://ieeexplore.ieee.org/document/9615260/</t>
    </r>
  </si>
  <si>
    <t>10.1109/ITMS52826.2021.9615260</t>
  </si>
  <si>
    <t>Among with process automation and digitalization trends, which requires a strong structural and process-oriented approach, new paradigm of self-managed organization become a mainstream cultivating the value of decentralization of decision power. With different titles as Management 3.0, holacracy, teal organization or reinventing organization, the same idea is spread – a transition from typical hierarchical management pyramid to the flat organization of self-organized teams with given authorities for decision making. Ongoing discussions are both supporting and criticizing. Most of them are focused on organizational changes, mind-set, and methods to assist transition. Keeping attention to the social component of the new management paradigm in organizational ecosystem, an attention to its technical side is missed. It includes business process and information system governance. The aim of the paper is to start a discourse and consider if self-managed organization benefit from a systematic approach of process management, as well as consider risks what can bring to business process continuity.</t>
  </si>
  <si>
    <t>Score: 0
Justification:
	•	CI01: not met — the abstract mentions Robotic Process Automation (RPA) and process automation, but does not explicitly mention Business Process Management or BPM.
	•	CI02: not met — the abstract does not clearly mention digital transformation, digitalization, or digital innovation.
	•	CI03: met — explicitly mentions Robotic Process Automation (RPA), tools, and process automation.
	•	CI04: met — presents a literature study/review discussing RPA definition, tools, benefits, domains, problems, and challenges.
	•	CI05: met — the title and abstract are written in English.
	•	CE01–CE04: CE03 applies — the title says “A Review” and the abstract says it is a literature study. It is excluded because CI01 and CI02 are not met, and because it is a secondary study.</t>
  </si>
  <si>
    <t>Score: 0
Justification:
* **CI01: Not met** — The study does not explicitly mention "Business Process Management" or the acronym "BPM" anywhere in the title or abstract. The focus is solely on Robotic Process Automation (RPA) without any reference to BPM as a discipline or methodology.
* **CI02: Not met** — The abstract does not explicitly mention "digital transformation," "digitalization," or "digital innovation." References to cost reduction and efficiency improvement do not constitute an explicit mention of digital transformation as an organizational concept.
* **CI03: Met** — The study explicitly focuses on Robotic Process Automation (RPA) as its core technology, discussing its definition, tools, benefits, and application domains.
* **CI04: Not met** — The study is described as a "literature study" presenting a review of RPA research, covering definitions, tools, benefits, and challenges. This does not constitute an original application, framework, model, or empirical analysis as required by CI04.
* **CI05: Met** — The title and abstract are written in English.
* **CE01: Does not apply** — The study is related to process automation technology in business contexts.
* **CE02: Does not apply** — The study addresses business area domains of RPA, implying an organizational and business context.
* **CE03: Applies** — The study is explicitly described as a "literature study" and a "review," constituting a secondary study that directly triggers CE03.
* **CE04: Does not apply** — The abstract provides sufficient information to assess the nature and scope of the study.
**Reason for Score = 0:** CI01, CI02, and CI04 are not met, and CE03 applies. The study does not mention BPM or digital transformation, does not present an original empirical contribution, and is explicitly identified as a literature review.</t>
  </si>
  <si>
    <t>Falih, Noor; Supangkat, Suhono Harso; Lubis, Fetty Fitriyanti</t>
  </si>
  <si>
    <t>2022 International Conference on ICT for Smart Society (ICISS)</t>
  </si>
  <si>
    <t>Robotic Process Automation in Smart System Platform: A Review</t>
  </si>
  <si>
    <r>
      <rPr>
        <rFont val="Helvetica Neue"/>
        <color rgb="FF1155CC"/>
        <u/>
      </rPr>
      <t>https://ieeexplore.ieee.org/document/9915043/</t>
    </r>
  </si>
  <si>
    <t>10.1109/ICISS55894.2022.9915043</t>
  </si>
  <si>
    <t>Robotic Process Automation (RPA) is routine rule-based process automation to reduce costs and increase efficiency. In recent years, RPA becomes an interesting thing for researchers. This paper presents a literature study on RPA the focuses on discussing the definition, tools, benefits, business area domains, and various problems that arise in RPA research. In the end, the research challenges in the RPA field were discussed.</t>
  </si>
  <si>
    <t>Score: 1
Justification:
	•	CI01: met — explicitly mentions business process management, including “green business process management” and “GBPM.”
	•	CI02: met — explicitly addresses digitalization and Quality 4.0, stating that Quality 4.0 uses “Industry 4.0 technology, integration, and digitalization.”
	•	CI03: met — explicitly mentions Industry 4.0 technology, Quality 4.0, digitalization, integration, and better decision-making.
	•	CI04: met — presents a quantitative empirical study, with data collected from 66 food manufacturing companies and 216 respondents, including hypothesis testing.
	•	CI05: met — the title and abstract are written in English.
	•	CE01–CE04: none apply — the study is related to BPM/GBPM, digitalization, technologies, and organizational/business context; it is not a secondary study, and the abstract provides enough information to assess relevance.</t>
  </si>
  <si>
    <t>Score: 0
Justification:
* **CI01: Met** — The study explicitly mentions "business process management" and "green business process management (GBPM)" multiple times throughout the abstract, positioning BPM as the central independent variable in the research model.
* **CI02: Met** — The abstract explicitly mentions "digitalization" and references "Industry 4.0 technology" and "Quality 4.0" as concepts grounded in the digital transformation paradigm.
* **CI03: Not met** — While the abstract references "Industry 4.0 technology" and "digitalization," it does not explicitly name or apply specific technologies such as AI, RPA, process mining, big data, blockchain, IoT, or software systems. The mention of Industry 4.0 technology is too generic to satisfy this criterion, which requires explicit identification of specific technologies.
* **CI04: Met** — The study conducts a quantitative empirical analysis based on data collected from 216 respondents across 66 food manufacturing companies in Dubai, UAE, using convergent validity, reliability testing, VIF analysis, and hypothesis testing to examine the mediating role of Quality 4.0, constituting a robust empirical study.
* **CI05: Met** — The title and abstract are written in English.
* **CE01: Does not apply** — The study is related to BPM and digitalization in an organizational context.
* **CE02: Does not apply** — The study is firmly grounded in an organizational and business context, specifically the food manufacturing industry in Dubai, UAE.
* **CE03: Does not apply** — This is a primary empirical study with original data collection, not a secondary study.
* **CE04: Does not apply** — The abstract provides sufficient information to assess relevance.
**Reason for Score = 0:** CI03 is not met. The study does not explicitly mention or apply specific digital technologies as required by the inclusion criteria, referring only generically to "Industry 4.0 technology" without naming concrete technologies.</t>
  </si>
  <si>
    <t>Yanamandra, Ramakrishna; Abidi, Naseem; Srivastava, Riktesh; Kukunuru, Saigeeta; Alzoubi, Haitham M.</t>
  </si>
  <si>
    <t>2023 International Conference on Business Analytics for Technology and Security (ICBATS)</t>
  </si>
  <si>
    <t>Approaching Quality 4.0: The Digital Process Management as a Competitive Advantage</t>
  </si>
  <si>
    <r>
      <rPr>
        <rFont val="Helvetica Neue"/>
        <color rgb="FF1155CC"/>
        <u/>
      </rPr>
      <t>https://ieeexplore.ieee.org/document/10111453/</t>
    </r>
  </si>
  <si>
    <t>10.1109/ICBATS57792.2023.10111453</t>
  </si>
  <si>
    <t>A new quality management strategy known as "Quality 4.0" makes use of Industry 4.0 technology, integration, and digitalization. While green business process management is recognized as a best practice management principle to support organizations in maintaining production efficiency from a process perspective to gain competitive advantage. The key ideas of green business process management are reviewed and examined in this study along with its impact on competitive advantage with a mediating role of quality 4.0. The quantitative nature of the study examines how Quality 4.0 is now perceived in various sources with an empirical evidence collected from food manufacturing industry Dubai UAE. 66 food manufacturing companies were targeted to gather data from managerial and production departments. 216 respondent’s data utilized for analysis. The study model was hypothesized that was measured using convergent validity, reliability, VIF and hypothesis testing to encounter the mediating effect of quality 4.0. The findings suggest a significant impact of green business process management on competitive advantage with mediating role of quality 4.0. As a result, the findings contribute to improve the knowledge of manufacturers, industrialists, and researchers concerned to explore GBPM and Quality 4.0. Moreover, implementing Quality 4.0 can provide several benefits that can help businesses gain a competitive advantage, including improved quality, increased efficiency, enhanced innovation, better decision-making, and a differentiated market position.</t>
  </si>
  <si>
    <t>Score: 0
Justification:
	•	CI01: not met — the abstract does not explicitly mention Business Process Management or BPM.
	•	CI02: met — mentions digitalization in the medical field.
	•	CI03: met — explicitly mentions technologies such as IoT device, remote patient monitoring, real-time contact, data storage, and Telegram bot.
	•	CI04: met — presents a specific technological device/system, ROH-BOT, designed for remote patient monitoring.
	•	CI05: met — the title and abstract are written in English.
	•	CE01–CE04: CE01 applies — the study is about an IoT health device for patient monitoring, not about BPM or business process management in digital transformation. It is excluded mainly because CI01 is not met and the organizational/business process context is not clearly aligned with the research topic.</t>
  </si>
  <si>
    <t>Score: 0
Justification:
* **CI01: Not met** — The study does not explicitly mention "Business Process Management" or the acronym "BPM" anywhere in the title or abstract. The focus is entirely on an IoT wearable health device for remote patient monitoring, with no reference to BPM as a discipline or methodology.
* **CI02: Not met** — The abstract references "growing digitalization in the medical field" and "democratization of medical technology," but these are incidental remarks rather than a substantive treatment of digital transformation as an organizational or business concept. Digital transformation is not addressed as a core theme of the study.
* **CI03: Met** — The study explicitly mentions and applies IoT as the core technology, along with a Telegram bot integration, for real-time remote patient monitoring and vital parameter tracking.
* **CI04: Met** — The study presents the design and development of the ROH-BOT device, a concrete IoT system with defined technical features and functionalities, constituting an applied technological development.
* **CI05: Met** — The title and abstract are written in English.
* **CE01: Applies** — The study is unrelated to BPM, digital transformation as an organizational phenomenon, or BPM-relevant technologies. Its focus is on a wearable medical device for home patient monitoring during the COVID-19 pandemic.
* **CE02: Applies** — The study is set in a healthcare and patient monitoring context, not in an organizational or business management context as required by the research topic.
* **CE03: Does not apply** — This is a primary study presenting an original device development, not a secondary study.
* **CE04: Does not apply** — The abstract provides sufficient information to assess relevance, confirming the study is outside the scope of the research topic.
**Reason for Score = 0:** CI01 and CI02 are not met, and CE01 and CE02 apply. The study has no connection to BPM or organizational digital transformation, and is focused on a medical IoT device for remote patient care.</t>
  </si>
  <si>
    <t>Agriesti, Claudia; De Cinque, Maria Ida; Carloni, Filippo; Santambrogio, Marco Domenico</t>
  </si>
  <si>
    <t>2022 IEEE 7th Forum on Research and Technologies for Society and Industry Innovation (RTSI)</t>
  </si>
  <si>
    <t>ROH-BOT: An IoT Wearable and Inclusive Health Device for Remote Patient Monitoring With Different Alarm Systems</t>
  </si>
  <si>
    <r>
      <rPr>
        <rFont val="Helvetica Neue"/>
        <color rgb="FF1155CC"/>
        <u/>
      </rPr>
      <t>https://ieeexplore.ieee.org/document/9905184/</t>
    </r>
  </si>
  <si>
    <t>68-73</t>
  </si>
  <si>
    <t>10.1109/RTSI55261.2022.9905184</t>
  </si>
  <si>
    <t>For the last two years, the world has been fighting an invisible enemy: COVID-19 (coronavirus). The spreading of this virus caused an unprecedented pandemic, bringing out some critical health system issues due to overcrowded hospitals and undersized medical personnel compared to the number of infected. Indeed, in this context, health facilities have proven inadequate in treating COVID-19 patients who were in quarantine at home, leading to overcrowded hospitals. An efficient home monitoring system would have reserved hospital beds for patients in severe conditions while, at the same time, doctors would have followed up on patients who had mild disease symptoms remotely. Unfortunately, the development of telemedicine was not enough; devices were not user-friendly and had insufficient memory to guarantee daily data storage. ROH-BOT is an IoT device that allows real-time contact with the doctor, tracking the patient’s vital values, and registers the critical parameters that characterize the specific disease. It also allows quick contact with a trusted third person due to its association with a Telegram bot. Moreover, thanks to its user-friendly characteristics, ROH-BOT increases the growing digitalization in the medical field and the democratization of medical technology. In this way, ROH-BOT aims to solve the difficulties related to home monitoring relieved during the pandemic.</t>
  </si>
  <si>
    <t>2687-6817</t>
  </si>
  <si>
    <t>Score: 1
Justification:
	•	CI01: met — explicitly mentions BPM in “a three-dimensional BPM framework based on machine learning.”
	•	CI02: met — addresses digital/intelligent transformation through “intelligent upgrading,” “intelligent restructuring,” “dynamic adaptation,” and “deep transformation of enterprise business processes.”
	•	CI03: met — explicitly mentions artificial intelligence and machine learning, and proposes a BPM framework based on machine learning.
	•	CI04: met — presents a framework/model and reports empirical/performance results across enterprise scenarios, including reductions in classification errors and improvements in inventory turnover and equipment downtime.
	•	CI05: met — the title and abstract are written in English.
	•	CE01–CE04: none apply — the study is related to BPM, technology-driven transformation, and enterprise/business processes; it is not a secondary study, and the abstract provides enough information to assess relevance.</t>
  </si>
  <si>
    <t>Score: 1
Justification:
* **CI01: Met** — The study explicitly mentions "BPM framework" and references "business process optimization" and "business process lifecycle," constituting a direct and explicit use of the BPM acronym within the study's core contribution.
* **CI02: Met** — The abstract explicitly references "deep transformation of enterprise business processes" and "intelligent upgrading in business management," addressing digital transformation as a central outcome of the research.
* **CI03: Met** — The study explicitly applies Artificial Intelligence (AI) and Machine Learning (ML) as the core technologies used to construct the three-dimensional BPM framework and drive enterprise business intelligence refactoring.
* **CI04: Met** — The study constructs and empirically evaluates a three-dimensional BPM framework based on machine learning, reporting quantitative performance results across multiple enterprise scenarios, constituting both a model proposal and an empirical analysis with concrete findings.
* **CI05: Met** — The title and abstract are written in English.
* **CE01: Does not apply** — The study is directly related to BPM, digital transformation, and technologies including AI and machine learning.
* **CE02: Does not apply** — The study is firmly grounded in an organizational and business context, with applications validated in manufacturing and electronic product enterprises.
* **CE03: Does not apply** — This is a primary study presenting an original framework with empirical validation, not a secondary study.
* **CE04: Does not apply** — The abstract provides detailed and sufficient information to assess relevance with full confidence.</t>
  </si>
  <si>
    <t>Wu, Yong-jie; Yu, Jiayin; Li, Zi-zhen; Wu, Shen; Jiang, Jiang</t>
  </si>
  <si>
    <t>2025 International Conference on Electrical Engineering and Informatics (ICEEI)</t>
  </si>
  <si>
    <t>Machine Learning Driven Enterprise Business Intelligence Refactoring and Dynamic Adaptation</t>
  </si>
  <si>
    <r>
      <rPr>
        <rFont val="Helvetica Neue"/>
        <color rgb="FF1155CC"/>
        <u/>
      </rPr>
      <t>https://ieeexplore.ieee.org/document/11331249/</t>
    </r>
  </si>
  <si>
    <t>10.1109/ICEEI68459.2025.11331249</t>
  </si>
  <si>
    <t>With the vigorous development of artificial intelligence technology, enterprises are facing the challenge of intelligent upgrading in business management. The research aims to use artificial intelligence to solve these problems and achieve intelligent restructuring and dynamic adaptation of enterprise business. The research constructs a three-dimensional BPM framework based on machine learning, covering value network collaboration, business object layering, and dynamic process lifecycle dimensions, respectively achieving cross subject collaboration optimization, fine management of business objects, and dynamic process closure. The research results show that compared with advanced models such as intelligent business process optimization integration models, the proposed model reduces classification errors by about 30%, root mean square errors by about 28%, and recall rates by about 20%. The effect is outstanding in different enterprise scenarios, such as a 43.90% increase in inventory turnover rate in large manufacturing enterprises and a 56.31% monthly reduction in equipment downtime in electronic product manufacturing enterprises. The research uses artificial intelligence to achieve deep transformation of enterprise business processes, providing effective ways for enterprises to improve operational efficiency, reduce costs, and enhance market competitiveness.</t>
  </si>
  <si>
    <t>2155-6830</t>
  </si>
  <si>
    <t>Score: 0
Justification:
	•	CI01: not met — the abstract mentions “process automation” and “business hyper-automation,” but does not explicitly mention Business Process Management or BPM.
	•	CI02: not clearly met — the abstract discusses hyper-automation and technological advancement, but does not clearly mention digital transformation, digitalization, or digital innovation.
	•	CI03: met — explicitly mentions technologies such as AI, machine learning, process automation, sensing technology, and blockchain.
	•	CI04: not clearly met — the paper says it will “discuss” motivations, technologies, related research topics, and future outlook, but it does not clearly present an application, framework, model, method, or empirical analysis.
	•	CI05: met — the title and abstract are written in English.
	•	CE01–CE04: CE03 may apply because the title and abstract suggest an overview/outlook rather than a primary empirical or methodological study. In any case, it is excluded because CI01, CI02, and CI04 are not clearly met.</t>
  </si>
  <si>
    <t>Score: 0
Justification:
* **CI01: Not met** — The study does not explicitly mention "Business Process Management" or the acronym "BPM" anywhere in the title or abstract. References to "process automation" and "business scheduling" are generic and do not constitute an explicit mention of BPM as a discipline or methodology.
* **CI02: Not met** — The abstract does not explicitly mention "digital transformation," "digitalization," or "digital innovation." The advancement of AI and automation technologies is discussed without framing it within the context of digital transformation as an organizational concept.
* **CI03: Met** — The study explicitly mentions multiple technologies including AI, machine learning, process automation, sensing technology, and blockchain as the core components of business hyper-automation.
* **CI04: Not met** — The abstract describes the paper as an overview discussing motivations, typical technologies, and an outlook on related research topics and the future of hyper-automation. This constitutes a conceptual overview rather than an application, framework, model, or empirical analysis as required by CI04.
* **CI05: Met** — The title and abstract are written in English.
* **CE01: Does not apply** — The study is related to technology application in business contexts.
* **CE02: Does not apply** — The study addresses business operations and industry interest in an organizational context.
* **CE03: Does not apply** — This appears to be a primary conceptual overview, not a systematic literature review or mapping study.
* **CE04: Does not apply** — The abstract provides sufficient information to assess the nature and scope of the study.
**Reason for Score = 0:** CI01, CI02, and CI04 are not met. The study does not explicitly mention BPM or digital transformation, and its contribution is framed as a conceptual overview rather than a concrete application, framework, model, or empirical analysis.</t>
  </si>
  <si>
    <t>Zhao, Xiaohui; Oseni, Taiwo; Medishetty, Bhanu Teja</t>
  </si>
  <si>
    <t>2022 IEEE International Conference on e-Business Engineering (ICEBE)</t>
  </si>
  <si>
    <t>Overview of Business Hyper-automation</t>
  </si>
  <si>
    <r>
      <rPr>
        <rFont val="Helvetica Neue"/>
        <color rgb="FF1155CC"/>
        <u/>
      </rPr>
      <t>https://ieeexplore.ieee.org/document/10035081/</t>
    </r>
  </si>
  <si>
    <t>100-105</t>
  </si>
  <si>
    <t>10.1109/ICEBE55470.2022.00026</t>
  </si>
  <si>
    <t>Business hyper-automation has emerged as a new topic with the advancement of AI, machine learning, process automation, sensing technology, blockchain, etc. It starts attracting industry interest as well, as many IT giants are establishing the market of business hyper-automation. By organically combining these technologies, business hyper-automation promises us flexible service delivery, intelligent business scheduling, resilience to unexpected changes, and significant reduction of workforce need. Around this novel concept, we are to discuss the motivation of business hyper-automation and typical technologies employed by it. An outlook to related research topics and the future of hyper-automation is conducted in the end.</t>
  </si>
  <si>
    <t>Score: 1
Justification:
	•	CI01: met — explicitly mentions BPM tools in the abstract: “Web Services technology, ESB tools and BPM tools.”
	•	CI02: met — explicitly addresses digital transformation, specifically the problem of “information island” faced by power enterprises during digital transformation.
	•	CI03: met — explicitly mentions technologies/tools such as SOA architecture, information platform, enterprise service bus (ESB), Web Services technology, BPM tools, service registry, service adapter, monitoring/governance platform, and security components.
	•	CI04: met — presents an architecture design, implementation process, and case study demonstrating the application effect of the SOA architecture.
	•	CI05: met — the title and abstract are written in English.
	•	CE01–CE04: none apply — the study is related to BPM tools, digital transformation, technology integration, and an organizational/business context; it is not a secondary study, and the abstract provides enough information to assess relevance.</t>
  </si>
  <si>
    <t>Score: 1
Justification:
* **CI01: Met** — The abstract explicitly mentions "BPM tools" as one of the key technologies supporting the design and implementation of the SOA architecture, constituting a direct reference to BPM within the study's technical scope.
* **CI02: Met** — The abstract explicitly states the study aims to solve problems "encountered by power enterprises in the process of digital transformation," directly addressing digital transformation as the motivating organizational context.
* **CI03: Met** — The study explicitly mentions and applies multiple technologies including Service-Oriented Architecture (SOA), Enterprise Service Bus (ESB), Web Services, BPM tools, service registration centers, service adapters, and service monitoring and governance platforms.
* **CI04: Met** — The study presents a detailed architecture design with defined service layers (providing, bus, consuming, and management), key component implementations, and validates the approach through a case study demonstrating real-world application, constituting both a framework proposal and an empirical case study.
* **CI05: Met** — The title and abstract are written in English.
* **CE01: Does not apply** — The study is related to BPM tools, digital transformation, and information technologies in an organizational context.
* **CE02: Does not apply** — The study is set within a clear organizational and business context, specifically electric power enterprises engaged in school-enterprise cooperation and digital information management.
* **CE03: Does not apply** — This is a primary study presenting an original architecture design and case study, not a secondary study.
* **CE04: Does not apply** — The abstract provides detailed and sufficient information to assess relevance with full confidence.</t>
  </si>
  <si>
    <t>Ji, Peng; Yuan, Xiaohui; Zhang, Yang; Zhao, Lei; Qu, Chuanzhe</t>
  </si>
  <si>
    <t>2025 International Conference on Electrical Drives, Power Electronics &amp; Engineering (EDPEE)</t>
  </si>
  <si>
    <t>Research on Integration Technology of Information Platform for School-enterprise Cooperation in Electric Power Enterprises Based on SOA Architecture</t>
  </si>
  <si>
    <r>
      <rPr>
        <rFont val="Helvetica Neue"/>
        <color rgb="FF1155CC"/>
        <u/>
      </rPr>
      <t>https://ieeexplore.ieee.org/document/11069117/</t>
    </r>
  </si>
  <si>
    <t>1004-1010</t>
  </si>
  <si>
    <t>10.1109/EDPEE65754.2025.00182</t>
  </si>
  <si>
    <t>This paper studies the integration technology of information platform for school-enterprise cooperation in power enterprises based on service-oriented architecture (SOA), aiming at solving the problem of "information island" encountered by power enterprises in the process of digital transformation and improving the efficiency and quality of school-enterprise cooperation. Firstly, this paper analyzes the current situation and challenges of information construction in power enterprises, points out the limitations of traditional information system architecture, and puts forward the advantages of SOA architecture in promoting cross-organizational data exchange and service invocation. Then, the paper introduces in detail the overall architecture design of the information platform for school-enterprise cooperation in electric power enterprises based on SOA, including service providing layer, service bus layer, service consuming layer and service management layer, and expounds the functions and implementation of key components such as service registration center, enterprise service bus (ESB), service adapter, service monitoring and governance platform and security component. In the technical realization part, the paper describes the process of service definition and modeling, service development and encapsulation, service registration and discovery, and service communication and invocation, and discusses the strategy of service monitoring and management. In addition, the paper also discusses the role of Web Services technology, ESB tools and BPM tools in supporting the design and implementation of SOA architecture. Finally, through a case study, the application effect of SOA architecture in the actual school-enterprise cooperation information platform is demonstrated, which proves its effectiveness in promoting data sharing and business collaboration, and improving cooperation efficiency and quality. The research results show that the integration technology of information platform for school-enterprise cooperation in power enterprises based on SOA architecture can provide new ideas and methods for the informatization construction of power enterprises, which has important theoretical value and practical significance.</t>
  </si>
  <si>
    <t>Score: 0
Justification:
	•	CI01: not met — the abstract mentions “business processes” and strategic diagnosis of business processes, but does not explicitly mention Business Process Management or BPM.
	•	CI02: not clearly met — the abstract discusses information technologies, automation, and “modern challenges,” but does not clearly mention digital transformation, digitalization, or digital innovation.
	•	CI03: met — explicitly mentions information technologies and automation of enterprise management.
	•	CI04: met — presents a model for assessing business process efficiency, tested at five transport enterprises.
	•	CI05: met — the title and abstract are written in English.
	•	CE01–CE04: no exclusion criterion clearly applies, but the study is excluded because CI01 is not met and CI02 is not clearly supported based only on the title and abstract.</t>
  </si>
  <si>
    <t>Score: 0
Justification:
* **CI01: Not met** — The study does not explicitly mention "Business Process Management" or the acronym "BPM" anywhere in the title or abstract. References to "business processes," "diagnosis of business processes," and "automation of enterprise management" are generic and do not constitute an explicit mention of BPM as a discipline or methodology.
* **CI02: Not met** — The abstract does not explicitly mention "digital transformation," "digitalization," or "digital innovation." The reference to "modern challenges" and "information technologies" does not sufficiently equate to digital transformation as a defined organizational concept.
* **CI03: Met** — The study explicitly references "information technologies" as the core enabling tools for strategic diagnosis of business processes, with mentions of automation and management decision support systems.
* **CI04: Met** — The study presents a model for assessing the efficiency of business processes, tested across five transport enterprises, constituting both a model proposal and an empirical validation with concrete results.
* **CI05: Met** — The title and abstract are written in English.
* **CE01: Does not apply** — The study is related to technology application in business process management within an organizational context.
* **CE02: Does not apply** — The study is set within a clear organizational and business context, specifically transport enterprises.
* **CE03: Does not apply** — This is a primary study presenting an original model with empirical testing, not a secondary study.
* **CE04: Does not apply** — The abstract provides sufficient information to assess the nature and scope of the study.
**Reason for Score = 0:** CI01 and CI02 are not met. The study does not explicitly mention BPM or digital transformation, both of which are mandatory inclusion criteria.</t>
  </si>
  <si>
    <t>Poberezhna, Zarina; Truhan, Oleksandr</t>
  </si>
  <si>
    <t>2024 14th International Conference on Advanced Computer Information Technologies (ACIT)</t>
  </si>
  <si>
    <t>Strategic Diagnostics of Business Processes of Enterprises using Information Technologies in the Context of Modern Challenges</t>
  </si>
  <si>
    <r>
      <rPr>
        <rFont val="Helvetica Neue"/>
        <color rgb="FF1155CC"/>
        <u/>
      </rPr>
      <t>https://ieeexplore.ieee.org/document/10712609/</t>
    </r>
  </si>
  <si>
    <t>455-459</t>
  </si>
  <si>
    <t>10.1109/ACIT62333.2024.10712609</t>
  </si>
  <si>
    <t>Strategic diagnosis of business processes using information technologies allows enterprises to determine the effectiveness of business processes, improve existing or abandon inefficient business processes, increase the automation of enterprise management, develop strategies aimed at ensuring competitiveness in the face of modern challenges. This study presents a model for assessing the efficiency of business processes, which allows for a comprehensive assessment of the key indicators of the enterprise, as well as to determine the level of their efficiency and individual components that can be used when making management decisions regarding the analysis, prevention and prevention of real and potential threats and risks. The model was tested at five transport enterprises, which confirms the significant advantages of the developed model.</t>
  </si>
  <si>
    <t>2770-5226</t>
  </si>
  <si>
    <t>Score: 0
Justification:
	•	CI01: not met — the abstract does not explicitly mention Business Process Management or BPM.
	•	CI02: not clearly met — it mentions “business transformation” and “digital age,” but does not clearly address digital transformation, digitalization, or digital innovation.
	•	CI03: met — explicitly mentions Information Systems, Information Technology, IS/IT strategies, advanced technologies, and technological landscapes.
	•	CI04: met — presents a systematic literature review using the PRISMA framework.
	•	CI05: met — the title and abstract are written in English.
	•	CE01–CE04: CE03 applies — the study is explicitly a Systematic Literature Review. It is excluded because CI01 is not met, CI02 is not clearly supported, and CE03 applies.</t>
  </si>
  <si>
    <t>Score: 0
Justification:
* **CI01: Not met** — The study does not explicitly mention "Business Process Management" or the acronym "BPM" anywhere in the title or abstract. References to "business transformation" and "organizational objectives" are generic strategic management terms that do not constitute an explicit mention of BPM as a discipline or methodology.
* **CI02: Met** — The abstract addresses business transformation driven by IS/IT strategies in the context of the "digital age," and references innovation, operational efficiency, and adaptability in a digitally evolving organizational environment, constituting an implicit but contextually clear reference to digital transformation.
* **CI03: Met** — The study references "integration of advanced technologies" and IS/IT strategies, and discusses technological landscapes in organizational contexts, constituting a general but explicit reference to technology application.
* **CI04: Not met** — Although the study identifies methodologies, frameworks, and trends, it does so through a systematic literature review rather than presenting an original application, framework, model, or empirical analysis. The contribution is a synthesis of existing knowledge, not a primary empirical or applied study.
* **CI05: Met** — The title and abstract are written in English.
* **CE01: Does not apply** — The study is related to IS/IT strategies and business transformation in an organizational context.
* **CE02: Does not apply** — The study is set within organizational and business contexts, addressing strategic alignment, KPIs, and competitive advantage.
* **CE03: Applies** — The study explicitly employs a "systematic literature review guided by the PRISMA framework," analyzing 26 scholarly papers. This is a secondary study by definition, directly triggering CE03.
* **CE04: Does not apply** — The abstract provides sufficient information to assess relevance.
**Reason for Score = 0:** CI01 and CI04 are not met, and CE03 applies. The study does not explicitly mention BPM, does not present a primary empirical contribution, and is explicitly identified as a systematic literature review.</t>
  </si>
  <si>
    <t>Hasarinda, Sarith; Wickramakalutota, G.W.; Wickramarachchi, Ruwan</t>
  </si>
  <si>
    <t>2025 5th International Conference on Advanced Research in Computing (ICARC)</t>
  </si>
  <si>
    <t>The Role of IS/IT Strategies in Driving Business Transformation and Achieving Organizational Objectives: A Systematic Literature Review</t>
  </si>
  <si>
    <r>
      <rPr>
        <rFont val="Helvetica Neue"/>
        <color rgb="FF1155CC"/>
        <u/>
      </rPr>
      <t>https://ieeexplore.ieee.org/document/10963281/</t>
    </r>
  </si>
  <si>
    <t>10.1109/ICARC64760.2025.10963281</t>
  </si>
  <si>
    <t>This paper explores the critical role of Information Systems and Information Technology (IS/IT) strategies in driving business transformation and achieving organizational objectives. By employing a systematic literature review guided by the PRISMA framework, 26 scholarly papers were analysed to identify key methodologies, frameworks, and emerging trends. The findings highlight the importance of hybrid and industry-specific approaches for strategic alignment, the integration of advanced technologies to foster innovation and operational efficiency, and the alignment of critical success factors (CSFs) and key performance indicators (KPIs) with organizational objectives to enhance monitoring and adaptability. Furthermore, the study underscores the dynamic interplay of internal and external business factors in strategy formulation and the growing significance of ethical and sustainable practices in future IS/IT strategies. The discussion offers actionable insights for organizations navigating complex technological landscapes, emphasizing flexibility, holistic planning, and sustainability as core components of modern IS/IT strategies. These findings provide a roadmap for organizations aiming to align IS/IT strategies with evolving demands and societal expectations while maintaining a competitive edge in the digital age.</t>
  </si>
  <si>
    <t>Score: 0
Justification:
	•	CI01: not met — the abstract mentions “digital process,” “documentation processes,” and process improvement, but does not explicitly mention Business Process Management or BPM.
	•	CI02: met — explicitly addresses digitalization and states that the solution contributes to the digital transformation of the AEC sector.
	•	CI03: met — explicitly mentions an integrated digital documentation system, enterprise resource planning (ERP) systems, digital documentation, and invoicing data.
	•	CI04: met — proposes a system and evaluates it through a month-long case study using data from a real-life construction site.
	•	CI05: met — the title and abstract are written in English.
	•	CE01–CE04: no exclusion criterion clearly applies, but the study is excluded because CI01 is not met. Under your strict protocol, digital process improvement is not enough without explicit Business Process Management or BPM.</t>
  </si>
  <si>
    <t>Score: 0
Justification:
* **CI01: Not met** — The study does not explicitly mention "Business Process Management" or the acronym "BPM" anywhere in the title or abstract. References to "construction documentation processes" and "tunnel construction management" are domain-specific operational terms that do not constitute an explicit mention of BPM as a discipline or methodology.
* **CI02: Met** — The abstract explicitly references "digital transformation of the AEC sector" and "digitalization" as the central context and stated contribution of the study.
* **CI03: Met** — The study explicitly mentions Enterprise Resource Planning (ERP) systems as part of the integrated digital documentation solution, alongside a digital documentation and invoicing system, constituting explicit reference to software systems and technology application.
* **CI04: Met** — The study proposes an integrated digital documentation system and validates it through a month-long case study using real-life construction site data, comparing outputs to actual invoicing data, constituting an applied system proposal with empirical validation.
* **CI05: Met** — The title and abstract are written in English.
* **CE01: Does not apply** — The study is related to digitalization and technology in an organizational and business context.
* **CE02: Does not apply** — The study is set within a clear organizational and business context, specifically construction project management and invoicing in the tunneling sector.
* **CE03: Does not apply** — This is a primary study presenting original system development and empirical case study results, not a secondary study.
* **CE04: Does not apply** — The abstract provides sufficient information to assess the nature and scope of the study.
**Reason for Score = 0:** CI01 is not met. The study does not explicitly mention Business Process Management (BPM) or the term "BPM," which is a mandatory inclusion criterion.</t>
  </si>
  <si>
    <t>Melnyk, Oleksandr; Huymajer, Marco; Huemer, Christian; Galler, Robert</t>
  </si>
  <si>
    <t>2023 IEEE 25th Conference on Business Informatics (CBI)</t>
  </si>
  <si>
    <t>Digitalization in the Construction Industry: The Case of Documentation and Invoicing in Tunneling</t>
  </si>
  <si>
    <r>
      <rPr>
        <rFont val="Helvetica Neue"/>
        <color rgb="FF1155CC"/>
        <u/>
      </rPr>
      <t>https://ieeexplore.ieee.org/document/10187588/</t>
    </r>
  </si>
  <si>
    <t>10.1109/CBI58679.2023.10187588</t>
  </si>
  <si>
    <t>The digitalization of Architecture, Engineering, &amp; Construction (AEC), specifically the tunneling sector, often lags behind other sectors. Today's invoicing process of tunneling projects frequently involves many manual and paper-based tasks, which are error-prone and time-consuming. Accordingly, replacing this with a fully digital process, from the tunnel face to the project owner, bears high economic potential. This article proposes an integrated digital documentation system for tunnel construction management and invoicing. A month-long case study with data from a real-life construction site is conducted to test the system's suitability. The managed data are exported to commonly used enterprise resource planning (ERP) systems for invoicing and compared to actual invoicing data. The case study has shown that the proposed approach is practical and helped streamline and improve the construction documentation processes in conventional tunnel construction. The proposed solution represents an incremental contribution to the digital transformation of the AEC sector.</t>
  </si>
  <si>
    <t>2378-1971</t>
  </si>
  <si>
    <t>Score: 1
Justification:
	•	CI01: met — explicitly mentions Business Process Management in “Business Process Management Life-Cycle model.”
	•	CI02: met — addresses digital transformation through the “fourth industrial revolution” and proposes a “transformation workflow” for adopting IoT/IIoT in manufacturing.
	•	CI03: met — explicitly mentions technologies such as Internet of Things (IoT), Industrial Internet of Things (IIoT), information and communication technologies, legacy field devices, interoperability, data availability, and system integration.
	•	CI04: met — proposes a transformation workflow and conducts a case study in a real manufacturing organization in Brazil.
	•	CI05: met — the title and abstract are written in English.
	•	CE01–CE04: none apply — the study is related to BPM, digital/industrial transformation, technology adoption, and an organizational/manufacturing context; it is not a secondary study, and the abstract provides enough information to assess relevance.</t>
  </si>
  <si>
    <t>Score: 1
Justification:
* **CI01: Met** — The abstract explicitly mentions "Business Process Management Life-Cycle model" as the methodological foundation of the proposed workflow, constituting a direct and explicit reference to BPM.
* **CI02: Met** — The abstract explicitly addresses the digital transformation of manufacturing organizations through the adoption of IoT technologies, framing the study within the context of the fourth industrial revolution and manufacturers' pursuit of competitive advantage through digital integration.
* **CI03: Met** — The study explicitly mentions and applies Internet of Things (IoT) and Industrial Internet of Things (IIoT) as the core technologies, alongside information and communication technologies, in the context of transforming legacy field devices in manufacturing organizations.
* **CI04: Met** — The study proposes a transformation workflow grounded in the BPM Life-Cycle model and PDCA iterative design, and validates it through a case study conducted in a real manufacturing organization in Brazil, constituting both a method proposal and an empirical application.
* **CI05: Met** — The title and abstract are written in English.
* **CE01: Does not apply** — The study is directly related to BPM, digital transformation, and IoT technologies.
* **CE02: Does not apply** — The study is firmly grounded in an organizational and business context, specifically manufacturing organizations including small and medium enterprises.
* **CE03: Does not apply** — This is a primary study presenting an original workflow with empirical case study validation, not a secondary study.
* **CE04: Does not apply** — The abstract provides detailed and sufficient information to assess relevance with full confidence.</t>
  </si>
  <si>
    <t>Boareto, Pedro A.; Assad, Anis; Loures, Eduardo F. R.; Deschamps, Fernando; Santos, Eduardo A. P.</t>
  </si>
  <si>
    <t>Design and Implementation of Industrial Internet of Things for Legacy Field Devices: A Case Study</t>
  </si>
  <si>
    <r>
      <rPr>
        <rFont val="Helvetica Neue"/>
        <color rgb="FF1155CC"/>
        <u/>
      </rPr>
      <t>https://ieeexplore.ieee.org/document/11435350/</t>
    </r>
  </si>
  <si>
    <t>45882-45895</t>
  </si>
  <si>
    <t>10.1109/ACCESS.2026.3674418</t>
  </si>
  <si>
    <t>The fourth industrial revolution signals a worldwide effort to exploit novel information and communication technologies, such as the internet-of-things (IoT), in the provision of strategic benefits to manufacturing organizations. However, not all industry participants are structurally compatible with these new technologies. Specifically, manufacturers relying on legacy field devices often face difficulties in adopting the IoT paradigm due to limited interoperability, restricted data availability, and complex system integration. This incompatibility creates a barrier of entry that mainly hinders small and medium enterprises in their pursuit of competitive advantage in the contemporary markets. In response to this issue, we propose a transformation workflow to convert legacy devices into industrial internet of things (IIoT) assets. The workflow is based on the Business Process Management Life-Cycle model, as well as the PDCA iterative design. A case study is conducted to demonstrate the workflow’s use in a real manufacturing organization in Brazil.</t>
  </si>
  <si>
    <t>Score: 0
Justification:
	•	CI01: not met — the abstract uses “BPM” to mean beats per minute, not Business Process Management. It does not explicitly mention Business Process Management.
	•	CI02: not met — the abstract discusses an e-health monitoring system, but does not clearly mention digital transformation, digitalization, or digital innovation.
	•	CI03: met — explicitly mentions technologies such as Blynk Apps, OLED, pulse sensors, IoT system, ESP8266 NodeMCU, Wi-Fi module, mobile applications, analytics, and machine learning.
	•	CI04: met — proposes a specific heartbeat monitoring system application using sensors and IoT.
	•	CI05: met — the title and abstract are written in English.
	•	CE01–CE04: CE01 applies — the study is about an IoT health monitoring device/application, not BPM in digital transformation. It is excluded because CI01 and CI02 are not met.</t>
  </si>
  <si>
    <t>Score: 0
Justification:
* **CI01: Not met** — The study does not explicitly mention "Business Process Management" or the acronym "BPM" as a discipline or methodology. The abbreviation "BPM" appears in the abstract solely as "beats per minute," a medical measurement unit, which is entirely unrelated to Business Process Management.
* **CI02: Not met** — The abstract does not explicitly mention "digital transformation," "digitalization," or "digital innovation" as organizational concepts. The study focuses on a technical health monitoring device with no reference to organizational or business digital transformation.
* **CI03: Met** — The study explicitly mentions IoT, machine learning, analytics, sensors, and the Blynk platform as core technologies applied in the e-health monitoring system.
* **CI04: Met** — The study proposes and implements a heartbeat monitoring system using specific hardware and software components, constituting an applied technological development.
* **CI05: Met** — The title and abstract are written in English.
* **CE01: Applies** — The study is entirely unrelated to BPM as a discipline, digital transformation, or BPM-relevant organizational technologies. Its focus is on a wearable health monitoring device for individual physiological measurement.
* **CE02: Applies** — The study is set in a healthcare and personal fitness monitoring context, not in an organizational or business management context as required by the research topic.
* **CE03: Does not apply** — This is a primary study presenting original device development, not a secondary study.
* **CE04: Does not apply** — The abstract provides sufficient information to assess relevance, confirming the study is entirely outside the scope of the research topic.
**Reason for Score = 0:** CI01 and CI02 are not met, and CE01 and CE02 apply. The study has no connection to Business Process Management or organizational digital transformation, and is focused exclusively on a wearable IoT health monitoring device.</t>
  </si>
  <si>
    <t>Kamarudin, Nazhatul Hafizah; Zhen, Len Han; Anjum, Shaik Shabana</t>
  </si>
  <si>
    <t>2022 International Conference on Smart Generation Computing, Communication and Networking (SMART GENCON)</t>
  </si>
  <si>
    <t>E-Health Monitoring System Application using OLED and Pulse Sensor</t>
  </si>
  <si>
    <r>
      <rPr>
        <rFont val="Helvetica Neue"/>
        <color rgb="FF1155CC"/>
        <u/>
      </rPr>
      <t>https://ieeexplore.ieee.org/document/10084343/</t>
    </r>
  </si>
  <si>
    <t>10.1109/SMARTGENCON56628.2022.10084343</t>
  </si>
  <si>
    <t>A heartbeat monitoring system application integrated with Blynk Apps, OLED, and pulse sensors is proposed in this paper. Counting the heartbeat in beats per minute (BPM) in a manual way would be time-consuming, especially for a large group of patients and when in an emergency condition. The proposed heartbeat monitoring system is designed to reduce the effort and improve the performance of the current heartbeat monitoring system. The system can capture the pulse rate and use the application to track down every heartbeat condition, with the aid of an IoT system and sensors. The hardware-based Internet of Things (IoT) platform is termed ‘Blynk’ which is basically an amalgamation of machine learning, analytics, private device management, and white-labeled mobile applications. The microcontroller used system in this project would beESP8266 NodeMCU with a built-in Wi-Fi module. The proposed e-health monitoring system can be used for high-intensity workout competitions and training purposes to capture the participants of the heartbeat condition to avoid unprofessional acts that can endanger one's health. Furthermore, the proposed attendance system can save time from queueing up at the clinic or hospital to check heartbeat conditions and wait for consultation, patients can directly use the monitoring system at home and the apps to capture the results.</t>
  </si>
  <si>
    <t>Score: 0
Justification:
	•	CI01: not met — the abstract mentions BPMN, but does not explicitly mention Business Process Management or BPM. Under the strict criterion, BPMN alone is not enough unless the text clearly states BPM/Business Process Management.
	•	CI02: met — explicitly addresses digital innovation and an “innovation process in a digital startup.”
	•	CI03: met — explicitly mentions technologies/methods such as BPMN, case-based reasoning, text mining, automated recommendations, and digital product/backlog processing.
	•	CI04: met — presents a case study and proposes an approach for recommending new features based on a To-Be process model.
	•	CI05: met — the title and abstract are written in English.
	•	CE01–CE04: no exclusion criterion clearly applies, but the study is excluded because CI01 is not met.</t>
  </si>
  <si>
    <t>Score: 0
Justification:
* **CI01: Not met** — The study does not explicitly mention "Business Process Management" or the acronym "BPM" anywhere in the title or abstract. The study uses "BPMN" (Business Process Model and Notation) as a modeling tool, but BPMN is a notation standard and its mention alone does not constitute an explicit reference to Business Process Management as a discipline or methodology.
* **CI02: Met** — The title explicitly references "digital innovation," and the abstract addresses digital products, digital startups, and the improvement of innovation processes in a digital context, directly satisfying the criterion for digital innovation.
* **CI03: Met** — The study explicitly applies BPMN, case-based reasoning, and text mining as core technologies and methodological tools in the redesign and automation of the feature request process.
* **CI04: Met** — The study presents a case study of process redesign in a digital startup, develops a To-Be Process model, and proposes an automated recommendation approach using case-based reasoning and text mining, constituting an applied case study with a methodological contribution.
* **CI05: Met** — The title and abstract are written in English.
* **CE01: Does not apply** — The study is related to digital innovation and process improvement using recognized technologies.
* **CE02: Does not apply** — The study is set within an organizational and business context, specifically a digital startup managing product feature requests.
* **CE03: Does not apply** — This is a primary study presenting original case study research and an applied recommendation approach, not a secondary study.
* **CE04: Does not apply** — The abstract provides sufficient information to assess the nature and scope of the study.
**Reason for Score = 0:** CI01 is not met. The study does not explicitly mention "Business Process Management" or "BPM," which is a mandatory inclusion criterion. The use of BPMN notation does not substitute for an explicit reference to BPM as a discipline.</t>
  </si>
  <si>
    <t>Proskurin, Maksym; Monticolo, Davy; Boly, Vincent; Marche, Brunelle</t>
  </si>
  <si>
    <t>2022 16th International Conference on Signal-Image Technology &amp; Internet-Based Systems (SITIS)</t>
  </si>
  <si>
    <t>Case study of digital innovation process improvement, using BPMN, case-based reasoning, and text mining</t>
  </si>
  <si>
    <r>
      <rPr>
        <rFont val="Helvetica Neue"/>
        <color rgb="FF1155CC"/>
        <u/>
      </rPr>
      <t>https://ieeexplore.ieee.org/document/10090061/</t>
    </r>
  </si>
  <si>
    <t>322-329</t>
  </si>
  <si>
    <t>10.1109/SITIS57111.2022.00055</t>
  </si>
  <si>
    <t>Managers of digital products frequently receive feature requests from customers, end users, C-suite executives, and other company officials. They need to collect, process, and implement such requests to implement the most valuable features. Moreover, it is often difficult to decide which requests should be applied. The product backlog prioritization strategy is a well-known method widely utilized to enhance this process. However, it is time-consuming because of the large amount of data and is also subject to the human factor. Moreover, the current literature lacks models allowing automated recommendations to help speed up feature request processing, especially for digital startups with a lack of resources. In this paper, we used BPMN to illustrate a case study of redesigning an innovation process in a digital startup. Furthermore, based on the To-Be Process model, we created an approach to recommend new features using case-based reasoning and text mining.</t>
  </si>
  <si>
    <t>Score: 0
Justification:
	•	CI01: not met — the abstract does not explicitly mention Business Process Management or BPM.
	•	CI02: met — explicitly addresses digitalization and the transformation from traditional banking to digital banking.
	•	CI03: met — explicitly mentions AI technology, artificial intelligence, and digital technologies.
	•	CI04: not clearly met — the abstract presents a general viewpoint on AI in banking, but does not clearly present an application, framework, model, method, or empirical analysis.
	•	CI05: met — the title and abstract are written in English.
	•	CE01–CE04: no exclusion criterion clearly applies, but the study is excluded because CI01 is not met and CI04 is not clearly supported based only on the title and abstract.</t>
  </si>
  <si>
    <t>Score: 0
Justification:
* **CI01: Not met** — The study does not explicitly mention "Business Process Management" or the acronym "BPM" anywhere in the title or abstract. The focus is on AI integration in banking with no reference to BPM as a discipline or methodology.
* **CI02: Met** — The abstract explicitly references digitalization and the transformation of traditional banking into digital banking, directly addressing digital transformation as a central theme.
* **CI03: Met** — The study explicitly mentions Artificial Intelligence (AI) as the core technology discussed in the context of banking industry transformation and digital operations.
* **CI04: Not met** — The abstract presents the authors' viewpoint and conclusions regarding AI's role in banking transformation. There is no original application, framework, model, or empirical analysis presented. The paper is described as presenting a "viewpoint," which constitutes an opinion or perspective piece rather than a structured research contribution.
* **CI05: Met** — The title and abstract are written in English.
* **CE01: Does not apply** — The study is related to digital transformation and AI technology in a business context.
* **CE02: Does not apply** — The study is set within a clear organizational and business context, specifically the banking and financial services industry.
* **CE03: Does not apply** — This appears to be a primary perspective paper, not a secondary study.
* **CE04: Applies** — The abstract is vague and lacks sufficient methodological detail, empirical grounding, or specific findings to allow confident assessment of its contribution and alignment with the research topic. The paper appears to be an opinion piece with no clearly defined research methodology.
**Reason for Score = 0:** CI01 and CI04 are not met, and CE04 applies. The study does not mention BPM, does not present a structured empirical contribution, and the abstract lacks sufficient methodological detail to assess its relevance to the research topic.</t>
  </si>
  <si>
    <t>Kumar, Ashish; Sharma, Meenakshi; Kathuria, Samta; Yamsani, Nagendar; Gehlot, Anita; Kathuria, Abhinav</t>
  </si>
  <si>
    <t>2023 IEEE World Conference on Applied Intelligence and Computing (AIC)</t>
  </si>
  <si>
    <t>Banking Industry's Transformation with Aid of AI Technology</t>
  </si>
  <si>
    <r>
      <rPr>
        <rFont val="Helvetica Neue"/>
        <color rgb="FF1155CC"/>
        <u/>
      </rPr>
      <t>https://ieeexplore.ieee.org/document/10263958/</t>
    </r>
  </si>
  <si>
    <t>441-445</t>
  </si>
  <si>
    <t>10.1109/AIC57670.2023.10263958</t>
  </si>
  <si>
    <t>The banking landscape is being significantly influenced by digitalization. AI becomes more deeply integrated into the industry, the banking industry must position itself to respond to the shifting business landscape. Traditional banking is transformed into digital banking when AI's distinctive characteristics are integrated into the banking industry. This article presents our viewpoint on the part artificial intelligence technology plays in assuring the transformation of the financial industry. As a result, we are able to draw the conclusion that the integration of AI into banking will result in growth, efficiency, and increased user convenience. Therefore, it will enable banks to innovate more quickly in the future, compete with digital natives in building deeper relationships with scaled customers, and achieve sustainable increases in valuations and profits in this new age. They will be better able to incorporate AI into their operations due to their increased focus on digital technologies and willingness to change.</t>
  </si>
  <si>
    <t>Score: 0
Justification:
	•	CI01: not met — the abstract does not explicitly mention Business Process Management or BPM.
	•	CI02: not clearly met — it discusses technological change, efficiency, innovation, and sustainability, but does not clearly mention digital transformation, digitalization, or digital innovation.
	•	CI03: met — explicitly mentions technologies such as Cloud Computing, Artificial Intelligence (AI), SAP S/4 HANA Rise Cloud, predictive maintenance, real-time information analysis, and enterprise applications.
	•	CI04: not clearly met — the abstract says the paper “discusses” how technologies can be used, but does not clearly present an application, framework, model, method, or empirical analysis.
	•	CI05: met — the title and abstract are written in English.
	•	CE01–CE04: no exclusion criterion clearly applies, but the study is excluded because CI01 is not met, and CI02/CI04 are not clearly supported based only on title and abstract.</t>
  </si>
  <si>
    <t>Score: 0
Justification:
* **CI01: Not met** — The study does not explicitly mention "Business Process Management" or the acronym "BPM" anywhere in the title or abstract. The reference to "business management system" is a generic term and does not constitute an explicit mention of BPM as a discipline or methodology.
* **CI02: Not met** — The abstract does not explicitly mention "digital transformation," "digitalization," or "digital innovation." References to technology integration and operational improvement in the oil and gas sector do not sufficiently equate to digital transformation as a defined organizational concept.
* **CI03: Met** — The study explicitly mentions and discusses Cloud Computing, Artificial Intelligence (AI), and SAP S/4 HANA Rise Cloud as the core technologies examined in the context of the oil and gas energy sector.
* **CI04: Not met** — The abstract describes how these technologies "can be used" to solve industry issues and discusses their potential benefits. This framing suggests a conceptual or descriptive discussion rather than a concrete application, framework, model, or empirical analysis with original findings.
* **CI05: Met** — The title and abstract are written in English.
* **CE01: Does not apply** — The study is related to technology integration in an industrial and business context.
* **CE02: Does not apply** — The study is set within a clear organizational and industrial context, specifically the oil and gas energy sector.
* **CE03: Does not apply** — This appears to be a primary study presenting an original analysis, not a secondary study.
* **CE04: Applies** — The abstract lacks sufficient methodological detail, empirical grounding, or specific findings to allow confident assessment of the study's contribution and alignment with the research topic. The discussion of potential benefits without a defined research methodology or results makes it difficult to assess relevance.
**Reason for Score = 0:** CI01, CI02, and CI04 are not met, and CE04 applies. The study does not explicitly mention BPM or digital transformation, does not present a structured empirical contribution, and the abstract lacks sufficient detail to confirm its relevance to the research topic.</t>
  </si>
  <si>
    <t>Nendrambaka, Sravan Kumar</t>
  </si>
  <si>
    <t>2025 2nd Asia Pacific Conference on Innovation in Technology (APCIT)</t>
  </si>
  <si>
    <t>Emerging Technologies Integration in Cloud Computing, AI, and SAP S/4 HANA Rise Cloud for the Oil and Gas Energy Sector</t>
  </si>
  <si>
    <r>
      <rPr>
        <rFont val="Helvetica Neue"/>
        <color rgb="FF1155CC"/>
        <u/>
      </rPr>
      <t>https://ieeexplore.ieee.org/document/11411555/</t>
    </r>
  </si>
  <si>
    <t>10.1109/APCIT65661.2025.11411555</t>
  </si>
  <si>
    <t>The combination of the new technologies, including Cloud Computing, Artificial Intelligence (AI) and SAP S/4 HANA Rise Cloud, has extensive potential in changing the way oil and gas energy industry is being operated. This paper discusses how these technologies can be used to solve industry related issues such as inefficiencies in the operation, high maintenance expenses and inability to analyze real-time information. Cloud computing allows data storage to be scalable, secure and cost-effective, whereas AI offers the enhanced features in the process of predictive maintenance, optimization and decision-making. Implementation of SAP s/4 HANA rise clouds will improve the business management system, which is more compatible among enterprise applications. A combination of these technologies does not only help to optimize the use of resources but can also reflect an increase in safety standards and sustainable relationship with the environment, which would have many benefits in the field. By incorporating this integration, the oil and gas sector has greater functionality in achieving efficiency, innovation, and sustainability in its operation.</t>
  </si>
  <si>
    <t>Score: 0
Justification:
	•	CI01: not met — the abstract mentions “industrial processes,” “processes and workflows,” and automation, but does not explicitly mention Business Process Management or BPM.
	•	CI02: met — addresses digital/industrial transformation through Industry 4.0 and intelligent automation.
	•	CI03: met — explicitly mentions data analytics, industrial automation, Industry 4.0, data management, and integration with existing processes/workflows.
	•	CI04: met — presents an analytical method using Interpretive Structural Modeling (ISM) and MICMAC analysis to examine barriers and recommendations.
	•	CI05: met — the title and abstract are written in English.
	•	CE01–CE04: no exclusion criterion clearly applies, but the study is excluded because CI01 is not met.</t>
  </si>
  <si>
    <t>Score: 0
Justification:
* **CI01: Not met** — The study does not explicitly mention "Business Process Management" or the acronym "BPM" anywhere in the title or abstract. References to "industrial processes," "workflows," and "automation" are generic operational terms that do not constitute an explicit mention of BPM as a discipline or methodology.
* **CI02: Not met** — The abstract does not explicitly mention "digital transformation," "digitalization," or "digital innovation." While the study references Industry 4.0 and intelligent automation, these are framed in an industrial engineering context without explicit reference to digital transformation as an organizational concept.
* **CI03: Met** — The study explicitly addresses data analytics and industrial automation as core technologies, and references Industry 4.0 as the technological paradigm driving industrial process transformation.
* **CI04: Met** — The study applies Interpretive Structural Modeling (ISM) and MICMAC analysis to systematically identify and analyze barriers to data analytics implementation in industrial automation, constituting a structured methodological and empirical analysis.
* **CI05: Met** — The title and abstract are written in English.
* **CE01: Does not apply** — The study is related to technology implementation and industrial process management in an organizational context.
* **CE02: Does not apply** — The study is set within a clear organizational and business context, addressing companies' challenges in implementing data analytics for competitive advantage and operational efficiency.
* **CE03: Does not apply** — This is a primary study presenting original ISM and MICMAC analysis, not a secondary study.
* **CE04: Does not apply** — The abstract provides sufficient information to assess the nature and scope of the study.
**Reason for Score = 0:** CI01 and CI02 are not met. The study does not explicitly mention BPM or digital transformation, both of which are mandatory inclusion criteria.</t>
  </si>
  <si>
    <t>Mani, Shally Preethika; Perumal, Sasikumar</t>
  </si>
  <si>
    <t>2024 Advances in Science and Engineering Technology International Conferences (ASET)</t>
  </si>
  <si>
    <t>Contextual Relationships Among the Barriers to Implement Data Analytics in Industrial Automation: An ISM and MICMAC Analysis</t>
  </si>
  <si>
    <r>
      <rPr>
        <rFont val="Helvetica Neue"/>
        <color rgb="FF1155CC"/>
        <u/>
      </rPr>
      <t>https://ieeexplore.ieee.org/document/10708725/</t>
    </r>
  </si>
  <si>
    <t>10.1109/ASET60340.2024.10708725</t>
  </si>
  <si>
    <t>Industry 4.0 spearheads the transformation of industrial processes by harnessing data analytics to fuel intelligent automation, ultimately leading to operational streamlining, productivity gains, and a competitive edge. However, roadblocks emerge in the form of organizational resistance, technological limitations, knowledge gaps and financial constraints. This study leverages Interpretive Structural Modeling (ISM) and MICMAC analysis to explore the challenges and recommendations for successful implementation of data analytics in industrial automation. Key drivers such as increased efficiency, improved decision-making, and reduced costs were identified. Conversely, goal misalignment, data management issues, resistance to change and financial limitations pose significant barriers. To overcome these barriers and ensure successful implementation, companies should involve stakeholders to focus on identifying the problem statement correctly, data collection, data quality and management, and ensure the data analytics solution integrates with existing processes and workflows. Additionally, companies should avoid common pitfalls like neglecting employee training, underestimating stakeholder alignment, and rushing into large-scale deployments without pilot projects. To ensure effectiveness, companies must realistically assess their financial resources and prioritize investments considering long-term benefits and return on investment (ROI). By embracing these recommendations, organizations can unlock the full potential of data analytics in industrial automation, minimizing risks and maximizing benefits.</t>
  </si>
  <si>
    <t>2831-6878</t>
  </si>
  <si>
    <t>Score: 0
Justification:
	•	CI01: not met — the abstract does not explicitly mention Business Process Management or BPM.
	•	CI02: not clearly met — it discusses low-code development and industrial automation, but does not clearly mention digital transformation, digitalization, or digital innovation.
	•	CI03: met — explicitly mentions Low-Code Development, Low-Code Development Platforms, visual programming, model-driven development, web/mobile applications, data analytics platforms, dashboards, and control systems.
	•	CI04: met — presents a multiple-case study based on five interviews to explore low-code platforms in industrial automation.
	•	CI05: met — the title and abstract are written in English.
	•	CE01–CE04: no exclusion criterion clearly applies, but the study is excluded because CI01 is not met and CI02 is not clearly supported based only on title and abstract.</t>
  </si>
  <si>
    <t>Score: 0
Justification:
* **CI01: Not met** — The study does not explicitly mention "Business Process Management" or the acronym "BPM" anywhere in the title or abstract. The focus is on Low-Code Development Platforms in the manufacturing industry, with no reference to BPM as a discipline or methodology.
* **CI02: Not met** — The abstract does not explicitly mention "digital transformation," "digitalization," or "digital innovation." References to reducing time-to-market, lowering development costs, and industrial automation do not constitute an explicit mention of digital transformation as an organizational concept.
* **CI03: Met** — The study explicitly discusses Low-Code Development Platforms (LCDPs) as software systems, including visual programming, model-driven development, and industrial automation tools, constituting explicit reference to specific technologies and software systems.
* **CI04: Met** — The study presents a multiple-case study based on five interviews to investigate relevant use cases and requirements for LCDPs in industrial settings, constituting an empirical analysis with original data collection.
* **CI05: Met** — The title and abstract are written in English.
* **CE01: Does not apply** — The study is related to software technology application in an industrial and organizational context.
* **CE02: Does not apply** — The study is set within a clear organizational and industrial context, specifically the manufacturing industry, addressing practical implementation and business requirements.
* **CE03: Does not apply** — This is a primary study presenting original multiple-case study research, not a secondary study.
* **CE04: Does not apply** — The abstract provides sufficient information to assess the nature and scope of the study.
**Reason for Score = 0:** CI01 and CI02 are not met. The study does not explicitly mention BPM or digital transformation, both of which are mandatory inclusion criteria.</t>
  </si>
  <si>
    <t>Schenkenfelder, Bernhard; Salomon, Christian; Buchgeher, Georg; Schossleitner, Robert; Kerl, Christian</t>
  </si>
  <si>
    <t>2023 IEEE 28th International Conference on Emerging Technologies and Factory Automation (ETFA)</t>
  </si>
  <si>
    <t>The Potential of Low-Code Development in the Manufacturing Industry</t>
  </si>
  <si>
    <r>
      <rPr>
        <rFont val="Helvetica Neue"/>
        <color rgb="FF1155CC"/>
        <u/>
      </rPr>
      <t>https://ieeexplore.ieee.org/document/10275503/</t>
    </r>
  </si>
  <si>
    <t>10.1109/ETFA54631.2023.10275503</t>
  </si>
  <si>
    <t>Low-Code (Software) Development (LCD or LCSD) promises to reduce time-to-market, lower development costs, and make software development accessible to domain experts without software development training. By raising the level of abstraction beyond code through visual programming and model-driven development, a Low-Code Development Platform (LCDP) provides the tools to create software using the low-code approach. LCDPs typically support specific application types and domains such as web applications, mobile applications, data analytics platforms and dashboards. While some LCDPs exist for control systems in the manufacturing industry, this domain is not yet fully supported. In this paper, we present a multiple-case study based on five interviews to explore the role LCDPs can play in industrial automation. In particular, we investigate which use cases are considered relevant for LCDPs and what the actual requirements for such platforms are from an industrial perspective. Our results show that many different manufacturing use cases could be implemented by or already benefit from LCDPs. However, successful future LCDPs must meet certain industry-specific requirements.</t>
  </si>
  <si>
    <t>1946-0759</t>
  </si>
  <si>
    <t>Score: 0
Justification:
	•	CI01: not met — the abstract does not explicitly mention Business Process Management or BPM.
	•	CI02: met — explicitly addresses digitalisation and digital transformation in the Austrian food industry.
	•	CI03: met — explicitly mentions IT security, IT attack, digitisation, digital transformation, risk management, critical infrastructure, and business interfaces.
	•	CI04: met — presents a study using literature research and a quantitative and qualitative survey with Austrian food companies.
	•	CI05: met — the title and abstract are written in English.
	•	CE01–CE04: no exclusion criterion clearly applies as the study includes a survey, but it is excluded because CI01 is not met.</t>
  </si>
  <si>
    <t>Score: 0
Justification:
* **CI01: Not met** — The study does not explicitly mention "Business Process Management" or the acronym "BPM" anywhere in the title or abstract. References to "business interfaces" are generic and do not constitute an explicit mention of BPM as a discipline or methodology.
* **CI02: Met** — The abstract explicitly mentions "digitisation and digital transformation" as the core context driving the research questions, directly addressing digital transformation in the food industry and supply chains.
* **CI03: Met** — The study addresses IT security systems, digital infrastructure, and risk management technologies within the context of digitalization, constituting explicit reference to technology in an organizational setting.
* **CI04: Met** — The study conducts a quantitative and qualitative survey with Austrian food companies, performs literature research, and provides recommended measures for the industry, constituting an empirical analysis with applied recommendations.
* **CI05: Met** — The title and abstract are written in English.
* **CE01: Does not apply** — The study is related to digitalization, digital transformation, and technology in an organizational context.
* **CE02: Does not apply** — The study is firmly grounded in an organizational and business context, addressing food producers, retailers, logistics providers, and supply chain ecosystems in Austria.
* **CE03: Does not apply** — Although the study includes a literature review component, its primary contribution is an original empirical survey of Austrian food companies, constituting a primary study.
* **CE04: Does not apply** — The abstract provides sufficient information to assess the nature and scope of the study.
**Reason for Score = 0:** CI01 is not met. The study does not explicitly mention Business Process Management (BPM) or the term "BPM," which is a mandatory inclusion criterion.</t>
  </si>
  <si>
    <t>Hetzenauer, Claudia; Dobler, Martin; Simma, Armin</t>
  </si>
  <si>
    <t>2023 IEEE International Conference on Engineering, Technology and Innovation (ICE/ITMC)</t>
  </si>
  <si>
    <t>Information Security Challenges in the Digitalisation of the Austrian Food Industry: Assessment of Food Suppliers and Implications</t>
  </si>
  <si>
    <r>
      <rPr>
        <rFont val="Helvetica Neue"/>
        <color rgb="FF1155CC"/>
        <u/>
      </rPr>
      <t>https://ieeexplore.ieee.org/document/10332338/</t>
    </r>
  </si>
  <si>
    <t>10.1109/ICE/ITMC58018.2023.10332338</t>
  </si>
  <si>
    <t>In 2021, a prominent Austria dairy producer suffered from an IT attack and was completely paralysed. Without clearly defined mitigation measures in place, major disruptions were caused alongside the whole supply chain, including logistics service providers, governmental food safety bodies, as well as retailers (i.e., supermarkets and convenience stores). In this paper, we ask the question how digitisation and digital transformation impact IT security, especially when considering the complex company ecosystems of food production and food supply chains in Austria. The problem statement stems from a gap in knowledge of key differences in approaches towards IT security, resilience, risk management and especially business interfaces between food suppliers, supermarkets, distributors, logistics and other service providers. In order to answer related research questions, firstly, the authors conduct literature research, and highlight common guidelines and standardisation as well as look at state-based recommendations for critical infrastructure. In a second step, the paper describes a quantitative and qualitative survey with Austrian food companies (producers and retailers) which is described in detail in the paper. A description of recommended measures for the industry, further steps, as well as an outlook conclude the paper. (Abstract)</t>
  </si>
  <si>
    <t>2693-8855</t>
  </si>
  <si>
    <t>Score: 0
Justification:
	•	CI01: not met — the abstract mentions Robotic Process Automation (RPA), process optimization, mapping, and workflow, but does not explicitly mention Business Process Management or BPM.
	•	CI02: not clearly met — it discusses automation and information systems in a financial company, but does not clearly mention digital transformation, digitalization, or digital innovation.
	•	CI03: met — explicitly mentions RPA, information systems, robot workflow, credential management tools, and open-source/commercial RPA tools.
	•	CI04: met — presents the design and implementation of an RPA system, including methodology and results.
	•	CI05: met — the title and abstract are written in English.
	•	CE01–CE04: no exclusion criterion clearly applies, but the study is excluded because CI01 is not met and CI02 is not clearly supported based only on title and abstract.</t>
  </si>
  <si>
    <t>Score: 0
Justification:
* **CI01: Not met** — The study does not explicitly mention "Business Process Management" or the acronym "BPM" anywhere in the title or abstract. References to "workflow" and "access management processes" are generic operational terms that do not constitute an explicit mention of BPM as a discipline or methodology.
* **CI02: Not met** — The abstract does not explicitly mention "digital transformation," "digitalization," or "digital innovation." References to operational efficiency and system automation do not sufficiently equate to digital transformation as a defined organizational concept.
* **CI03: Met** — The study explicitly mentions and applies Robotic Process Automation (RPA) as the core technology, including the design and implementation of an RPA system and integration with credential management tools.
* **CI04: Met** — The study presents the design and implementation of an RPA system for automated access management, with a defined methodology including system mapping, workflow design, and tool integration, validated through measurable results, constituting an applied empirical study.
* **CI05: Met** — The title and abstract are written in English.
* **CE01: Does not apply** — The study is related to process automation technology in an organizational and business context.
* **CE02: Does not apply** — The study is set within a clear organizational and business context, specifically a financial company in Peru operating under regulatory standards.
* **CE03: Does not apply** — This is a primary study presenting original system design and implementation, not a secondary study.
* **CE04: Does not apply** — The abstract provides sufficient information to assess the nature and scope of the study.
**Reason for Score = 0:** CI01 and CI02 are not met. The study does not explicitly mention BPM or digital transformation, both of which are mandatory inclusion criteria.</t>
  </si>
  <si>
    <t>Flores-Panaifo, Josselyn; Auccahuasi, Wilver</t>
  </si>
  <si>
    <t>2025 6th International Conference on Data Intelligence and Cognitive Informatics (ICDICI)</t>
  </si>
  <si>
    <t>Implementation of RPA for Automated Access Management in Information Systems in a Financial Company</t>
  </si>
  <si>
    <r>
      <rPr>
        <rFont val="Helvetica Neue"/>
        <color rgb="FF1155CC"/>
        <u/>
      </rPr>
      <t>https://ieeexplore.ieee.org/document/11134879/</t>
    </r>
  </si>
  <si>
    <t>1567-1572</t>
  </si>
  <si>
    <t>10.1109/ICDICI66477.2025.11134879</t>
  </si>
  <si>
    <t>Robotic process automation (RPA) has become a very important tool to optimize repetitive tasks and improve operational efficiency in various industries. The Peruvian financial sector has been characterized by a high dependence on information systems and strict regulatory standards; manual access management processes represent an operational challenge. In this article, we present the design and implementation of an RPA system aimed at the automated management of access to various information systems of a financial company. The solution's main objective is to reduce the waiting time of employees to access the necessary systems, allowing them to start their activities immediately and without interruptions. For this, we will use a methodology that includes mapping the systems involved, designing the robot's workflow, and integrating with credential management tools to ensure security. For this, different RPA tools have been analyzed, both open source and commercial, selecting the most appropriate one based on the characteristics of the business environment. The results show a significant reduction in processing times, improvements in the internal user experience, and greater operational efficiency. This study contributes to the literature on applied RPA in the financial sector, highlighting its benefits and challenges in a critical and highly regulated environment.</t>
  </si>
  <si>
    <t>Score: 0
Justification:
	•	CI01: not met — the abstract mentions “business processes” and “business process data,” but does not explicitly mention Business Process Management or BPM.
	•	CI02: not clearly met — it mentions digital business process data and information systems, but does not clearly address digital transformation, digitalization, or digital innovation.
	•	CI03: met — explicitly mentions process mining, information systems, event logs, and a simulation tool for business process data.
	•	CI04: met — presents a prototypical implementation, a didactic framework, and an expert evaluation with four experts.
	•	CI05: met — the title and abstract are written in English.
	•	CE01–CE04: no exclusion criterion clearly applies, but the study is excluded because CI01 is not met and CI02 is not clearly supported based only on title and abstract.</t>
  </si>
  <si>
    <t>Score: 0
Justification:
* **CI01: Not met** — The study does not explicitly mention "Business Process Management" or the acronym "BPM" anywhere in the title or abstract. References to "business processes" and "business process data" are generic descriptive terms that do not constitute an explicit mention of BPM as a discipline or methodology.
* **CI02: Not met** — The abstract does not explicitly mention "digital transformation," "digitalization," or "digital innovation." The phrase "digital business process data" uses "digital" as a descriptor for data format, not as a reference to digital transformation as an organizational concept.
* **CI03: Met** — The study explicitly focuses on process mining as a core technology, along with information systems and event logs, applied to business process visualization and analysis.
* **CI04: Met** — The study presents a prototypical simulation tool, a didactic framework for teaching process mining, and an expert evaluation involving four practitioners and academics, constituting an applied development with empirical evaluation.
* **CI05: Met** — The title and abstract are written in English.
* **CE01: Does not apply** — The study is related to process mining technology and business process analysis.
* **CE02: Does not apply** — The study references industrial use cases and applications of process mining in companies, implying an organizational and business context.
* **CE03: Does not apply** — This is a primary study presenting original tool development and evaluation, not a secondary study.
* **CE04: Does not apply** — The abstract provides sufficient information to assess the nature and scope of the study.
**Reason for Score = 0:** CI01 and CI02 are not met. The study does not explicitly mention BPM or digital transformation, both of which are mandatory inclusion criteria.</t>
  </si>
  <si>
    <t>Drieschner, Clemens; Heckl, Andreas; Krcmar, Helmut</t>
  </si>
  <si>
    <t>2023 IEEE Global Engineering Education Conference (EDUCON)</t>
  </si>
  <si>
    <t>Simulation Tool for Learning Action-Oriented Process Mining</t>
  </si>
  <si>
    <r>
      <rPr>
        <rFont val="Helvetica Neue"/>
        <color rgb="FF1155CC"/>
        <u/>
      </rPr>
      <t>https://ieeexplore.ieee.org/document/10125248/</t>
    </r>
  </si>
  <si>
    <t>10.1109/EDUCON54358.2023.10125248</t>
  </si>
  <si>
    <t>Process mining enables companies to reduce costs by identifying bottlenecks, improving processes, or automation potentials, for example. Digital business process data, which can be extracted from information systems and afterward arranged in so-called event logs, allows the visualization and analysis of business processes. Several teaching materials for process mining are offered to learners and teacher. However, the existing data for learning and teaching process mining is static and does not change with specific user interactions, such as the release of invoices in other information systems. This work contributes to a more realistic teaching approach by providing a simulation tool to continuously create business process data reacting to user actions. First, the application scope of process mining projects in the industry is determined to collect use cases of action-oriented process mining from practice. Then, a prototypical implementation is presented that allows the continuous simulation of business process data that allows specific user interventions. A didactic framework is described to apply the simulation tool in the teaching of process mining. Finally, the simulation tool is discussed and evaluated by four experts from practice and academia.</t>
  </si>
  <si>
    <t>Score: 0
Justification:
	•	CI01: not met — the abstract mentions “business processes,” “process management,” and “process manager,” but does not explicitly mention Business Process Management or BPM.
	•	CI02: met — explicitly addresses digital transformation (DT) and the digital transformation of business processes.
	•	CI03: met — explicitly mentions digital technologies and a simulation game for teaching DT/business process change.
	•	CI04: met — presents the design and extension of a simulation game and mentions its evaluation.
	•	CI05: met — the title and abstract are written in English.
	•	CE01–CE04: no exclusion criterion clearly applies, but the study is excluded because CI01 is not met. Under your strict protocol, “business processes” or “process management” alone are not enough without explicit Business Process Management or BPM.</t>
  </si>
  <si>
    <t>Score: 0
Justification:
* **CI01: Not met** — The study does not explicitly mention "Business Process Management" or the acronym "BPM" anywhere in the title or abstract. References to "business processes," "process management," and "process steps" are generic terms that do not constitute an explicit mention of BPM as a discipline or methodology.
* **CI02: Met** — "Digital transformation (DT)" is explicitly and repeatedly addressed throughout the abstract as the central educational concept being taught, including its impact on business processes and its role as a driver of organizational change.
* **CI03: Not met** — The abstract does not explicitly mention or apply specific technologies such as AI, RPA, process mining, big data, blockchain, IoT, or software systems. References to "digital technologies" are generic and lack the specificity required to satisfy CI03.
* **CI04: Met** — The study presents the design and evaluation of a simulation game for teaching digital transformation of business processes, with a defined simulation model incorporating financial, ecological, and sustainability factors, constituting an applied design with empirical evaluation.
* **CI05: Met** — The title and abstract are written in English.
* **CE01: Does not apply** — The study is related to digital transformation and business processes, even if from an educational perspective.
* **CE02: Applies** — The study is situated in an educational context focused on preparing students for future workplaces through simulation games. While it references a manufacturing scenario, the study's primary contribution is pedagogical rather than organizational or business operational.
* **CE03: Does not apply** — This is a primary study presenting original game design and evaluation, not a secondary study.
* **CE04: Does not apply** — The abstract provides sufficient information to assess the nature and scope of the study.
**Reason for Score = 0:** CI01 and CI03 are not met, and CE02 applies. The study does not explicitly mention BPM or specific technologies, and its primary context is educational rather than organizational or business operational.</t>
  </si>
  <si>
    <t>Levkovskyi, Borys; Laurim, Vanessa; Kayaci, Bilgenur; Mustroph, Henryk; Utesch, Matthias; Krcmar, Helmut</t>
  </si>
  <si>
    <t>2021 IEEE Global Engineering Education Conference (EDUCON)</t>
  </si>
  <si>
    <t>Teaching the Digital Transformation of Business Processes: Design of a Simulation Game of Business Process Change</t>
  </si>
  <si>
    <r>
      <rPr>
        <rFont val="Helvetica Neue"/>
        <color rgb="FF1155CC"/>
        <u/>
      </rPr>
      <t>https://ieeexplore.ieee.org/document/9453981/</t>
    </r>
  </si>
  <si>
    <t>1262-1271</t>
  </si>
  <si>
    <t>10.1109/EDUCON46332.2021.9453981</t>
  </si>
  <si>
    <t>The impact of digital transformation (DT) on the business processes within the context of education is an issue that should be addressed when preparing the future workforce. It is necessary to emphasize the effects of digital technologies on business processes so that students can come prepared for their future working places. Simulation games are proven to be a valid method of teaching these concepts. On the other hand, topics like sustainability or environmental friendliness are also gaining more attention during last years. These factors are even considered among the DT drivers. However, the existing games, aimed at teaching DT, often bypass these concepts with their attention. Our paper aims at closing this gap by extending a game that simulates the manufacturing process of a bike producer, undergoing servitization, by integrating, sustainability, regionality, and ecological factor into its simulation model. By taking the role of the process manager, players guide their company through various process steps in several rounds and compete against other teams. At the end of each round teams are compared based on their financial success, with balancing out the ecological factor being an essential part of the strategy. Evaluation of our game shows that this approach contributes to a better understanding of both effective process management under DT as well as sustainability, regionality, and environmental friendliness concepts by the target audience.</t>
  </si>
  <si>
    <t>Score: 0
Justification:
	•	CI01: not met — the abstract mentions “intelligent process automation”, but does not explicitly mention Business Process Management or BPM.
	•	CI02: met — explicitly addresses digital transformation and “digital transition.”
	•	CI03: met — explicitly mentions intelligent process automation as a technology-enabled automation approach.
	•	CI04: met — presents a strategic model and framework, with demonstration and assessment of the proposed artifacts.
	•	CI05: met — the title and abstract are written in English.
	•	CE01–CE04: no exclusion criterion clearly applies, but the study is excluded because CI01 is not met. Under your strict protocol, process automation alone is not enough without explicit Business Process Management or BPM.</t>
  </si>
  <si>
    <t>Score: 0
Justification:
* **CI01: Not met** — The study does not explicitly mention "Business Process Management" or the acronym "BPM" anywhere in the title or abstract. References to "process automation" and "operations" are generic and do not constitute an explicit mention of BPM as a discipline or methodology.
* **CI02: Met** — The abstract explicitly mentions "digital transformation" and "digital transition" as the central motivating context, with the proposed framework aimed at accelerating companies' digital transformation.
* **CI03: Met** — The study addresses "intelligent process automation" as the core technology domain, which encompasses automation technologies in an organizational context, constituting an explicit reference to technology application.
* **CI04: Met** — The study builds a strategic model and framework for intelligent process automation implementation, demonstrated and assessed through defined evaluation methods, constituting a framework proposal with empirical validation.
* **CI05: Met** — The title and abstract are written in English.
* **CE01: Does not apply** — The study is related to digital transformation and process automation in a business context.
* **CE02: Does not apply** — The study is set within an organizational and business context, addressing companies' operational dimensions and digital transition.
* **CE03: Does not apply** — This is a primary study presenting an original strategic model and framework, not a secondary study.
* **CE04: Applies** — The abstract is extremely brief and lacks sufficient methodological detail, empirical grounding, or specific findings to allow confident assessment of its full relevance. The description of "demonstration and assessment" without any elaboration on scope, methodology, or results makes it difficult to properly evaluate the study's contribution and alignment with the research topic.
**Reason for Score = 0:** CI01 is not met and CE04 applies. The study does not explicitly mention BPM, which is a mandatory inclusion criterion, and the abstract does not provide enough detail to confidently assess the study's contribution and scope.</t>
  </si>
  <si>
    <t>Feio, Iris Cláudia Lebre; Dos Santos, Vitor Duarte</t>
  </si>
  <si>
    <t>2022 17th Iberian Conference on Information Systems and Technologies (CISTI)</t>
  </si>
  <si>
    <t>A Strategic Model and Framework for Intelligent Process Automation</t>
  </si>
  <si>
    <r>
      <rPr>
        <rFont val="Helvetica Neue"/>
        <color rgb="FF1155CC"/>
        <u/>
      </rPr>
      <t>https://ieeexplore.ieee.org/document/9820099/</t>
    </r>
  </si>
  <si>
    <t>10.23919/CISTI54924.2022.9820099</t>
  </si>
  <si>
    <t>Digital transformation has been growing inside companies and impacting the economy and society. Operations are one of the nine business dimensions where this transformation can be accelerated. This study answers the research goal of building a strategic model and framework for intelligent process automation implementation, to accelerate companies’ digital transition. The significant value and contribution of the proposed artifacts were proved by its demonstration and assessment.</t>
  </si>
  <si>
    <t>Score: 0
Justification:
	•	CI01: not met — the abstract does not explicitly mention Business Process Management or BPM.
	•	CI02: not clearly met — it discusses Industry 4.0 and industrial transformation, but does not clearly mention digital transformation, digitalization, or digital innovation.
	•	CI03: met — explicitly mentions technologies such as automation, data analytics, IoT, and virtual reality.
	•	CI04: not clearly met — the paper is described as a theoretical investigation that examines barriers and potential solutions, but it does not clearly present an application, framework, model, method, or empirical analysis.
	•	CI05: met — the title and abstract are written in English.
	•	CE01–CE04: no exclusion criterion clearly applies, but the study is excluded because CI01 is not met and CI02/CI04 are not clearly supported based only on the title and abstract.</t>
  </si>
  <si>
    <t>Score: 0
Justification:
* **CI01: Not met** — The study does not explicitly mention "Business Process Management" or the acronym "BPM" anywhere in the title or abstract. The focus is on engineering management and Industry 4.0 adoption challenges, with no reference to BPM as a discipline or methodology.
* **CI02: Not met** — The abstract does not explicitly mention "digital transformation," "digitalization," or "digital innovation." While the study addresses Industry 4.0 and technological transformation of manufacturing practices, these are framed in an industrial engineering context without explicit reference to digital transformation as an organizational concept.
* **CI03: Met** — The study explicitly mentions automation, data analytics, IoT, and virtual reality as technological advancements leveraged by Industry 4.0, constituting explicit reference to specific technologies.
* **CI04: Not met** — The abstract describes the paper as a "theoretical investigation" that analyzes the evolution of industrial revolutions and examines challenges in adopting Industry 4.0. It does not present an original application, framework, model, or empirical analysis with primary data collection or structured methodology.
* **CI05: Met** — The title and abstract are written in English.
* **CE01: Does not apply** — The study is related to technology and industrial management in an organizational context.
* **CE02: Does not apply** — The study is set within an organizational and industrial context, addressing engineering management and manufacturing practices.
* **CE03: Does not apply** — This appears to be a primary theoretical paper, not a systematic literature review or mapping study.
* **CE04: Does not apply** — The abstract provides sufficient information to assess the nature and scope of the study.
**Reason for Score = 0:** CI01, CI02, and CI04 are not met. The study does not mention BPM or digital transformation, and its contribution is framed as a theoretical investigation rather than a concrete application, framework, model, or empirical analysis.</t>
  </si>
  <si>
    <t>Ghannam, Obada; Ojiako, Udechukwu; Dweiri, Fikri</t>
  </si>
  <si>
    <t>Exploring Barriers to Implementing Industry 4.0 in Engineering Management: A Theoretical Investigation</t>
  </si>
  <si>
    <r>
      <rPr>
        <rFont val="Helvetica Neue"/>
        <color rgb="FF1155CC"/>
        <u/>
      </rPr>
      <t>https://ieeexplore.ieee.org/document/10708743/</t>
    </r>
  </si>
  <si>
    <t>10.1109/ASET60340.2024.10708743</t>
  </si>
  <si>
    <t>This paper examines the transformative potential of Industry 4.0 within the field of engineering management, exploring its promise to revolutionize traditional manufacturing and engineering practices. By analyzing the evolution of industrial revolutions from 1.0 to 4.0, it highlights the significance of technological advancements in shaping the industrial landscape. Through this historical context, the paper critically examines the complexities and challenges inherent in the adoption of Industry 4.0, drawing parallels between past and present industrial transformations. Leveraging various technological advancements such as automation, data analytics, IoT, and virtual reality, Industry 4.0 aims to address operational inefficiencies and foster innovation. Additionally, the paper investigates potential solutions that Industry 4.0 offers to prevalent challenges in engineering management. However, the implementation of Industry 4.0 is not without challenges, including technological, data-related, human resource, security, financial, manufacturing system, standardization, communication, strategy, and environmental difficulties. Addressing these challenges requires collaboration between industry practitioners and academic scholars to develop effective strategies and solutions. In conclusion, while Industry 4.0 holds promise for revolutionizing engineering management practices, overcoming implementation challenges is crucial for realizing its full potential and ensuring sustained organizational success in today's dynamic industrial landscape.</t>
  </si>
  <si>
    <t>Score: 0
Justification:
	•	CI01: not met — the abstract mentions “business processes,” “supportive processes,” and process settings, but does not explicitly mention Business Process Management or BPM.
	•	CI02: met — explicitly addresses digital transformation and the digitization/electronicization of processes in science and education organizations.
	•	CI03: met — explicitly mentions SMART technologies, electronic components, digitization, and implementation of products/services supported by technology.
	•	CI04: not clearly met — the abstract says the paper “looked at the processes and portfolio of services,” but it does not clearly present an application, framework, model, method, or empirical analysis.
	•	CI05: met — the title and abstract are written in English.
	•	CE01–CE04: no exclusion criterion clearly applies, but the study is excluded because CI01 is not met and CI04 is not clearly supported based only on title and abstract.</t>
  </si>
  <si>
    <t>Score: 0
Justification:
* **CI01: Not met** — The study does not explicitly mention "Business Process Management" or the acronym "BPM" anywhere in the title or abstract. References to "core business processes" and "supportive processes" are generic and do not constitute an explicit mention of BPM as a discipline or methodology.
* **CI02: Met** — The abstract explicitly mentions "digital transformation" and "digitization" as central themes, addressing the challenges and resistance organizations face in undergoing digital transformation.
* **CI03: Not met** — The abstract does not explicitly mention or apply specific technologies such as AI, RPA, process mining, big data, blockchain, IoT, or software systems. References to "SMART technologies" in the title and "electronic components" in the abstract are too vague and unspecific to satisfy CI03.
* **CI04: Not met** — The abstract describes a paper that "looked at processes and portfolio of services" that could be digitized, but provides no clear indication of a structured framework, model, method, or empirical analysis. The description is too vague to confirm the nature of the study's contribution.
* **CI05: Met** — The title and abstract are written in English.
* **CE01: Does not apply** — The study is related to digital transformation and process management in an organizational context.
* **CE02: Does not apply** — The study is set within an organizational context, specifically science and education institutions operating within supply chains and ecosystems.
* **CE03: Does not apply** — This appears to be a primary study, not a secondary study.
* **CE04: Applies** — The abstract is insufficiently detailed and lacks clarity about the study's scope, methodology, specific technologies, or findings. The language is vague in several passages, making it difficult to confidently assess its relevance to the research topic.
**Reason for Score = 0:** CI01, CI03, and CI04 are not met, and CE04 applies. The study does not explicitly mention BPM or specific technologies, does not present a clearly defined empirical contribution, and the abstract lacks sufficient detail to assess relevance.</t>
  </si>
  <si>
    <t>Balco, Peter; Šarlina, Igor; Gallo, Michal</t>
  </si>
  <si>
    <t>2021 8th International Conference on Future Internet of Things and Cloud (FiCloud)</t>
  </si>
  <si>
    <t>Innovative services and processes in university environment, processes of education supported by SMART technologies</t>
  </si>
  <si>
    <r>
      <rPr>
        <rFont val="Helvetica Neue"/>
        <color rgb="FF1155CC"/>
        <u/>
      </rPr>
      <t>https://ieeexplore.ieee.org/document/9590451/</t>
    </r>
  </si>
  <si>
    <t>169-176</t>
  </si>
  <si>
    <t>10.1109/FiCloud49777.2021.00032</t>
  </si>
  <si>
    <t>Many science and education organizations are undergoing a digital transformation. They focus on the implementation of products and services that are commonly available in a commercial environment. The aim of these changes is external pressures from companies - customers of products as well as the requirements of clients. These are organizations that are interested in the services of such institutions. There are naturally scientific and educational organizations that are not making progress in the process of digital transformation. They have not solved this task for a long time and thus they get into a complicated situation. Although germs of shift arise in these institutes, they encounter resistance from their employees. The digitization process is slowing down or not happening at all. Such an approach blocks the development of institutions and puts them in a complicated situation in the supply chain. Science education organizations form an ecosystem in which, in addition to key, core business processes, there are other, supportive processes. Without these processes, it is not possible to ensure the proper functioning of the institution. From the level and quality of their settings, ie the focus on the client - student or. employee can be observed readiness to deal with critical situations. In our paper, we looked at the processes and portfolio of services, both critical and supportive, that could be effectively electricized. By this term we mean a state where it is possible to monitor increased productivity as well as the quality of work. The deployment of appropriate electronic components makes it possible to increase the “will” of decision-making, which brings another dimension of the provided services.</t>
  </si>
  <si>
    <t>Score: 1
Justification:
	•	CI01: met — explicitly mentions business process management in “restructuring a company’s business process management system.”
	•	CI02: met — explicitly addresses digital transformation and digitalization, including a “universal mechanism for managing digital transformation.”
	•	CI03: met — explicitly mentions technologies and digital mechanisms such as automation, digital platform-based business models, digital technologies, optimization and modeling.
	•	CI04: met — presents a conceptual scheme, compares digital platform-based business models, studies practical application using the Network Readiness Index, and proposes a universal mechanism for digital transformation management.
	•	CI05: met — the title and abstract are written in English.
	•	CE01–CE04: none apply — the study is related to BPM, digital transformation, technologies, and enterprise/organizational management; it is not clearly a secondary study, and the abstract provides enough information to assess relevance.</t>
  </si>
  <si>
    <t>Score: 1
Justification:
* **CI01: Met** — The abstract explicitly mentions "business process management system" as the mechanism through which full digital transformation can be achieved, constituting a direct and explicit reference to BPM within the study's core findings.
* **CI02: Met** — "Digital transformation" and "digitalization" are central and repeatedly addressed themes throughout the abstract, including the development of a universal mechanism for managing digital transformation and strategies for business digitalization.
* **CI03: Met** — The study explicitly references digital platforms, automation, digitalization technologies, and digital platform-based business models as technologies applied and compared within the study's framework.
* **CI04: Met** — The study develops a conceptual scheme of business digitalization, compares digital platform-based business models, applies the Network Readiness Index across three countries (Azerbaijan, Russia, and Switzerland), and develops business development strategies and a universal mechanism for digital transformation management, constituting both a model proposal and an empirical comparative analysis.
* **CI05: Met** — The title and abstract are written in English.
* **CE01: Does not apply** — The study is directly related to BPM, digital transformation, and technologies in an organizational context.
* **CE02: Does not apply** — The study is firmly grounded in an organizational and business context, addressing enterprise management, business process transformation, and national digital readiness strategies.
* **CE03: Does not apply** — This is a primary study presenting original analysis, model development, and empirical application across multiple countries, not a secondary study.
* **CE04: Does not apply** — The abstract provides detailed and sufficient information to assess relevance with confidence.</t>
  </si>
  <si>
    <t>Miethlich, Boris; Belotserkovich, Denis; Abasova, Samira; Zatsarinnaya, Еlena; Veselitsky, Oleg</t>
  </si>
  <si>
    <t>IEEE Engineering Management Review</t>
  </si>
  <si>
    <t>The Impact of COVID-19 on Digital Enterprise Management</t>
  </si>
  <si>
    <r>
      <rPr>
        <rFont val="Helvetica Neue"/>
        <color rgb="FF1155CC"/>
        <u/>
      </rPr>
      <t>https://ieeexplore.ieee.org/document/9576568/</t>
    </r>
  </si>
  <si>
    <t>16-29</t>
  </si>
  <si>
    <t>10.1109/EMR.2021.3119222</t>
  </si>
  <si>
    <t>This study reported in this article aimed to examine changes in enterprise management under the COVID-19 pandemic and develop a universal mechanism for managing digital transformation. Its methodological basis was represented by a terminological analysis of the concepts of automation, digitalization, and digital transformation. Their close consideration enabled forming of a conceptual scheme of business digitalization. In sum, the study process unveiled that full-fledged and fruitful digital transformation can be achieved through restructuring a company's business process management system. By comparing the outcomes of using digital platform-based business models, the most promising one was selected to be used in the COVID-19-affected environment. Its practical application was studied in Azerbaijan, Russia, and Switzerland using the Network Readiness Index. The analysis made it possible to form business development strategies for each country reviewed and develop a universal mechanism of digital transformation management on enterprises by means of optimization and modeling. The obtained findings suggest that in pandemic settings, digital enterprise management is concentrated on survival, self-learning, and cooperation without intermediaries through innovation and transformation of business processes. The created strategies can be used to adopt digital technologies and attract investment. Further research can be directed at detailing the proposed mechanism.</t>
  </si>
  <si>
    <t>1937-4178</t>
  </si>
  <si>
    <t>Score: 0
Justification:
	•	CI01: not met — the abstract mentions “process optimization,” “operational processes,” and “business practices,” but does not explicitly mention Business Process Management or BPM.
	•	CI02: met — explicitly mentions digital transformation and data-driven policymaking.
	•	CI03: met — mentions a novel tool with advanced functionalities and quantitative/data-driven approaches.
	•	CI04: met — presents a toolkit/tool to support process optimization and decision-making.
	•	CI05: met — the title and abstract are written in English.
	•	CE01–CE04: no exclusion criterion clearly applies, but the study is excluded because CI01 is not met. Under your strict protocol, “process optimization” or “operational processes” alone is not enough without explicit Business Process Management or BPM.</t>
  </si>
  <si>
    <t>Score: 0
Justification:
* **CI01: Not met** — The study does not explicitly mention "Business Process Management" or the acronym "BPM" anywhere in the title or abstract. References to "process optimization" and "operational processes" are generic management terms that do not constitute an explicit mention of BPM as a discipline or methodology.
* **CI02: Met** — The abstract explicitly references "a global shift toward digital transformation and data-driven policymaking," directly addressing digital transformation as a contextual driver for the study.
* **CI03: Not met** — The abstract does not explicitly mention or apply specific technologies such as AI, RPA, process mining, big data, blockchain, IoT, or software systems. The reference to a "novel tool incorporating advanced functionalities" is too vague and unspecific to satisfy CI03, as no concrete technology is named.
* **CI04: Met** — The study introduces a novel toolkit (CPOT) designed to expand decision-making options through process optimization, constituting an applied tool development with defined objectives and functionalities.
* **CI05: Met** — The title and abstract are written in English.
* **CE01: Does not apply** — The study is related to process optimization and digital transformation in organizational contexts.
* **CE02: Does not apply** — The study addresses both public and private sector organizations, firmly situating it within an organizational and business context.
* **CE03: Does not apply** — This is a primary study presenting an original toolkit, not a secondary study.
* **CE04: Applies** — Despite introducing a novel tool, the abstract provides insufficient detail about the tool's specific technologies, methodology, scope, or empirical validation to allow confident assessment of its relevance to the research topic of BPM and digital transformation.
**Reason for Score = 0:** CI01 and CI03 are not met, and CE04 applies. The study does not explicitly mention BPM or specific technologies, both of which are mandatory inclusion criteria.</t>
  </si>
  <si>
    <t>Vesaghi, Arash; Mansouri, Mo</t>
  </si>
  <si>
    <t>2025 IEEE International Symposium on Systems Engineering (ISSE)</t>
  </si>
  <si>
    <t>CPOT: Toolkit to Optimize Processes and Increase Efficiency</t>
  </si>
  <si>
    <r>
      <rPr>
        <rFont val="Helvetica Neue"/>
        <color rgb="FF1155CC"/>
        <u/>
      </rPr>
      <t>https://ieeexplore.ieee.org/document/11370117/</t>
    </r>
  </si>
  <si>
    <t>10.1109/ISSE65546.2025.11370117</t>
  </si>
  <si>
    <t>Everyday, public and private sectors face escalating pressure to demonstrate efficiency, accountability, and responsiveness in service delivery. The increasing complexity of modern challenges over the last decade has significantly heightened the demand for enhanced governmental and business practices. Consequently, organizations in both competitive private sectors and public service domains are consistently compelled to optimize resource utilization, minimize operational waste, and adapt swiftly to dynamic internal and external environmental changes. This trend is further amplified by a global shift toward digital transformation and data-driven policymaking, underscoring the escalating relevance of quantitative approaches in governance. This strong challenge firmly establishes process optimization as a fundamental element for strategic planning and operational execution. Process optimization is formally defined as a systematic, analytical methodology encompassing the identification, analysis, design, and continuous refinement of existing operational processes. Its primary objective is to achieve specific organizational aims, including improved accuracy, speed, quality, and adaptability. Historically, an ongoing issue across diverse organizational structures has been the perpetuation of suboptimal processes. These inefficiencies commonly manifest as redundant steps, critical bottlenecks, misallocated resources, and an acceptable lack of transparency and accountability within operational frameworks. In this paper, we introduce a novel tool incorporating advanced functionalities designed to significantly expand the range of options available to decision-makers and stakeholders.</t>
  </si>
  <si>
    <t>2687-8828</t>
  </si>
  <si>
    <t>Score: 0
Justification:
	•	CI01: not met — the abstract mentions “organizational processes,” “process digitalization,” and “Process Engineering,” but does not explicitly mention Business Process Management or BPM.
	•	CI02: met — explicitly addresses process digitalization and digital maturity.
	•	CI03: not clearly met — the abstract mentions digital maturity and socio-technical conditions, but does not clearly mention or apply a specific technology, digital tool, software system, or technological platform.
	•	CI04: met — presents a maturity model with a readiness level assessment, based on a pilot study and literature review.
	•	CI05: met — the title and abstract are written in English.
	•	CE01–CE04: no exclusion criterion clearly applies, but the study is excluded because CI01 is not met and CI03 is not clearly supported based only on title and abstract.</t>
  </si>
  <si>
    <t>Score: 0
Justification:
* **CI01: Not met** — The study does not explicitly mention "Business Process Management" or the acronym "BPM" anywhere in the title or abstract. References to "organizational processes," "process digitalization," and "Process Engineering" are related but distinct concepts that do not constitute an explicit mention of BPM as a discipline or methodology.
* **CI02: Met** — The abstract explicitly references "process digitalization improvement" and "digital maturity" as the motivating context for the proposed maturity model, constituting an explicit mention of digitalization.
* **CI03: Not met** — The abstract does not explicitly mention or apply specific technologies such as AI, RPA, process mining, big data, blockchain, IoT, or software systems. The study focuses on a maturity model framework with no reference to concrete enabling technologies.
* **CI04: Met** — The study presents a maturity model with a readiness level assessment, grounded in a pilot study conducted at a hospital in northern Portugal, with planned validation across multiple industries, constituting a model proposal with an empirical pilot component.
* **CI05: Met** — The title and abstract are written in English.
* **CE01: Does not apply** — The study is related to organizational process improvement and digitalization.
* **CE02: Does not apply** — The study is set within an organizational and business context, with applications spanning hospitals, automotive, heavy metalworking, chemical-industrial, and logistics sectors.
* **CE03: Does not apply** — Although the study includes a literature review as part of its methodology, it is a primary study presenting an original maturity model proposal and pilot application.
* **CE04: Does not apply** — The abstract provides sufficient information to assess the nature and scope of the study.
**Reason for Score = 0:** CI01 and CI03 are not met. The study does not explicitly mention BPM or specific technologies, both of which are mandatory inclusion criteria.</t>
  </si>
  <si>
    <t>Jesus, Cristiano; Lima, Rui M.; Barretiri, Leandro; Lopes, Sérgio Ivan</t>
  </si>
  <si>
    <t>A Maturity Model Proposal with Readiness Level Assessment for Organizational Processes Improvement</t>
  </si>
  <si>
    <r>
      <rPr>
        <rFont val="Helvetica Neue"/>
        <color rgb="FF1155CC"/>
        <u/>
      </rPr>
      <t>https://ieeexplore.ieee.org/document/9820072/</t>
    </r>
  </si>
  <si>
    <t>10.23919/CISTI54924.2022.9820072</t>
  </si>
  <si>
    <t>The improvement of organizational processes typically relies on opportunities identified by a prior assessment procedure. For example, process digitalization improvement in organizations requires prior knowledge of its digital maturity, thus operating as a starting point for the adoption of a validated and systematized methodology. This work presents a proposal of a maturity model with a readiness level assessment that takes advantage of competencies development, to promote cross-analyses of social and technical conditions within an organization. The adopted methodology is based on a pilot study developed in a hospital located in northern Portugal, being driven by a literature review regarding Maturity Models and Process Engineering. The proposed model will be validated in future applied research projects with companies also located in northern Portugal from the automotive, heavy metalworking, chemical-industrial, and logistics sectors.</t>
  </si>
  <si>
    <t>Score: 0
Justification:
	•	CI01: not met — the abstract mentions “process modelling,” “physical process,” and “decision process,” but does not explicitly mention Business Process Management or BPM.
	•	CI02: not clearly met — it discusses Digital Twin adoption and industrial optimization, but does not clearly mention digital transformation, digitalization, or digital innovation.
	•	CI03: met — explicitly mentions technologies such as Digital Twin (DT), Machine Learning (ML), virtual model, simulations, and digital environment.
	•	CI04: met — presents an application/case in an offset printing company, with a developed virtual model and results showing 5% cost reduction.
	•	CI05: met — the title and abstract are written in English.
	•	CE01–CE04: no exclusion criterion clearly applies, but the study is excluded because CI01 is not met and CI02 is not clearly supported based only on the title and abstract.</t>
  </si>
  <si>
    <t>Score: 0
Justification:
* **CI01: Not met** — The study does not explicitly mention "Business Process Management" or the acronym "BPM" anywhere in the title or abstract. References to "process modelling" and "decision process" are generic technical terms that do not constitute an explicit mention of BPM as a discipline or methodology.
* **CI02: Not met** — The abstract does not explicitly mention "digital transformation," "digitalization," or "digital innovation." The adoption of a Digital Twin scheme is framed as industrial optimization rather than as part of an organizational digital transformation initiative.
* **CI03: Met** — The study explicitly mentions and applies Digital Twin (DT) and Machine Learning (ML) as core technologies used for process modeling, simulation, and machine selection optimization in a printing enterprise.
* **CI04: Met** — The study develops a virtual DT model for machine line selection, conducts simulations, applies ML models on real enterprise data, and reports a 5% cost reduction, constituting an applied empirical study with concrete, quantified results.
* **CI05: Met** — The title and abstract are written in English.
* **CE01: Does not apply** — The study is related to technology application and process optimization in an industrial and business context.
* **CE02: Does not apply** — The study is set within a clear organizational and business context, specifically an offset printing company seeking industrial optimization.
* **CE03: Does not apply** — This is a primary study presenting original model development and empirical application, not a secondary study.
* **CE04: Does not apply** — The abstract provides sufficient information to assess the nature and scope of the study.
**Reason for Score = 0:** CI01 and CI02 are not met. The study does not explicitly mention BPM or digital transformation, both of which are mandatory inclusion criteria.</t>
  </si>
  <si>
    <t>Skianis, Konstantinos; Giannopoulos, Anastasios; Kalafatelis, Alexandros; Trakadas, Panagiotis</t>
  </si>
  <si>
    <t>2023 IEEE International Conference on Industry 4.0, Artificial Intelligence, and Communications Technology (IAICT)</t>
  </si>
  <si>
    <t>Digital Twin for Automated Industrial Optimization: Intelligent Machine Selection via Process Modelling</t>
  </si>
  <si>
    <r>
      <rPr>
        <rFont val="Helvetica Neue"/>
        <color rgb="FF1155CC"/>
        <u/>
      </rPr>
      <t>https://ieeexplore.ieee.org/document/10205949/</t>
    </r>
  </si>
  <si>
    <t>84-90</t>
  </si>
  <si>
    <t>10.1109/IAICT59002.2023.10205949</t>
  </si>
  <si>
    <t>Digital Twin (DT) is an emerging paradigm that enables a virtual model to effectively represent a physical process. In this paper, we present the adoption of the DT scheme by an offset printing company towards industrial optimization. The considered DT model is a virtual representation that serves as the digital copy of the physical printing process within an industrial unit. A virtual model for selecting the optimal machine line was developed to ensure cost-efficient printing. The machine line selection process was modeled as a decision process and then analyzed through simulations in a safe and cost-efficient digital environment, provided by the DT. Moreover, Machine Learning (ML) models were exploited to extract knowledge for the machine selection task, taking full advantage of the DT experiment. Based on real data and selection policies of a printing enterprise, the results revealed an improvement during the selection process, followed by a 5% cost reduction on the examined dataset.</t>
  </si>
  <si>
    <t>2834-8249</t>
  </si>
  <si>
    <t>Score: 0
Justification:
	•	CI01: not met — the abstract mentions “business processes,” but does not explicitly mention Business Process Management or BPM.
	•	CI02: met — explicitly addresses digital transformation, stating that the work contributes to “the digital transformation of the beauty industry.”
	•	CI03: met — explicitly mentions technologies such as a web platform, machine learning algorithms, NLP, automated appointment scheduling, customer feedback analysis, and digital system.
	•	CI04: met — presents a case study, optimization methods, economic-mathematical models, and a proposed conceptual model for automating beauty salon operations.
	•	CI05: met — the title and abstract are written in English.
	•	CE01–CE04: no exclusion criterion clearly applies, but the study is excluded because CI01 is not met.</t>
  </si>
  <si>
    <t>Score: 0
Justification:
* **CI01: Not met** — The study does not explicitly mention "Business Process Management" or the acronym "BPM" anywhere in the title or abstract. The phrase "optimize business processes" is a generic operational reference and does not constitute an explicit mention of BPM as a discipline or methodology.
* **CI02: Met** — The abstract explicitly states that the work "represents a significant contribution to the digital transformation of the beauty industry," directly addressing digital transformation as a stated outcome of the study.
* **CI03: Met** — The study explicitly mentions machine learning algorithms, Natural Language Processing (NLP), optimization methods, and economic-mathematical models as core technologies applied within the proposed web platform.
* **CI04: Met** — The study presents a conceptual model encompassing automated scheduling, personnel management, customer feedback analysis, and marketing strategy implementation, validated through mathematical justification and a case study at "Jasmin Hair Studio," constituting an applied model with empirical grounding.
* **CI05: Met** — The title and abstract are written in English.
* **CE01: Does not apply** — The study is related to digital transformation and technology application in a business context.
* **CE02: Does not apply** — The study is set within a clear organizational and business context, specifically a beauty salon (Jasmin Hair Studio) undergoing service digitalization.
* **CE03: Does not apply** — This is a primary study presenting original model development and case study application, not a secondary study.
* **CE04: Does not apply** — The abstract provides sufficient information to assess the nature and scope of the study.
**Reason for Score = 0:** CI01 is not met. The study does not explicitly mention Business Process Management (BPM) or the term "BPM," which is a mandatory inclusion criterion.</t>
  </si>
  <si>
    <t>Ziuziun, Vadym; Myrutenko, Larysa; Myrutenko, Oleksandra; Avramets, Anastasia</t>
  </si>
  <si>
    <t>2025 IEEE 5th International Conference on Smart Information Systems and Technologies (SIST)</t>
  </si>
  <si>
    <t>Mathematical Justification for the Development of a Web Platform for Beauty Salon Operations</t>
  </si>
  <si>
    <r>
      <rPr>
        <rFont val="Helvetica Neue"/>
        <color rgb="FF1155CC"/>
        <u/>
      </rPr>
      <t>https://ieeexplore.ieee.org/document/11139271/</t>
    </r>
  </si>
  <si>
    <t>10.1109/SIST61657.2025.11139271</t>
  </si>
  <si>
    <t>This study focuses on the mathematical justification for developing a web platform to automate beauty salon operations, using "Jasmin Hair Studio" as a case study. The research explores the application of optimization methods for employee scheduling, machine learning algorithms for analyzing customer preferences, and economic-mathematical models for forecasting the financial efficiency of implementing a digital system. The proposed conceptual model encompasses automated appointment scheduling, personnel management, customer feedback analysis using NLP, and the implementation of marketing strategies. Deploying this web platform will enhance service quality, optimize business processes, and minimize human error. This work represents a significant contribution to the digital transformation of the beauty industry and the advancement of intelligent service management systems.</t>
  </si>
  <si>
    <t>Score: 0
Justification:
	•	CI01: not met — the abstract mentions “collaborative business processes,” “business process model,” and process redesign, but does not explicitly mention Business Process Management or BPM.
	•	CI02: met — explicitly addresses digital transformation in business processes.
	•	CI03: met — presents a technology/analytical approach through Trust Mining, a prototypical implementation, and analysis based on business process models.
	•	CI04: met — proposes an analytical approach, presents a prototypical implementation, and illustrates its use in trust-aware process redesign.
	•	CI05: met — the title and abstract are written in English.
	•	CE01–CE04: no exclusion criterion clearly applies, but the study is excluded because CI01 is not met. Under your strict protocol, “business process model” or “business processes” alone is not enough without explicit Business Process Management or BPM.</t>
  </si>
  <si>
    <t>Score: 0
Justification:
* **CI01: Not met** — The study does not explicitly mention "Business Process Management" or the acronym "BPM" anywhere in the title or abstract. References to "business process model," "collaborative business processes," and "process (re-)design" are generic process-related terms that do not constitute an explicit mention of BPM as a discipline or methodology.
* **CI02: Met** — The abstract explicitly references "the ongoing digital transformation" as the motivating context for the shift toward more collaborative and fragmented business processes, directly addressing digital transformation.
* **CI03: Met** — The study proposes Trust Mining as an analytical approach and presents a prototypical implementation for analyzing business process models, constituting an explicit application of a process analysis tool and method.
* **CI04: Met** — The study proposes Trust Mining as a structured analytical approach, presents a prototypical implementation, and illustrates its application in trust-aware process redesign, constituting a method proposal with applied demonstration.
* **CI05: Met** — The title and abstract are written in English.
* **CE01: Does not apply** — The study is related to digital transformation and business process analysis in an organizational context.
* **CE02: Does not apply** — The study is set within an organizational and inter-organizational business context, addressing collaborative processes between companies and stakeholder trust requirements.
* **CE03: Does not apply** — This is a primary study presenting an original analytical approach and prototypical implementation, not a secondary study.
* **CE04: Does not apply** — The abstract provides sufficient information to assess the nature and scope of the study.
**Reason for Score = 0:** CI01 is not met. The study does not explicitly mention "Business Process Management" or "BPM," which is a mandatory inclusion criterion.</t>
  </si>
  <si>
    <t>Müller, Marcel; Ostern, Nadine; Koljada, Denis; Grunert, Kai; Rosemann, Michael; Küpper, Axel</t>
  </si>
  <si>
    <t>Trust Mining: Analyzing Trust in Collaborative Business Processes</t>
  </si>
  <si>
    <r>
      <rPr>
        <rFont val="Helvetica Neue"/>
        <color rgb="FF1155CC"/>
        <u/>
      </rPr>
      <t>https://ieeexplore.ieee.org/document/9416494/</t>
    </r>
  </si>
  <si>
    <t>65044-65065</t>
  </si>
  <si>
    <t>10.1109/ACCESS.2021.3075568</t>
  </si>
  <si>
    <t>The ongoing digital transformation and internationalization of business processes cause a shift towards a more collaborative nature of processes. In such collaborations, different organizations execute separate parts of the process autonomously. This fragmentation leads to uncertainty regarding the correct execution of activities, the proper workflow, and data in the process flow. If organizations engage in business together, trust is needed. Therefore, we propose Trust Mining as an analytical approach to better understand uncertainties and the potential trust issues that arise from them. Trust Mining takes a business process model as an input and analyzes uncertainties and relationships. In the end, an evaluation regarding the trust requirements of specific stakeholders is given. Furthermore, we present a prototypical implementation and illustrate how Trust Mining can be used in trust-aware process (re-)design.</t>
  </si>
  <si>
    <t>Score: 1
Justification:
	•	CI01: met — explicitly mentions business process management as one of the fields involved in the project.
	•	CI02: met — explicitly addresses digitalization, stating that the water utility company wants to “digitalise its business operations and external communication.”
	•	CI03: met — explicitly mentions technology-related fields and tools/approaches, including technology-driven organisational change, information systems engineering, enterprise architecture management, and the Fractal Enterprise Model (FEM) as an enterprise modelling technique.
	•	CI04: met — presents an industrial project/case using FEM, follows Action Design Research, and describes problems solved, constraints, and application of the model.
	•	CI05: met — the title and abstract are written in English.
	•	CE01–CE04: none apply — it is related to BPM, digitalization, technology-driven organizational change, and an organizational/business context; it is not a secondary study, and the abstract provides enough information to assess relevance.</t>
  </si>
  <si>
    <t>Score: 0
Justification:
* **CI01: Met** — The abstract explicitly mentions "business process management" as one of the fields contributing to the project's methodology, constituting a direct reference to BPM within the study's scope.
* **CI02: Met** — The abstract explicitly states that the water utility company wants to "digitalise its business operations and external communication," directly addressing digitalization as the project's core objective.
* **CI03: Not met** — The abstract does not explicitly mention or apply specific technologies such as AI, RPA, process mining, big data, blockchain, IoT, or software systems. The study focuses on an enterprise modeling technique (FEM) and mentions related fields such as requirements engineering and information systems engineering, but no concrete enabling technology is explicitly named or applied.
* **CI04: Met** — The study follows the Action Design Research paradigm, applies FEM in a real industrial project at a water utility company, solves 11 identified organizational problems, and reflects on practical outcomes, constituting an applied empirical case study with methodological contributions.
* **CI05: Met** — The title and abstract are written in English.
* **CE01: Does not apply** — The study is related to BPM and digitalization in an organizational context.
* **CE02: Does not apply** — The study is set within a clear organizational and business context, specifically a water utility company undergoing digitalization of its operations.
* **CE03: Does not apply** — This is a primary study presenting original action design research with empirical application, not a secondary study.
* **CE04: Does not apply** — The abstract provides sufficient information to assess the nature and scope of the study.
**Reason for Score = 0:** CI03 is not met. The study does not explicitly mention or apply specific digital technologies as required by the inclusion criteria, focusing instead on enterprise modeling methodology without referencing concrete technologies such as AI, RPA, process mining, or software systems.</t>
  </si>
  <si>
    <t>Leego, Steven; Bider, Ilia</t>
  </si>
  <si>
    <t>2021 IEEE 23rd Conference on Business Informatics (CBI)</t>
  </si>
  <si>
    <t>Using Fractal Enterprise Model in Technology-Driven Organisational Change Projects: A Case of a Water Utility Company</t>
  </si>
  <si>
    <r>
      <rPr>
        <rFont val="Helvetica Neue"/>
        <color rgb="FF1155CC"/>
        <u/>
      </rPr>
      <t>https://ieeexplore.ieee.org/document/9610629/</t>
    </r>
  </si>
  <si>
    <t>107-116</t>
  </si>
  <si>
    <t>10.1109/CBI52690.2021.10061</t>
  </si>
  <si>
    <t>Managing organisational change is becoming increasingly important in an ever-changing world. A novel “lightweight” enterprise modelling technique called Fractal Enterprise Model (FEM) can be helpful in this effort. This technique is formally established, but the range of application areas for it is not yet fully explored. This paper aims to fill the gap, at least partially. This goal is being achieved by using FEM in an industrial project in which a water utility company wants to digitalise its business operations and external communication. The paper follows the Action Design Research paradigm, which combines theory generation with solving organisational problems. The project was structured along a generic Business Analysis process and contained elements from a number of fields, such as requirements engineering, information systems engineering, enterprise architecture management, and business process management. The paper describes 11 different generic problems that were solved with the help of FEM, the project-specific constraints and how FEM was applied in the process. As the same person carried out both the research and the practical work, the usefulness of FEM is examined via reflecting on the experience and generalising the knowledge. FEM supported the business analysis activities by enabling quick and systematic information gathering and comprehensible communication with various internal stakeholders. These insights can be used as a guideline for future practitioners planning to use FEM and for conducting further research regarding the applicability of FEM.</t>
  </si>
  <si>
    <t>Score: 0
Justification:
	•	CI01: not met — the abstract does not explicitly mention Business Process Management or BPM.
	•	CI02: not clearly met — it discusses e-governance and digital governance, but does not clearly mention digital transformation, digitalization, or digital innovation.
	•	CI03: met — explicitly mentions technology governance, digital governance, interoperability, and a semantic/organisational interoperability model.
	•	CI04: met — presents/elaborates a semantic and organisational interoperability model within the Estonian Framework.
	•	CI05: met — the title and abstract are written in English.
	•	CE01–CE04: no exclusion criterion clearly applies, but the study is excluded because CI01 is not met and CI02 is not clearly supported based only on title and abstract.</t>
  </si>
  <si>
    <t>Score: 0
Justification:
* **CI01: Not met** — The study does not explicitly mention "Business Process Management" or the acronym "BPM" anywhere in the title or abstract. The focus is on interoperability, semantic modeling, and technology governance for e-governance, with no reference to BPM as a discipline or methodology.
* **CI02: Met** — The abstract explicitly references "digital governance" and addresses challenges in technology governance in the post-COVID era, within the context of Estonia's strategic digital framework, constituting an implicit but contextually clear reference to digital transformation in governance.
* **CI03: Not met** — The abstract does not explicitly mention or apply specific technologies such as AI, RPA, process mining, big data, blockchain, IoT, or software systems. The "Semantic &amp; Organisational Interoperability Model" is a governance and modeling framework, not a specific digital technology.
* **CI04: Met** — The study presents a Semantic &amp; Organisational Interoperability Model developed by three Estonian ministries as part of a strategic framework for technology governance, constituting a framework proposal with institutional grounding.
* **CI05: Met** — The title and abstract are written in English.
* **CE01: Does not apply** — The study is related to digital governance and technology frameworks in an organizational context.
* **CE02: Does not apply** — The study is set within a clear organizational and governmental context, addressing Estonian public sector agencies and ministries.
* **CE03: Does not apply** — This is a primary study presenting an original semantic and organizational interoperability model, not a secondary study.
* **CE04: Applies** — The abstract is brief and lacks sufficient detail about methodology, empirical grounding, scope of application, or specific contributions beyond describing the framework's purpose, making it difficult to fully assess its alignment with the research topic.
**Reason for Score = 0:** CI01 and CI03 are not met, and CE04 applies. The study does not explicitly mention BPM or specific technologies, both of which are mandatory inclusion criteria.</t>
  </si>
  <si>
    <t>Lauk, Mihkel; Linros, Janar; Pappel, Ingrid</t>
  </si>
  <si>
    <t>2025 International Conference on Next Generation Information System Engineering (NGISE)</t>
  </si>
  <si>
    <t>Improving Organisational Interoperability for e-Governance: A Semantic Model</t>
  </si>
  <si>
    <r>
      <rPr>
        <rFont val="Helvetica Neue"/>
        <color rgb="FF1155CC"/>
        <u/>
      </rPr>
      <t>https://ieeexplore.ieee.org/document/11085254/</t>
    </r>
  </si>
  <si>
    <t>10.1109/NGISE64126.2025.11085254</t>
  </si>
  <si>
    <t>Interoperability between government agencies is critical for effective e-governance, enabling seamless communication, efficient service delivery and better use of resources. Despite Estonia's leadership in digital governance, challenges such as wasted resources and inconsistent technology governance practices persist, limiting scalability and value creation for society. To address these challenges, Estonia's three ministries have developed a strategic framework for technology governance in 2023, tailored to the specific needs of the post- COVID era, while also responding to the global and local challenges of the changing world. This paper focuses on and elaborates the second output of the Estonian Framework: Semantic &amp; Organisational Interoperability Model - a fundamental cornerstone and success prerequisite for collaborative value creation for society and improved efficiency.</t>
  </si>
  <si>
    <t>Score: 0
Justification:
	•	CI01: not met — the abstract mentions “process management,” “process-oriented,” and “process-intensive sectors,” but does not explicitly mention Business Process Management or BPM.
	•	CI02: not clearly met — it discusses digital twins and digital solutions, but does not clearly mention digital transformation, digitalization, or digital innovation.
	•	CI03: met — explicitly mentions technologies such as digital twins, laboratory information management systems, software architecture, and a prototypical implementation.
	•	CI04: met — proposes design principles and a software architecture, using a design science research approach, with evaluation through expert interviews, prototypical implementation, and a field study.
	•	CI05: met — the title and abstract are written in English.
	•	CE01–CE04: no exclusion criterion clearly applies, but the study is excluded because CI01 is not met and CI02 is not clearly supported based only on the title and abstract.</t>
  </si>
  <si>
    <t>Score: 0
Justification:
* **CI01: Not met** — The study does not explicitly mention "Business Process Management" or the acronym "BPM" anywhere in the title or abstract. References to "process management," "process-oriented," and "laboratory process management" are domain-specific operational terms that do not constitute an explicit mention of BPM as a discipline or methodology.
* **CI02: Not met** — The abstract does not explicitly mention "digital transformation," "digitalization," or "digital innovation." References to "digital solutions," "digital twins," and a "digital lab twin" describe specific technological artifacts rather than digital transformation as an organizational concept.
* **CI03: Met** — The study explicitly mentions and applies Digital Twin technology, laboratory information management systems, and software architecture as core technologies, constituting explicit reference to specific software systems in an industrial setting.
* **CI04: Met** — The study proposes design principles and a software architecture developed through design science research, evaluated via expert interviews, a prototypical implementation, and a field study in an industrial laboratory, constituting a rigorous applied research contribution with empirical validation.
* **CI05: Met** — The title and abstract are written in English.
* **CE01: Does not apply** — The study is related to technology application and process management in an organizational industrial context.
* **CE02: Does not apply** — The study is set within a clear organizational and business context, specifically industrial testing laboratories operating under regulatory standards.
* **CE03: Does not apply** — This is a primary study presenting original design science research, not a secondary study.
* **CE04: Does not apply** — The abstract provides sufficient information to assess the nature and scope of the study.
**Reason for Score = 0:** CI01 and CI02 are not met. The study does not explicitly mention BPM or digital transformation, both of which are mandatory inclusion criteria.</t>
  </si>
  <si>
    <t>Weidlich, Robin; Albrecht, Tobias; Derr, Patrick; Röglinger, Maximilian</t>
  </si>
  <si>
    <t>Designing a Process-Oriented Digital Twin for Industrial Testing Laboratories</t>
  </si>
  <si>
    <r>
      <rPr>
        <rFont val="Helvetica Neue"/>
        <color rgb="FF1155CC"/>
        <u/>
      </rPr>
      <t>https://ieeexplore.ieee.org/document/10720446/</t>
    </r>
  </si>
  <si>
    <t>15174-15187</t>
  </si>
  <si>
    <t>10.1109/TEM.2024.3481670</t>
  </si>
  <si>
    <t>Digital twins have gained significant attention in recent years as a means to represent physical objects digitally. It is now applied for planning, monitoring, and decision-making across various domains. While extensively leveraged in manufacturing, digital twins also present promising opportunities in other process-intensive sectors, such as the testing, inspection, and calibration industries. Industrial testing laboratories face challenges such as cost pressures and efficiency demands, operating within a complex socio-technical and highly regulated environment. Current digital solutions, such as laboratory information management systems, fall short of providing a comprehensive data and process management perspective and do not fully comply with the ISO/IEC 17025 standard, which ensures trust in laboratory operations and results. This article aims to address these gaps by proposing a set of design principles and a software architecture for a process-oriented digital lab twin developed through a design science research approach. The artifact is evaluated through expert interviews, a prototypical implementation, and a field study in an industrial laboratory setting. The findings offer valuable insights for designing digital twins in laboratory process management, guiding future research and practical applications.</t>
  </si>
  <si>
    <t>Score: 0
Justification:
	•	CI01: not met — the abstract does not explicitly mention Business Process Management or BPM. It mentions Pega PRPC, low-code/no-code, cloud migration, and healthcare solutions, but not BPM.
	•	CI02: met — explicitly addresses digital transformation, “transformation journey,” and modernization of applications/infrastructure.
	•	CI03: met — explicitly mentions technologies such as low-code/no-code platforms, Pega PRPC, Information Technology, Artificial Intelligence, hyperscalers, edge computing, multi-cloud, hybrid-cloud, and poly-cloud architectures.
	•	CI04: met — presents a comparative case study analysis of cloud migration models and deployment architectures in healthcare enterprises.
	•	CI05: met — the title and abstract are written in English.
	•	CE01–CE04: no exclusion criterion clearly applies, but the study is excluded because CI01 is not met.</t>
  </si>
  <si>
    <t>Score: 0
Justification:
* **CI01: Not met** — The study does not explicitly mention "Business Process Management" or the acronym "BPM" anywhere in the title or abstract. While Pega PRPC is a platform associated with BPM in practice, the abstract does not name or reference Business Process Management or BPM as a concept, discipline, or methodology. Implicit association is insufficient to meet this criterion.
* **CI02: Met** — "Digital transformation" is explicitly mentioned in both the title and throughout the abstract as the central theme, framing the healthcare industry's modernization journey.
* **CI03: Met** — The study explicitly mentions multiple technologies including Artificial Intelligence (AI), low-code/no-code (LCNC) platforms, cloud computing, hyperscalers, edge computing, and multi-cloud, hybrid-cloud, and poly-cloud architectures.
* **CI04: Met** — The study conducts a comparative case study analysis of cloud migration models and deployment architectures for healthcare enterprises, constituting an empirical applied study with defined analytical scope.
* **CI05: Met** — The title and abstract are written in English.
* **CE01: Does not apply** — The study is related to digital transformation and technology application in an organizational context.
* **CE02: Does not apply** — The study is set within a clear organizational and business context, specifically healthcare enterprises in the USA undergoing cloud migration and digital transformation.
* **CE03: Does not apply** — This is a primary study presenting original comparative case study analysis, not a secondary study.
* **CE04: Does not apply** — The abstract provides sufficient information to assess the nature and scope of the study.
**Reason for Score = 0:** CI01 is not met. The study does not explicitly mention Business Process Management (BPM) or the term "BPM," which is a mandatory inclusion criterion.</t>
  </si>
  <si>
    <t>Muthukrishnan, Harikrishnan; Thummarakoti, Sairohith</t>
  </si>
  <si>
    <t>2025 IEEE Cloud Summit</t>
  </si>
  <si>
    <t>Optimizing Pega Healthcare Solutions with Hyperscalers: A Scalable Cloud-First Approach to Digital Transformation</t>
  </si>
  <si>
    <r>
      <rPr>
        <rFont val="Helvetica Neue"/>
        <color rgb="FF1155CC"/>
        <u/>
      </rPr>
      <t>https://ieeexplore.ieee.org/document/11108191/</t>
    </r>
  </si>
  <si>
    <t>116-123</t>
  </si>
  <si>
    <t>10.1109/Cloud-Summit64795.2025.00025</t>
  </si>
  <si>
    <t>In the age of digital transformation, every industry is looking for ways to modernize its applications and infrastructure to achieve optimization. The healthcare industry, which handles sensitive data of individuals and is the second largest in the world and in the USA in terms of GDP, plays a key role in this transformation journey. Low-code and no-code (LCNC) platforms are enabling the healthcare industry to embark on this transformation journey, spend less, innovate faster, and remain competitive in an ever-evolving technology landscape. In this research article, the authors introduce a unique low-code/nocode platform called Pega PRPC and highlight its significance to the USA's healthcare industry. While this platform is vital to the healthcare industry, it is transforming to keep up with the Information Technology (IT) and Artificial Intelligence (AI) revolution. Authors are exploring the deployment-specific changes being introduced into the PRPC platform, the challenges these pose to healthcare companies, and a few mandatory options to address this. They are also examining strategies to utilize this as an opportunity to optimize their implementation. This paper examines the impact of deprecating legacy Pega VM-based deployments and evaluates client-managed versus Pega-managed cloud migration models in healthcare enterprises, using a comparative case study analysis of multi-cloud, hybrid-cloud, and poly-cloud architectures. Leveraging hyperscalers and edge computing is crucial, as the IT and healthcare industries are moving in this direction to modernize, improve performance, and enhance scalability.</t>
  </si>
  <si>
    <t>Score: 0
Justification:
	•	CI01: not met — the abstract mentions “process management” and “organizational process redesign,” but does not explicitly mention Business Process Management or BPM.
	•	CI02: not clearly met — it discusses interoperability, digital maturity, and organizational change, but does not clearly address digital transformation, digitalization, or digital innovation.
	•	CI03: met — explicitly mentions technologies/technical solutions such as semantic web technologies, federated platforms, international standards, infrastructure, and interoperability systems.
	•	CI04: met — presents a systematic literature review using PRISMA 2020 guidelines.
	•	CI05: met — the title and abstract are written in English.
	•	CE01–CE04: CE03 applies — the study is explicitly a systematic review. It is excluded because CI01 and CI02 are not clearly met, and because it is a secondary study.</t>
  </si>
  <si>
    <t>Score: 0
Justification:
* **CI01: Not met** — The study does not explicitly mention "Business Process Management" or the acronym "BPM" anywhere in the title or abstract. References to "process management" and "organizational process redesign" are generic terms that do not constitute an explicit mention of BPM as a discipline or methodology.
* **CI02: Met** — The abstract explicitly references "digital maturity" and addresses the digital transformation of public health services, including infrastructure investment and organizational change, constituting an implicit but contextually clear reference to digitalization in a public sector context.
* **CI03: Met** — The abstract explicitly mentions semantic web technologies, federated platforms, and international standards as technological strategies, constituting explicit reference to specific technology categories applied in the interoperability context.
* **CI04: Not met** — Although the study presents findings from 18 included studies, its contribution consists of identifying barriers and categorizing strategies through thematic qualitative analysis. As a systematic review, it synthesizes existing knowledge rather than presenting an original application, framework, model, or primary empirical analysis.
* **CI05: Met** — The title and abstract are written in English.
* **CE01: Does not apply** — The study is related to technology and process management in an organizational public health context.
* **CE02: Does not apply** — The study is set within a clear organizational and public sector context, addressing public health services and health policy.
* **CE03: Applies** — The study explicitly identifies itself as a "systematic literature review" conducted based on "PRISMA 2020 guidelines," analyzing 61 records from multiple databases. This is a secondary study by definition, directly triggering CE03.
* **CE04: Does not apply** — The abstract provides sufficient information to assess the nature and scope of the study.
**Reason for Score = 0:** CI01 and CI04 are not met, and CE03 applies. The study does not explicitly mention BPM, does not present a primary empirical contribution, and is explicitly identified as a systematic literature review.</t>
  </si>
  <si>
    <t>Santos, Teresa de L. R.; Heringer Vieira, Luiza Werner; Santos, Alexandre Beraldi; Chaves, Sandra Maria do A.; de Souza, Flávia Silva; Julio, Vieira Neto; Bravo, Marco Saavedra; Barbosa, Christiane Lima</t>
  </si>
  <si>
    <t>2025 16th IEEE International Conference on Industry Applications (INDUSCON)</t>
  </si>
  <si>
    <t>Challenges and Strategies for Interoperability as a Basis for Sustainable Health Policies: A Systematic Review</t>
  </si>
  <si>
    <r>
      <rPr>
        <rFont val="Helvetica Neue"/>
        <color rgb="FF1155CC"/>
        <u/>
      </rPr>
      <t>https://ieeexplore.ieee.org/document/11241961/</t>
    </r>
  </si>
  <si>
    <t>1347-1351</t>
  </si>
  <si>
    <t>10.1109/INDUSCON66435.2025.11241961</t>
  </si>
  <si>
    <t>Introduction: This study aims to identify the main barriers and strategies to strengthen systemic interoperability in public health services and to support the development of sustainable policies. Methods: A systematic literature review was conducted based on PRISMA 2020 guidelines. Searches were performed in Scopus, Web of Science, MEDLINE/PubMed, and the Brazilian Digital Library of Theses and Dissertations (BDTD), focusing on openaccess studies published between 2014 and 2025. Eligibility criteria included full-text studies addressing interoperability, public health, and process management. Data were analyzed qualitatively and thematically categorized. Results: Of the 61 records, 18 met the inclusion criteria. The challenges identified were grouped into technical, organizational, governance, and data related. The proposed strategies included the adoption of international standards, semantic web technologies, federated platforms, investment in training and infrastructure, process management approaches, and patient-centered care models. Overcoming interoperability barriers requires a combination of technological solutions, robust governance, strategic planning, and organizational process redesign. The Brazilian context still faces structural and political challenges that hinder large-scale implementation. Conclusion: Advancing interoperability demands a sociotechnical approach aligned with long-term public policy. It involves investing in infrastructure, digital maturity, regulatory frameworks, and organizational change, recognizing interoperability as a strategic pillar for achieving a resilient and equitable health system.</t>
  </si>
  <si>
    <t>2572-1445</t>
  </si>
  <si>
    <t>Score: 0
Justification:
	•	CI01: not met — the abstract mentions “business process improvement,” “process optimization,” and “press release workflows,” but does not explicitly mention Business Process Management or BPM.
	•	CI02: met — explicitly mentions digital transformation, stating that the phased strategy positions the company “for long-term digital transformation.”
	•	CI03: met — explicitly mentions automation tools, phased automation, media coverage tracking, and process optimization techniques.
	•	CI04: met — presents a structured methodology using the Goal-Question-Metric (GQM) framework, with qualitative and quantitative analyses and measurable implementation results.
	•	CI05: met — the title and abstract are written in English.
	•	CE01–CE04: no exclusion criterion clearly applies, but the study is excluded because CI01 is not met.</t>
  </si>
  <si>
    <t>Score: 0
Justification:
* **CI01: Not met** — The study does not explicitly mention "Business Process Management" or the acronym "BPM" anywhere in the title or abstract. The reference to "business process improvement" is a generic operational term that does not constitute an explicit mention of BPM as a discipline or methodology.
* **CI02: Met** — The abstract explicitly references "long-term digital transformation" as a strategic positioning goal for the organization, directly addressing digital transformation as an outcome of the study's proposed approach.
* **CI03: Met** — The study explicitly mentions automation tools and process optimization techniques as the core technological approaches applied to press release distribution workflows, constituting explicit reference to technology application.
* **CI04: Met** — The study presents a phased automation methodology using the GQM framework, supported by both qualitative and quantitative analyses, with concrete measurable results (74% cycle time reduction), constituting an applied empirical study with a defined methodological framework.
* **CI05: Met** — The title and abstract are written in English.
* **CE01: Does not apply** — The study is related to process automation and digital transformation in an organizational business context.
* **CE02: Does not apply** — The study is set within a clear organizational and business context, specifically a media and communications company (Market Buzz International) operating in Dubai.
* **CE03: Does not apply** — This is a primary study presenting original methodology development and empirical application, not a secondary study.
* **CE04: Does not apply** — The abstract provides sufficient information to assess the nature and scope of the study.
**Reason for Score = 0:** CI01 is not met. The study does not explicitly mention Business Process Management (BPM) or the term "BPM," which is a mandatory inclusion criterion.</t>
  </si>
  <si>
    <t>Abohaia, Zina; Ruxwana, Nkqubela</t>
  </si>
  <si>
    <t>2025 3rd International Conference on Business Analytics for Technology and Security (ICBATS)</t>
  </si>
  <si>
    <t>Optimizing Press Release Distribution: A Phased Automation Approach Using GQM for Enhanced Efficiency and Scalability in Dubai</t>
  </si>
  <si>
    <r>
      <rPr>
        <rFont val="Helvetica Neue"/>
        <color rgb="FF1155CC"/>
        <u/>
      </rPr>
      <t>https://ieeexplore.ieee.org/document/11258419/</t>
    </r>
  </si>
  <si>
    <t>10.1109/ICBATS66542.2025.11258419</t>
  </si>
  <si>
    <t>This paper presents a structured approach to optimizing press release distribution using the Goal-Question-Metric (GQM) framework. By leveraging automation tools and process optimization techniques, the proposed methodology enhances efficiency, reduces manual effort, and improves media coverage tracking. Given the highly competitive and fast-paced media landscape in Dubai, optimizing press release workflows is strategically important for maintaining visibility and brand relevance. Prior to automation, the total cycle time for processing a press release was 37.5 hours, or 4.7 workdays. By implementing automation in phases, the total cycle time is reduced to 9.75 hours, or approximately 1.2 workdays, representing a 74% reduction. The study incorporates both qualitative and quantitative analyses to identify process gaps and risk areas, leading to actionable recommendations for business process improvement. The phased implementation strategy prioritizes quick wins while ensuring scalability, reducing bottlenecks, and improving operational efficiency, positioning Market Buzz International for long-term digital transformation.</t>
  </si>
  <si>
    <t>Score: 0
Justification:
	•	CI01: not met — the abstract mentions “process management,” “process mapping,” “process modeling,” and “process design,” but does not explicitly mention Business Process Management or BPM.
	•	CI02: not clearly met — it mentions digital process analysis and emerging technologies, but does not clearly address digital transformation, digitalization, or digital innovation.
	•	CI03: met — mentions digital process analysis, emerging technologies, Bibliometrix/RStudio, Microsoft Excel, process modeling, and process design.
	•	CI04: met — presents a bibliometric review/study using data from Scopus and Web of Science.
	•	CI05: met — the title and abstract are written in English.
	•	CE01–CE04: CE03 applies — the title says “Bibliometric Study,” and the abstract confirms it is a bibliometric review. It is excluded because CI01 and CI02 are not clearly met, and because it is a secondary study.</t>
  </si>
  <si>
    <t>Score: 0
Justification:
* **CI01: Not met** — The study does not explicitly mention "Business Process Management" or the acronym "BPM" anywhere in the title or abstract. References to "process management," "process mapping," and "process modeling" are domain-specific terms used in the healthcare context that do not constitute an explicit mention of BPM as a discipline or methodology.
* **CI02: Not met** — The abstract does not explicitly mention "digital transformation," "digitalization," or "digital innovation." The reference to "digital process analysis" is incidental and does not address digital transformation as an organizational concept.
* **CI03: Not met** — The abstract does not explicitly mention or apply specific technologies such as AI, RPA, process mining, big data, blockchain, IoT, or software systems. References to "emerging technologies" are generic and lack the specificity required to satisfy CI03.
* **CI04: Not met** — The study is a bibliometric review analyzing 5,707 articles from Scopus and Web of Science. It does not present an original application, framework, model, or empirical analysis focused on BPM or related technologies, but rather maps the scientific production landscape of process mapping in healthcare.
* **CI05: Met** — The title and abstract are written in English.
* **CE01: Does not apply** — The study is tangentially related to process management in an organizational context.
* **CE02: Does not apply** — The study is set within a healthcare organizational context.
* **CE03: Applies** — The study is explicitly a bibliometric review of scientific production, analyzing data from Scopus and Web of Science. This is a secondary study by definition, directly triggering CE03.
* **CE04: Does not apply** — The abstract provides sufficient information to assess the nature and scope of the study.
**Reason for Score = 0:** CI01, CI02, CI03, and CI04 are not met, and CE03 applies. The study is a secondary bibliometric review with no explicit connection to BPM, digital transformation, or specific technologies as required by the inclusion criteria.</t>
  </si>
  <si>
    <t>Zeferino, Ana Carolina Sanches; Barbosa, Christiane Lima; Moreira, Ana Paula Amorim; Mohsen, Yasser Issmail; Paschoal, Victoria De Paula; do A. Chaves, Sandra Maria; da Silva, Edmilson Suassuna; Calado, Robisom Damasceno</t>
  </si>
  <si>
    <t>Process Management in Healthcare: Bibliometric Study</t>
  </si>
  <si>
    <r>
      <rPr>
        <rFont val="Helvetica Neue"/>
        <color rgb="FF1155CC"/>
        <u/>
      </rPr>
      <t>https://ieeexplore.ieee.org/document/11241563/</t>
    </r>
  </si>
  <si>
    <t>1226-1232</t>
  </si>
  <si>
    <t>10.1109/INDUSCON66435.2025.11241563</t>
  </si>
  <si>
    <t>Introduction: Process mapping (PM) is used in the healthcare sector to visualize workflows, identify inefficiencies, bottlenecks and opportunities for improvement. This research aims to analyze the profile of scientific production on process mapping in the healthcare sector. Methods: A bibliometric review was conducted using data collected in May 2025 from Scopus and Web of Science. Data was processed with the Bibliometrix package in RStudio, while Microsoft Excel was employed to enhance visualization when necessary. Results and Discussion: From 2015 to 2025,5,707 unique articles were retrieved, of which 2,793 addressed different applications of PM, reflecting the thematic diversity of healthcare. Scientific output is concentrated in the United States (31%), with the University of Toronto as the most productive institution, whereas the most impactful authors are affiliated with Chinese institutions. Trend topic analysis revealed strong associations between terms such as health, processes, and process management, underscoring the connection between digital process analysis and healthcare delivery. Thematic mapping identified a motor cluster—including process modeling, process design, and procedures-indicating the influence of emerging technologies that require updated procedures and process reconfiguration. Conclusion: The bibliometric analysis highlights gaps such as the absence of standardized guidelines and the need for clearer standards for PM application. International collaboration remains limited and dispersed, presenting opportunities for stronger global scientific interaction in the future.</t>
  </si>
  <si>
    <t>https://chatgpt.com/share/69e7c4df-5c4c-8327-bac6-d3e438fe3f34</t>
  </si>
  <si>
    <t>Score: 0
Justification:
	•	CI01: not met — the abstract mentions “business processes digitization” and “business process digitization,” but does not explicitly mention Business Process Management or BPM.
	•	CI02: met — explicitly addresses digital transformation and digitization in the context of digital platforms.
	•	CI03: met — explicitly mentions digital technologies, digital platforms, and digital platform capability.
	•	CI04: met — presents an empirical analysis using multiple regression and bootstrapping with survey data from 247 Chinese manufacturing SMEs.
	•	CI05: met — the title and abstract are written in English.
	•	CE01–CE04: no exclusion criterion clearly applies, but the study is excluded because CI01 is not met.</t>
  </si>
  <si>
    <t>Score: 0
Justification:
* **CI01: Not met** — The study does not explicitly mention "Business Process Management" or the acronym "BPM" anywhere in the title or abstract. References to "business process digitization" and "business processes" are generic terms that do not constitute an explicit mention of BPM as a discipline or methodology.
* **CI02: Met** — The abstract explicitly addresses "digital transformation" and "business process digitization" as central outcomes, framing the study within the context of how digital platforms promote organizational digital transformation.
* **CI03: Met** — The study explicitly addresses digital platforms and digital technologies as the core technological context enabling value cocreation and business process digitization, constituting explicit reference to software systems and digital technology application.
* **CI04: Met** — The study employs multiple regression and bootstrapping methods with survey data from 247 Chinese manufacturing SMEs to empirically test a chain mediating model, constituting a robust quantitative empirical analysis.
* **CI05: Met** — The title and abstract are written in English.
* **CE01: Does not apply** — The study is related to digital transformation and technology application in an organizational business context.
* **CE02: Does not apply** — The study is firmly grounded in an organizational and business context, specifically Chinese manufacturing SMEs leveraging digital platforms for value cocreation.
* **CE03: Does not apply** — This is a primary empirical study with original data collection and analysis, not a secondary study.
* **CE04: Does not apply** — The abstract provides sufficient information to assess the nature and scope of the study.
**Reason for Score = 0:** CI01 is not met. The study does not explicitly mention Business Process Management (BPM) or the term "BPM," which is a mandatory inclusion criterion.</t>
  </si>
  <si>
    <t>Huiping, Zhou</t>
  </si>
  <si>
    <t>How Does Value Cocreation Within Digital Platform Affect the Business Processes Digitization of Participating Enterprises? The Chained Mediating Role of Resource Patchwork and Digital Platform Capability</t>
  </si>
  <si>
    <r>
      <rPr>
        <rFont val="Helvetica Neue"/>
        <color rgb="FF1155CC"/>
        <u/>
      </rPr>
      <t>https://ieeexplore.ieee.org/document/10549842/</t>
    </r>
  </si>
  <si>
    <t>11066-11077</t>
  </si>
  <si>
    <t>10.1109/TEM.2024.3409717</t>
  </si>
  <si>
    <t>Digital technologies have changed firms’ innovation logic and value creation mode, how organizations leverage the digital platform to promote value cocreation to promote digital transformation has become increasingly prominent. Based on the perspective of platform participants and the theory of resource orchestration, this article integrates resource and capability view to build a chain mediating model to explore the mechanism of value cocreation influencing participating enterprises’ business process digitization in the context of digital platforms. Then, we use multiple regression and bootstrapping methods with survey data from 247 Chinese manufacturing SMEs to empirically test the proposed model. Our analysis results indicate that 1) value cocreation has a significant positive impact on business process digitization; 2) resource patchwork and digital platform capability play a partial mediating role between value cocreation and business process digitization; 3) there is a chain mediating path of “value cocreation—resource patchwork—digital platform capability—business process digitization.” This study could provide a theoretical basis and practical guidance for organizations to achieve digitization by leveraging the digital platform to facilitate value cocreation.</t>
  </si>
  <si>
    <t>Score: 0
Justification:
	•	CI01: not met — the abstract mentions Process Mining, Process Data Mining, and process-related costing, but does not explicitly mention Business Process Management or BPM.
	•	CI02: met — explicitly addresses digitalization in manufacturing companies, especially the collection of event data.
	•	CI03: met — explicitly mentions Process Mining, Process Data Mining, event data, and data model.
	•	CI04: met — presents a method/data model for using event data to support Time-driven Activity-based Costing.
	•	CI05: met — the title and abstract are written in English.
	•	CE01–CE04: no exclusion criterion clearly applies, but the study is excluded because CI01 is not met.</t>
  </si>
  <si>
    <t>Score: 0
Justification:
* **CI01: Not met** — The study does not explicitly mention "Business Process Management" or the acronym "BPM" anywhere in the title or abstract. References to "Process Mining" and "Process Data Mining" are specific analytical techniques that do not constitute an explicit mention of BPM as a discipline or methodology.
* **CI02: Met** — The abstract explicitly mentions "digitalization in all areas of manufacturing companies" as the enabling context for the proposed approach, directly addressing digitalization as a central driver of the study.
* **CI03: Met** — The study explicitly mentions Process Mining and Process Data Mining as core technologies, along with event data collection and analysis, constituting explicit reference to specific analytical technologies applied in a manufacturing context.
* **CI04: Met** — The study presents a data model and methodology for applying Time-driven Activity-based Costing using Process Data Mining, describing how to collect and evaluate event data for cost calculation, constituting a method proposal with a defined technical framework.
* **CI05: Met** — The title and abstract are written in English.
* **CE01: Does not apply** — The study is related to digitalization and process mining technology in an organizational and manufacturing context.
* **CE02: Does not apply** — The study is set within a clear organizational and business context, specifically manufacturing companies dealing with product costing and operational complexity.
* **CE03: Does not apply** — This is a primary study presenting an original methodology and data model, not a secondary study.
* **CE04: Does not apply** — The abstract provides sufficient information to assess the nature and scope of the study.
**Reason for Score = 0:** CI01 is not met. The study does not explicitly mention Business Process Management (BPM) or the term "BPM," which is a mandatory inclusion criterion.</t>
  </si>
  <si>
    <t>Riesener, Michael; Dölle, Christian; Menges, Alexander; Schuh, Günther</t>
  </si>
  <si>
    <t>2021 IEEE Technology &amp; Engineering Management Conference - Europe (TEMSCON-EUR)</t>
  </si>
  <si>
    <t>Time-driven Activity-based Costing Using Process Data Mining</t>
  </si>
  <si>
    <r>
      <rPr>
        <rFont val="Helvetica Neue"/>
        <color rgb="FF1155CC"/>
        <u/>
      </rPr>
      <t>https://ieeexplore.ieee.org/document/9488654/</t>
    </r>
  </si>
  <si>
    <t>10.1109/TEMSCON-EUR52034.2021.9488654</t>
  </si>
  <si>
    <t>Volatility, uncertainty, complexity and ambiguity are the four aspects that describe today's world in general and the challenges of manufacturing companies in special. Increasing volatility requires fast innovation cycles whereas uncertainty and ambiguity prevent companies from knowing what customers really want. To anticipate eventually upcoming requirements, a vast amount of products and product variants is developed and offered to the market. Due to increasing complexity, the effort, i.e. costs, for product realization rises especially in indirect areas, which cannot be allocated correctly to the causing variants. On the one hand side, this is because of deficits of commonly used cost calculation systems. On the other hand side, it's because of the high effort for introducing and maintaining advanced costing systems, such as Process Cost Calculation or Time-driven Activity-based Costing and, as those are almost interview-based, their low accuracy and timeliness. Digitalization in all areas of manufacturing companies enables the collection of event data, which are already used e.g. by Process Mining. The aim of this paper is to use event data in order to enable a low-effort but increased accurate and timely Time-driven Activity-based Costing by using Process Data Mining. Therefore, the required event data as well as the corresponding data model is presented and it's described how to evaluate the data for Time-driven Activity-based Costing.</t>
  </si>
  <si>
    <t>Score: 0
Justification:
        •        CI01: not met — the abstract mentions Business Process Model and Notation (BPMN) and “Business Process Model,” but does not explicitly mention Business Process Management or BPM. Under your strict criterion, BPMN alone is not enough.
        •        CI02: met — explicitly addresses digitalization in the context of Supply Chain Management 4.0.
        •        CI03: met — explicitly mentions modeling technologies/methods such as BPMN, SCOR, systems modeling, process diagrams, static/dynamic models, message flows, and supply-chain process modeling.
        •        CI04: met — proposes a generic modeling approach and develops a static and dynamic business process model based on SCOR and BPMN.
        •        CI05: met — the title and abstract are written in English.
        •        CE01–CE04: no exclusion criterion clearly applies, but the study is excluded because CI01 is not met.</t>
  </si>
  <si>
    <t>Score: 0
Justification:
* **CI01: Not met** — The study does not explicitly mention "Business Process Management" or the acronym "BPM" anywhere in the title or abstract. The study references "Business Process Model and Notation (BPMN)" as a modeling notation tool, but BPMN stands for Business Process Model and Notation — not Business Process Management — and its use alone does not constitute an explicit mention of BPM as a discipline or methodology.
* **CI02: Met** — The abstract explicitly mentions "digitalization" as one of the environmental factors considered in the modeling approach, directly referencing digitalization as a contextual driver in the Supply Chain Management 4.0 framework.
* **CI03: Not met** — The abstract does not explicitly mention or apply specific technologies such as AI, RPA, process mining, big data, blockchain, IoT, or software systems. BPMN is a modeling notation, not a digital technology in the sense required by CI03, and no concrete enabling technology is named or applied in the study.
* **CI04: Met** — The study develops a static and dynamic business process model for Supply Chain Management 4.0 using BPMN and SCOR, proposing a generic modeling approach with defined structural and behavioral components, constituting a model proposal with methodological grounding.
* **CI05: Met** — The title and abstract are written in English.
* **CE01: Does not apply** — The study is related to process modeling and digitalization in an organizational supply chain context.
* **CE02: Does not apply** — The study is set within a clear organizational and business context, specifically Supply Chain Management in manufacturing planning and operations.
* **CE03: Does not apply** — This is a primary study presenting original model development, not a secondary study.
* **CE04: Does not apply** — The abstract provides sufficient information to assess the nature and scope of the study.
**Reason for Score = 0:** CI01 and CI03 are not met. The study does not explicitly mention BPM or specific digital technologies, both of which are mandatory inclusion criteria.</t>
  </si>
  <si>
    <t>Terrada, Loubna; El Khaili, Mohamed; Elasri, Bensalem; Ouajji, Hassan; Zamma, Abdellah</t>
  </si>
  <si>
    <t>2023 3rd International Conference on Innovative Research in Applied Science, Engineering and Technology (IRASET)</t>
  </si>
  <si>
    <t>Conceptualization and Configuration of a Generic SCM 4.0 Business Process Model Using BPMN Based on SCOR</t>
  </si>
  <si>
    <r>
      <rPr>
        <rFont val="Helvetica Neue"/>
        <color rgb="FF1155CC"/>
        <u/>
      </rPr>
      <t>https://ieeexplore.ieee.org/document/10152964/</t>
    </r>
  </si>
  <si>
    <t>10.1109/IRASET57153.2023.10152964</t>
  </si>
  <si>
    <t>Systems modeling is a crucial step that comes before performance evaluation. Moreover, it allows us to better understand the company's flows, either to help in decision-making or to improve its Manufacturing Planning. In the context of Supply Chain Management 4.0 (SCM 4.0), we have chosen modeling tools that allow us to describe the main processes of the Supply Chain (SC), in order to define the needs in terms of performance evaluation, taking into account the static and dynamic specificities linked to the uncertainty of the environment and the digitalization. In fact, the static model describes structural characteristics whereas the dynamic model describes dynamic behavior. The modeling improvement process requires static and dynamic sub-models developed from identical concepts and whose coherence is ensured by interactions between the two models. In our research work, we propose a Business Process Model and Notation (BPMN) used to convert the natural language of SC processes into process diagrams with graphical elements. We use tasks and sub-processes are used to depict basic SC plans and functions. Sequence flows to connect activities and present the transitions and path of tasks and plans. We also use Gateways to control the convergence and divergence of paths in SC process diagrams. Message flows display information flows and material flows between SC entities as needed. Thus, we develop a static and dynamic model that represents the SC using a generic modeling approach based on Supply Chain Operations Reference (SCOR) and BPMN.</t>
  </si>
  <si>
    <t>Score: 0
Justification:
	•	CI01: not met — the abstract mentions BPMN and a model named “Lumina BPM,” but does not explicitly mention Business Process Management. Under your strict criterion, BPMN or “BPM” as part of a model name is not enough unless it clearly refers to Business Process Management.
	•	CI02: met — explicitly addresses digital transformation and intelligent process management in the electric power industry.
	•	CI03: met — explicitly mentions technologies such as large language models (LLMs), natural language processing, hybrid sparse self-attention, domain language models, executable workflow statements, and BPMN 2.0 diagram generation.
	•	CI04: met — proposes a domain-adapted LLM framework and a specialized model, with experimental results showing transformation of procedural texts into workflow statements and BPMN diagrams.
	•	CI05: met — the title and abstract are written in English.
	•	CE01–CE04: no exclusion criterion clearly applies, but the study is excluded because CI01 is not met.</t>
  </si>
  <si>
    <t>Score: 1
Justification:
* **CI01: Met** — The abstract explicitly references "Lumina BPM" as the specialized model developed in the study, and addresses "intelligent process management" and "BPM" as part of the model's naming and scope, constituting a direct and explicit mention of BPM within the study's core contribution.
* **CI02: Met** — The abstract explicitly states that "understanding and modeling workflows is crucial for advancing digital transformation," directly addressing digital transformation as a central motivating context for the study.
* **CI03: Met** — The study explicitly applies multiple advanced technologies including Large Language Models (LLMs), hybrid sparse self-attention mechanisms, natural language processing (NLP), and BPMN 2.0 diagram generation, constituting explicit reference to specific technologies applied in process modeling.
* **CI04: Met** — The study proposes a domain-adapted LLM framework (Lumina BPM) with a specialized attention mechanism, validated through experimental results demonstrating accurate transformation of procedural texts into executable statements and BPMN 2.0 diagrams, constituting both a model proposal and an empirical evaluation.
* **CI05: Met** — The title and abstract are written in English.
* **CE01: Does not apply** — The study is directly related to BPM, digital transformation, and advanced technologies including LLMs and NLP.
* **CE02: Does not apply** — The study is set within a clear organizational and industrial context, specifically the electric power industry and critical infrastructure domains.
* **CE03: Does not apply** — This is a primary study presenting original model development and experimental validation, not a secondary study.
* **CE04: Does not apply** — The abstract provides detailed and sufficient information to assess relevance with full confidence.</t>
  </si>
  <si>
    <t>Li, Shan; Liu, Zesan; Liu, Xinyi; Chen, Gang; Zhang, Yongjian; Ling, Haojie; Huang, Xing</t>
  </si>
  <si>
    <t>Structured Extraction and BPMN Generation From Chinese Procedural Texts via Hybrid Attention-Based Domain Language Models</t>
  </si>
  <si>
    <r>
      <rPr>
        <rFont val="Helvetica Neue"/>
        <color rgb="FF1155CC"/>
        <u/>
      </rPr>
      <t>https://ieeexplore.ieee.org/document/11170450/</t>
    </r>
  </si>
  <si>
    <t>166241-166253</t>
  </si>
  <si>
    <t>10.1109/ACCESS.2025.3611811</t>
  </si>
  <si>
    <t>Understanding and modeling workflows is crucial for advancing digital transformation and intelligent process management in the electric power industry. While recent progress in large language models (LLMs) has significantly enhanced natural language processing capabilities, data in the power sector presents unique challenges—including complex formatting, limited structured annotations, and extensive use of domain-specific terminology—that hinder the direct application of general-purpose LLMs. Moreover, conventional attention mechanisms often struggle with long procedural texts due to high computational overhead, excessive resource consumption, and unstable global semantic representations, further limiting their effectiveness in power workflow modeling tasks. To address these challenges, this paper proposes a domain-adapted LLM framework tailored for the standardization of electric power workflows and introduces a specialized model, Lumina BPM, designed for this task. The model incorporates a hybrid sparse self-attention mechanism that retains attention on initial tokens and dynamically selects the most relevant historical tokens based on query context. This design reduces the need to compute full-sequence dense attention matrices, thereby lowering computational costs while improving the model’s ability to capture critical information from lengthy and complex process descriptions. Experimental results show that Lumina BPM accurately transforms standardized procedural texts into executable piperflow statements and generates corresponding BPMN 2.0 diagrams. The proposed approach significantly improves both the accuracy and interpretability of workflow modeling, offering a practical pathway toward intelligent process standardization in critical infrastructure domains.</t>
  </si>
  <si>
    <t>Score: 0
Justification:
	•	CI01: not met — the abstract uses “BPM” to mean Business Performance Management, not Business Process Management. It does not explicitly mention Business Process Management.
	•	CI02: not clearly met — the abstract discusses real-time KPI updating, monitoring, and SCM software, but does not clearly mention digital transformation, digitalization, or digital innovation.
	•	CI03: met — explicitly mentions SCM software, real-time updating and monitoring of KPIs, and performance management tools.
	•	CI04: met — presents a case study, a proposed approach, and a framework for sustainable performance management.
	•	CI05: met — the title and abstract are written in English.
	•	CE01–CE04: no exclusion criterion clearly applies, but the study is excluded because CI01 is not met and CI02 is not clearly supported.</t>
  </si>
  <si>
    <t>Score: 0
Justification:
* **CI01: Not met** — Although the abstract uses the acronym "BPM," it explicitly defines it as "business performance management," not "Business Process Management." These are distinct disciplines, and the criterion requires an explicit mention of Business Process Management (BPM) as defined in the research topic. The use of "BPM" to mean a different concept does not satisfy CI01.
* **CI02: Not met** — The abstract does not explicitly mention "digital transformation," "digitalization," or "digital innovation." The reference to SCM software and real-time KPI monitoring describes a software implementation context but does not address digital transformation as an organizational concept.
* **CI03: Met** — The study explicitly references supply chain management (SCM) software as the platform into which KPI monitoring is integrated, constituting an explicit mention of a software system applied in an organizational context.
* **CI04: Met** — The study presents a case study of a novel approach to KPI updating and monitoring in a furniture firm, including framework development, KPI weight alignment, and performance management improvement, constituting an applied empirical case study.
* **CI05: Met** — The title and abstract are written in English.
* **CE01: Does not apply** — The study is related to performance management and software systems in an organizational business context.
* **CE02: Does not apply** — The study is set within a clear organizational and business context, specifically a furniture firm's supply chain management operations.
* **CE03: Does not apply** — This is a primary study presenting original case study research, not a secondary study.
* **CE04: Does not apply** — The abstract provides sufficient information to assess the nature and scope of the study.
**Reason for Score = 0:** CI01 and CI02 are not met. The study uses "BPM" to refer to business performance management (not Business Process Management), and does not address digital transformation, both of which are mandatory inclusion criteria.</t>
  </si>
  <si>
    <t>Yurtay, Yüksel; Yurtay, Nilüfer; Demirci, Hüseyin; Zaimoglu, Esin Ayse; Göksu, Alper</t>
  </si>
  <si>
    <t>Improvement and Implementation of Sustainable Key Performance Indicators in Supply Chain Management: The Case of a Furniture Firm</t>
  </si>
  <si>
    <r>
      <rPr>
        <rFont val="Helvetica Neue"/>
        <color rgb="FF1155CC"/>
        <u/>
      </rPr>
      <t>https://ieeexplore.ieee.org/document/10109804/</t>
    </r>
  </si>
  <si>
    <t>41913-41927</t>
  </si>
  <si>
    <t>10.1109/ACCESS.2023.3271138</t>
  </si>
  <si>
    <t>Businesses today recognize the importance of business performance management (BPM) as an effective business strategy and practical solution to a robust supply chain management process. At the same time, businesses seek to deepen their footprints in global markets, to actively use critical metrics, KPIs (Key Performance Indicators), in business performance management, to make performance management compatible with strategic goals, up-to-date and sustainable. KPIs are priority indicators determined to achieve the strategic objectives of the enterprise. Updating the KPIs used to measure, monitor and analyze business performance also has a critical place in performance management. This article presents a case study of a novel approach to real-time updating and monitoring KPIs integrated into supply chain management (SCM) software. The proposed approach bridges the gap between measuring and implementing business performance. The study analyzes and aligns the relationships of duplicate KPIs. It systematically carries out the KPI weights of the managers in line with the strategic goals and improves performance management by eliminating the weakness in the KPI change. It also provides a framework for sustainable performance management and discusses the case study with implications of KPIs that affect performance management success.</t>
  </si>
  <si>
    <t>Human</t>
  </si>
  <si>
    <t>Abstract format</t>
  </si>
  <si>
    <t>Score: 0
Justification:
	•	CI01: not met — Although the abstract mentions “BPM”, it refers to bonded particle model, not Business Process Management. There is no explicit mention of Business Process Management.
	•	CI02: not met — The study does not address digital transformation, digitalization, or digital innovation. It focuses on crack development in rock-like specimens.
	•	CI03: met — The abstract explicitly mentions technologies/methods such as “3D printing technology”, “digital image correlation (DIC)” and “bonded particle model (BPM)”.
	•	CI04: met — The study presents an empirical/computational analysis of failure patterns in rock-like specimens using DIC and BPM displacement vectors.
	•	CI05: met — The title and abstract are written in English.
	•	CE01–CE04: CE01 applies — The study is unrelated to Business Process Management and digital transformation. It belongs to geotechnical/materials engineering, not BPM in an organizational/business context. CE02 also applies, because it is not related to an organizational or business context.</t>
  </si>
  <si>
    <t>**Score: 0**
**Justification:**
* **CI01: Not met** — The term "BPM" appears in the abstract, but it refers to "Bonded Particle Model," a geomechanical simulation method, not Business Process Management. There is no mention of BPM in the organizational or process management sense.
* **CI02: Not met** — The study makes no reference to digital transformation, digitalization, or digital innovation. The focus is entirely on rock mechanics and fracture behavior.
* **CI03: Not met** — While 3D printing and Digital Image Correlation (DIC) are mentioned, these are applied in a materials/geotechnical engineering context. None of the technologies relevant to this research topic (AI, RPA, process mining, big data, blockchain, IoT, or enterprise software systems) are present.
* **CI04: Not met** — Although the study presents an empirical analysis, it is conducted in the domain of geotechnical/rock mechanics engineering, with no connection to organizational processes or digital transformation.
* **CI05: Met** — The text is written in English.
* **CE01: Applies** — The study is entirely unrelated to Business Process Management, digital transformation, or the technologies associated with those fields. It addresses crack propagation and failure patterns in rock-like specimens.
* **CE02: Applies** — The study has no organizational or business context. It is a materials science / geomechanics study focused on physical specimens and structural failure.
* **CE03: Does not apply** — This is a primary empirical study.
* **CE04: Does not apply** — There is sufficient information in the title and abstract to assess relevance (and clearly exclude it).
---
**Summary:** This study is unequivocally outside the scope of the research topic. The superficial appearance of the acronym "BPM" is misleading — it denotes "Bonded Particle Model," not Business Process Management. Multiple inclusion criteria are unmet and two exclusion criteria apply.</t>
  </si>
  <si>
    <t>Sharafisafa, Mansour; Aliabadian, Zeinab; Tahmasebinia, Faham; Shen, Luming</t>
  </si>
  <si>
    <t>A comparative study on the crack development in rock-like specimens containing unfilled and filled flaws</t>
  </si>
  <si>
    <r>
      <rPr>
        <rFont val="Helvetica Neue"/>
        <color rgb="FF1155CC"/>
        <u/>
      </rPr>
      <t>https://www.sciencedirect.com/science/article/pii/S0013794420309826</t>
    </r>
  </si>
  <si>
    <t>Rock masses consist of various discontinuities that significantly affect the crack development patterns which dominates the ultimate failure of geostructures. The interaction of the pre-existing flaws with each other and with the newly formed cracks is complicated and demands a comprehensive investigation. This paper couples the 3D printing technology with the digital image correlation (DIC) and the bonded particle model (BPM) to study failure of rock-like specimens with pre-existing flaws. Systematic flaws configurations are considered including single, coplanar, partially overlapped and fully overlapped arrangements. The flaws are considered to be unfilled and filled with a weak material. The DIC strain and BPM displacement vectors analysis indicate the strong effects of the filling material on the deformation behaviour of the 3D printed specimens. The failure pattern of the single filled flaws is transformation from compressive failure (0°) to shear failure (15°–60°) and to tensile failure (75°–90°). However, in the coplanar flaws failure is transformation from compressive (0°) to mixed-mode compressive shear (15°-30°), then to shear (45°), to mixed-mode tensile-shear (60°–75°) and then to pure tensile (90°). However, the partially coplanar filled flaws all (except 0° which is compressive failure) exhibit mixed-mode failure in the order of compressive-shear (15°–30°) and transformation to the tensile-shear (45°–90°). BPM displacement vectors revealed five crack types in the specimens by the analysis of the relative movement of the vectors in some critical locations such as flaws tips, rock bridge and coalescence zone. Moreover, a new coalescence type was identified in the 15° flaw (either unfilled or filed) which is named Type X and is a mixed-mode shear tensile crack with a coplanar secondary shear crack. Furthermore, it is observed that the peak load of the filled specimens are much higher than that of the unfilled ones because the filling material requires extra energy to fracture and thus the filled specimens can carry larger load before fail.</t>
  </si>
  <si>
    <t>10.1016/j.engfracmech.2020.107405</t>
  </si>
  <si>
    <t>Score: 1
Justification:
	•	CI01: met — The abstract explicitly mentions “Business process management”, “BPM”, “digitalization of BPM”, “BPM life-cycle” and “intelligent business process management framework”.
	•	CI02: met — The study explicitly addresses digitalization and digital transformation: “the digitalization era” and “in order to be a part of this digital transformation”.
	•	CI03: met — The abstract mentions technologies/technical approaches such as “knowledge-intensive systems”, “intelligent agent technologies”, “agent-oriented software engineering”, “agent-based process execution environment” and “context awareness”.
	•	CI04: met — The study proposes an “adaptive business process management framework”, called “agileBPM”, including a modeling methodology, execution environment and experimental/comparative evaluations.
	•	CI05: met — The title and abstract are written in English.
	•	CE01–CE04: none apply — The study is directly related to BPM, digital transformation/digitalization, technologies, and an organizational/business context. It is not presented as a secondary study.</t>
  </si>
  <si>
    <t>**Score: 1**
**Justification:**
* **CI01: Met** — Business Process Management and the term "BPM" are explicitly and repeatedly mentioned throughout the abstract (e.g., "Business process management has been the driving force of optimization," "digitalization of BPM itself," "agileBPM...governs the entire BPM life-cycle").
* **CI02: Met** — Digital transformation and digitalization are explicitly addressed: "the digitalization era we have been experiencing requires businesses to be agile," "to be a part of this digital transformation, delivering new levels of automation-fueled agility through digitalization of BPM itself is required."
* **CI03: Met** — The study explicitly applies intelligent agent technologies, knowledge-intensive systems, and agent-oriented software engineering, all of which qualify as software/AI-related technologies within the scope of the criterion.
* **CI04: Met** — The study proposes a concrete framework ("agileBPM"), a modeling methodology, and an agent-based process execution environment, validated through experimental studies and comparative evaluations.
* **CI05: Met** — The study is written in English.
* **CE01: Does not apply** — The study is directly and centrally related to BPM, digital transformation, and enabling technologies.
* **CE02: Does not apply** — The study is explicitly set in an organizational and business context, addressing corporate strategies, enterprise environments, and business process execution.
* **CE03: Does not apply** — This is a primary study proposing an original framework with experimental validation, not a secondary review.
* **CE04: Does not apply** — The title and abstract provide sufficient and clear information to fully assess relevance.
---
**Summary:** All five inclusion criteria are clearly met with explicit textual evidence, and no exclusion criteria apply. This study is a strong candidate for inclusion.</t>
  </si>
  <si>
    <t>Kir, Huseyin; Erdogan, Nadia</t>
  </si>
  <si>
    <t>A knowledge-intensive adaptive business process management framework</t>
  </si>
  <si>
    <r>
      <rPr>
        <rFont val="Helvetica Neue"/>
        <color rgb="FF1155CC"/>
        <u/>
      </rPr>
      <t>https://www.sciencedirect.com/science/article/pii/S030643792030106X</t>
    </r>
  </si>
  <si>
    <t>Business process management has been the driving force of optimization and operational efficiency for companies until now, but the digitalization era we have been experiencing requires businesses to be agile and responsive as well. In order to be a part of this digital transformation, delivering new levels of automation-fueled agility through digitalization of BPM itself is required. However, the automation of BPM cannot be achieved by solely focusing on process space and classical planning techniques. It requires a holistic approach that also captures the social aspects of the business environment, such as corporate strategies, organization policies, negotiations, and cooperation. For this purpose, we combine BPM, knowledge-intensive systems and intelligent agent technologies, and yield one consolidated intelligent business process management framework, namely agileBPM, that governs the entire BPM life-cycle. Accordingly, agileBPM proposes a modeling methodology to semantically capture the business interests, enterprise environment and process space in accordance with the agent-oriented software engineering paradigm. The proposed agent-based process execution environment provides cognitive capabilities (such as goal-driven planning, norm compliance, knowledge-driven actions, and dynamic cooperation) on top of the developed business models to support knowledge workers’ multi-criteria decision making tasks. The context awareness and exception handling capabilities of the proposed approach have been presented with experimental studies. Through comparative evaluations, it is shown that agileBPM is the most comprehensive knowledge-intensive process management solution.</t>
  </si>
  <si>
    <r>
      <rPr>
        <rFont val="Helvetica Neue"/>
      </rPr>
      <t>10.1016/</t>
    </r>
    <r>
      <rPr>
        <rFont val="Helvetica Neue"/>
        <color rgb="FF1155CC"/>
        <u/>
      </rPr>
      <t>j.is</t>
    </r>
    <r>
      <rPr>
        <rFont val="Helvetica Neue"/>
      </rPr>
      <t>.2020.101639</t>
    </r>
  </si>
  <si>
    <t>Score: 0
Justification:
	•	CI01: met — The abstract explicitly mentions “Business Process Management (BPM)” and “BPM techniques”.
	•	CI02: not met — The abstract discusses AI regulation and compliance, but does not clearly address digital transformation, digitalization, or digital innovation.
	•	CI03: met — The study explicitly mentions “AI systems” and the “Artificial Intelligence Act”.
	•	CI04: met — The study presents a “methodology” for AI system compliance and illustrates it with a “judicial case study”.
	•	CI05: met — The title and abstract are written in English.
	•	CE01–CE04: CE01 applies partially — The study is related to BPM and technology, but it does not clearly fit the full research topic because digital transformation/digitalization/digital innovation is not explicitly supported in the title or abstract. No evidence of CE02, CE03 or CE04.</t>
  </si>
  <si>
    <t>**Score: 0**
**Justification:**
* **CI01: Met** — Business Process Management and "BPM" are explicitly mentioned: "we present a theoretical approach for ensuring AI system compliance through Business Process Management (BPM) techniques," and "it identifies the BPM methods required to develop AI systems that meet the AI Act's standards."
* **CI02: Not met** — The abstract does not explicitly mention digital transformation, digitalization, or digital innovation. While the AI Act is described as "transforming the adoption of AI systems across Europe," this refers to regulatory transformation, not digital transformation in the organizational or technological sense. Applying the strict evidence-based rule, this criterion cannot be considered met.
* **CI03: Met** — Artificial Intelligence (AI) is the central technology discussed throughout the abstract, explicitly applied in the context of compliance methodology and business process integration.
* **CI04: Met** — The study presents an original methodology ("Artificial Intelligence Methodology — AIM"), illustrated through a judicial case study, designed to guide the integration of BPM into AI system compliance processes.
* **CI05: Met** — The study is written in English.
* **CE01: Does not apply** — The study is related to both BPM and AI technologies, even if digital transformation is not explicitly addressed.
* **CE02: Does not apply** — The study targets business processes and organizational contexts, including legal practitioners and enterprises operating under EU regulation.
* **CE03: Does not apply** — This is a primary study proposing an original methodology, not a literature review or mapping study.
* **CE04: Does not apply** — The title and abstract provide sufficient information to assess relevance.
---
**Summary:** The study narrowly fails inclusion due to the absence of explicit evidence for CI02. Digital transformation, digitalization, or digital innovation are not mentioned in either the title or abstract. Per the evaluation rules, missing criteria cannot be compensated by others, and when in doubt, Score = 0 applies.</t>
  </si>
  <si>
    <t>Amantea, Ilaria Angela; Governatori, Guido; Quaranta, Marinella; Molinari, Marianna</t>
  </si>
  <si>
    <t>A methodology for compliance of AI systems</t>
  </si>
  <si>
    <r>
      <rPr>
        <rFont val="Helvetica Neue"/>
        <color rgb="FF1155CC"/>
        <u/>
      </rPr>
      <t>https://www.sciencedirect.com/science/article/pii/S2212473X26000131</t>
    </r>
  </si>
  <si>
    <t>The Artificial Intelligence Act (AI Act) is a regulatory framework transforming the adoption of AI systems across Europe. It establishes requirements for AI systems intended for use within the EU, with non-compliant systems facing fines or exclusion from the EU market. In this paper, we present a theoretical approach for ensuring AI system compliance through Business Process Management (BPM) techniques. Our methodology has two key aspects: it outlines how to integrate BPM into processes involving AI systems, and it identifies the BPM methods required to develop AI systems that meet the AI Act’s standards. To illustrate the application of each step, we use a judicial case study, although the methodology itself is not limited to any specific field. The Artificial Intelligence Methodology (AIM) is designed to be flexible and applicable across various domains, supporting the development and use of AI systems to enhance business processes or to execute individual components or tasks within those processes. The methodology has been conceived to be accessible to legal practitioners. Developed in collaboration with computer scientists, it aims to ensure compliance while remaining usable by legal professionals without the need for prior technical expertise.</t>
  </si>
  <si>
    <t>10.1016/j.clsr.2026.106272</t>
  </si>
  <si>
    <t>Score: 1
Justification:
	•	CI01: met — The abstract explicitly mentions “business process management (BPM)”.
	•	CI02: met — The abstract explicitly mentions “digital transformation” twice, including “with the rise of sustainability considerations and digital transformation” and “to meet the requirements of digital transformation”.
	•	CI03: met — The study mentions technology-related elements such as “Industrial Informational Integration (III)”, “information integration”, “centralized resource management system” and “computer-based conceptual solutions”.
	•	CI04: met — The study proposes an “integrated methodological framework” for the resource allocation/resource assignment process and analyzes existing approaches.
	•	CI05: met — The title and abstract are written in English.
	•	CE01–CE04: none apply — The study is related to BPM, digital transformation, technology/information integration, and an organizational/industrial business context. It is not explicitly presented as a secondary study, despite analyzing existing approaches, because it also proposes a framework and conceptual solutions.</t>
  </si>
  <si>
    <t>**Score: 1**
**Justification:**
* **CI01: Met** — Business Process Management and "BPM" are explicitly mentioned: "we assume III as a driving tool for increasing the accuracy of business process management (BPM) on the example of the resource allocation problem (RAP)."
* **CI02: Met** — Digital transformation is explicitly referenced twice: "With the rise of sustainability considerations and digital transformation, classical approaches to industrial management should be transformed" and "To meet the requirements of digital transformation, some computer-based conceptual solutions for RAP are proposed."
* **CI03: Met** — The study explicitly proposes "computer-based conceptual solutions" and is centered on Industrial Information Integration (III) as a technology-driven paradigm, with references to a "centralized resource management system" and information systems — qualifying under the "software systems" category within the criterion.
* **CI04: Met** — The study proposes "an integrated methodological framework for the resource assignment process," combining multiple management, planning, and control tools with resource allocation methods, constituting an original framework contribution.
* **CI05: Met** — The study is written in English.
* **CE01: Does not apply** — The study is directly related to BPM, digital transformation, and technology-driven approaches.
* **CE02: Does not apply** — The study is set in an explicitly industrial and multi-project business management context, addressing corporate goals, operational excellence, and strategic planning.
* **CE03: Does not apply** — While the study reviews existing approaches, it goes beyond secondary analysis by proposing original frameworks and solutions. It is a primary contribution, not a systematic review or mapping study.
* **CE04: Does not apply** — The abstract provides sufficient detail to assess relevance across all criteria.
---
**Summary:** All five inclusion criteria are clearly met with explicit textual evidence, and no exclusion criteria apply. This study is a strong candidate for inclusion.</t>
  </si>
  <si>
    <t>Strimovskaya, Anna; Barykin, Sergey</t>
  </si>
  <si>
    <t>A multidimensional approach to the resource allocation problem (RAP) through the prism of industrial information integration (III)</t>
  </si>
  <si>
    <r>
      <rPr>
        <rFont val="Helvetica Neue"/>
        <color rgb="FF1155CC"/>
        <u/>
      </rPr>
      <t>https://www.sciencedirect.com/science/article/pii/S2452414X23000468</t>
    </r>
  </si>
  <si>
    <t>The problem of resource allocation has been studied by applying diversified models and methods. There are efficient approaches to solving this task based on mathematical modeling, experts’ assessment, optimization methods, and others. However, the development of the modern world emphasizes the need of applying a new paradigm to deal with traditional problems. Industrial Informational Integration (III) as a new subject claims a multidimensional approach to achieve the company's goals in a volatile, uncertain, complex, and ambiguous (VUCA) environment. Today managers have to make faster decisions and revise them as quickly as possible. With the rise of sustainability considerations and digital transformation, classical approaches to industrial management should be transformed. In this article, we assume III as a driving tool for increasing the accuracy of business process management (BPM) on the example of the resource allocation problem (RAP). Our research considers the dissonance problem of local optimum different from overall system target goals within a multi-project industrial environment. This paper seeks to bring the discussion forward by analyzing the existing approaches and designing the integrated methodological framework for the resource assignment process relevant to a centralized resource management system. We have a broad view of resource allocation to the applicants through the prism of information integration, including sustainable development, systems performance improvement, and strategic goals achievement. The research article integrates several management, planning, and control tools with resource allocation methods. In the first step, we investigated diversified approaches towards the RAP for the multi-project economic environment and then proposed revised solutions combined with advanced managerial techniques. To meet the requirements of digital transformation, some computer-based conceptual solutions for RAP are proposed. The purpose of the present study is to contribute to the research field by claiming that the RAP can be solved within the information-integrated framework containing alternatives and limitations of each method to achieve many combinations reflecting to particular system requirements and target goals. To this extent, the RAP relies on efficient integration opportunities within an industrial multi-project system enabling transparent strategic goals transfer, cooperation, and operational excellence with a high service level provided.</t>
  </si>
  <si>
    <t>10.1016/j.jii.2023.100473</t>
  </si>
  <si>
    <t>Score: 0
Justification:
	•	CI01: not met — There is no mention of Business Process Management or BPM.
	•	CI02: not met — The abstract does not address digital transformation, digitalization, or digital innovation.
	•	CI03: met — The study explicitly mentions technologies such as “piezoelectric and photoplethysmographic sensors”, “LabView programming”, and a monitoring system.
	•	CI04: met — The study presents and validates an application/system for heart rate and blood pressure monitoring using measurements from 15 volunteers.
	•	CI05: met — The title and abstract are written in English.
	•	CE01–CE04: CE01 applies — The study is unrelated to BPM and digital transformation. CE02 also applies, because it is focused on biomedical sensor monitoring and not on an organizational or business context.</t>
  </si>
  <si>
    <t>**Score: 0**
**Justification:**
* **CI01: Not met** — Neither "Business Process Management" nor "BPM" appears in the title or abstract. The study concerns biomedical signal acquisition and processing.
* **CI02: Not met** — No mention of digital transformation, digitalization, or digital innovation anywhere in the text.
* **CI03: Not met** — The technologies mentioned (PZT piezoelectric sensors, PPG sensors, LabView software) belong to the biomedical instrumentation domain and bear no relation to the technologies referenced in this criterion (AI, RPA, process mining, big data, blockchain, IoT, or enterprise software systems).
* **CI04: Not met** — An empirical study is conducted, but entirely within a biomedical engineering context. In the absence of any connection to BPM or digital transformation, this cannot satisfy the criterion.
* **CI05: Met** — The study is written in English.
* **CE01: Applies** — The study is wholly unrelated to BPM, digital transformation, or the associated technologies. It investigates non-invasive physiological measurement using sensors.
* **CE02: Applies** — There is no organizational or business context. The study involves measurements taken on 15 human volunteers in an engineering/clinical setting.
* **CE03: Does not apply** — This is a primary empirical study.
* **CE04: Does not apply** — The title and abstract provide sufficient information to clearly assess and exclude this study.
---
**Summary:** This is a biomedical engineering study on heart rate and blood pressure monitoring. It has no connection to the research topic and is excluded on multiple grounds.</t>
  </si>
  <si>
    <t>Samartkit, Piyawat; Pullteap, Saroj; Bernal, Olivier</t>
  </si>
  <si>
    <t>A non-invasive heart rate and blood pressure monitoring system using piezoelectric and photoplethysmographic sensors</t>
  </si>
  <si>
    <r>
      <rPr>
        <rFont val="Helvetica Neue"/>
        <color rgb="FF1155CC"/>
        <u/>
      </rPr>
      <t>https://www.sciencedirect.com/science/article/pii/S0263224122004638</t>
    </r>
  </si>
  <si>
    <t>In this work, a non-invasive heart rate (HR) and blood pressure (BP) monitoring system using a lead zirconate titanate (PZT) piezoelectric and photoplethysmographic (PPG) sensor has, preliminarily, been investigated. A modified pulse transit time (MPTT) is applied to demodulate HR, systolic blood pressure (SBP), and diastolic blood pressure (DBP) from obtained BP waveforms. In addition, an engineering application software written by LabView programming is, also, developed for dynamic signal monitoring and processing of desired parameters. Consequently, HR and BP measurements on 15 volunteers are performed and validated against a reference digital sphygmomanometer. The results show equivalent HR from both sensors with a mean absolute difference (MAD) of 1.78 beats per minute. Meanwhile, MADs of SBP and DBP measurements are 2.62 and 1.36 mmHg, complying with AAMI-BHS accuracy of “Grade A”, respectively. Therefore, PZT and PPG-based monitoring system could lead to development of accurate, non-invasive, and low-cost HR and BP devices.</t>
  </si>
  <si>
    <t>10.1016/j.measurement.2022.111211</t>
  </si>
  <si>
    <t>Score: 1
Justification:
	•	CI01: met — The abstract explicitly mentions “business process management (BPM)” and investigates “the interplay between business process management (BPM) and DI”.
	•	CI02: met — The study explicitly addresses “digital innovation (DI)” and “digital process innovation (DPI)”.
	•	CI03: met — The abstract mentions technology-related concepts through “digital innovation”, the “technology–organization–environment (TOE) framework”, and “digital process innovation”.
	•	CI04: met — The study presents a mixed-methods empirical analysis using “an international survey” and “an expert panel”, and extends the TOE framework with a readiness matrix.
	•	CI05: met — The title and abstract are written in English.
	•	CE01–CE04: none apply — The study is directly related to BPM, digital innovation, technology, and an organizational/business context. It is not a secondary study.</t>
  </si>
  <si>
    <t>**Score: 0**
**Justification:**
* **CI01: Met** — Business Process Management and "BPM" are explicitly mentioned: "the interplay between business process management (BPM) and DI has been underdeveloped."
* **CI02: Met** — Digital innovation is the central construct of the study: "organizations looking for digital innovation (DI) to apply to their business processes." Digital process innovation (DPI) is also referenced.
* **CI03: Not met** — While the study is broadly oriented toward digital innovation and references the technology–organization–environment (TOE) framework, no specific technology is explicitly mentioned or applied in the abstract. None of the technologies listed in the criterion (AI, RPA, process mining, big data, blockchain, IoT, or software systems) appear by name. Per the strict evidence-based rule, this criterion cannot be considered met based solely on the title and abstract.
* **CI04: Met** — The study employs a mixed-methods design combining an international survey and an expert panel, extends the TOE framework, and produces a readiness matrix — constituting both empirical analysis and model contribution.
* **CI05: Met** — The study is written in English.
* **CE01: Does not apply** — The study is directly about BPM and digital innovation.
* **CE02: Does not apply** — The study is explicitly set in an organizational and business context, examining strategic decision-making and organizational readiness.
* **CE03: Does not apply** — This is a primary empirical study using mixed methods (survey + expert panel), not a secondary review.
* **CE04: Does not apply** — The abstract provides sufficient information for assessment.
---
**Summary:** The study fails inclusion on CI03 due to the absence of any explicitly named technology in the title or abstract. Although the topic is closely aligned with the research area, the strict rule — "if a criterion is not clearly supported, consider it as NOT met" — requires a Score of 0.</t>
  </si>
  <si>
    <t>Van Looy, Amy</t>
  </si>
  <si>
    <t>A quantitative and qualitative study of the link between business process management and digital innovation</t>
  </si>
  <si>
    <r>
      <rPr>
        <rFont val="Helvetica Neue"/>
        <color rgb="FF1155CC"/>
        <u/>
      </rPr>
      <t>https://www.sciencedirect.com/science/article/pii/S0378720620303517</t>
    </r>
  </si>
  <si>
    <t>The information revolution leaves its mark on businesses, resulting in organizations looking for digital innovation (DI) to apply to their business processes and anticipate competitors. Since the interplay between business process management (BPM) and DI has been underdeveloped, this mixed-methods article investigates the strength and nature of the relationship. We supplement the findings of an international survey (stage 1) with explanations from an expert panel (stage 2) to generalize a positive yet moderate link because of manifold contextual factors affecting strategic decision-making. We extend the technology–organization–environment (TOE) framework and profile organizations along their digital process innovation (DPI) mastery in a readiness matrix.</t>
  </si>
  <si>
    <t>10.1016/j.im.2020.103413</t>
  </si>
  <si>
    <t>Score: 0
Justification:
	•	CI01: not met — The abstract mentions “business process automations”, but does not explicitly mention Business Process Management or BPM.
	•	CI02: met — The title refers to “the digital era”, and the abstract addresses AI use in advertising/copywriting, which is related to digital innovation in business communication processes.
	•	CI03: met — The study explicitly mentions “AI-generated content”, “human-generated content”, “AI technology” and “AI implementation”.
	•	CI04: met — The study presents an empirical analysis using a sample of 222 participants and Mann-Whitney analysis in SPSS 29.
	•	CI05: met — The title and abstract are written in English.
	•	CE01–CE04: CE01 applies partially — The study is related to technology and digital business processes, but it does not meet the core BPM requirement because Business Process Management/BPM is not explicitly mentioned. No evidence of CE02, CE03 or CE04.</t>
  </si>
  <si>
    <t>**Score: 0**
**Justification:**
* **CI01: Not met** — Neither "Business Process Management" nor the acronym "BPM" appears in the title or abstract. The phrase "business process automations" appears once as a peripheral implication of the findings, not as a central concept or focus of the study. This isolated and incidental reference does not satisfy the criterion.
* **CI02: Not met** — The title refers to the "digital era," but this is not equivalent to digital transformation, digitalization, or digital innovation as defined by the criterion. None of these terms appear explicitly in the abstract. The study's core focus is consumer emotional response to AI-generated advertising content.
* **CI03: Met** — Artificial Intelligence (AI) is the central technology examined throughout the study, explicitly referenced in the context of advertising content generation, business applications, and consumer trust.
* **CI04: Met** — The study presents an empirical analysis: a Mann-Whitney test applied to a sample of 222 participants across two experimental conditions, with multiple control variables and affective constructs.
* **CI05: Met** — The study is written in English.
* **CE01: Partially applies** — While AI technology is present, the study is not related to BPM or digital transformation in any substantive way. Its primary domain is consumer psychology and advertising communication.
* **CE02: Does not apply** — The study has a business-adjacent context (advertising, copywriting, firm communication), though it is consumer-focused rather than organizationally focused.
* **CE03: Does not apply** — This is a primary empirical study.
* **CE04: Does not apply** — The abstract provides sufficient information for evaluation.
---
**Summary:** The study fails on CI01 and CI02, both of which are unmet. The mention of "business process automations" is an incidental side remark, not substantive engagement with BPM. The study is primarily a consumer behavior/advertising research piece and falls outside the scope of the research topic.</t>
  </si>
  <si>
    <t>Sallaku, Karolina; Macca, Luca Simone; Santoro, Gabriele; Thu Phan, Trang</t>
  </si>
  <si>
    <t>Advertising in the digital era: Can AI evoke emotions like humans?</t>
  </si>
  <si>
    <r>
      <rPr>
        <rFont val="Helvetica Neue"/>
        <color rgb="FF1155CC"/>
        <u/>
      </rPr>
      <t>https://www.sciencedirect.com/science/article/pii/S1463715424000335</t>
    </r>
  </si>
  <si>
    <t>1785-1811</t>
  </si>
  <si>
    <t>Purpose This study investigates the variations in consumers’ affective responses to AI-generated versus human-generated content in a firm’s advertising copywriting, analysing emotional reactions to short-form promotional text across three affective dimensions—Pleasure, Arousal, and Dominance—from the PAD emotional model. Design/methodology/approach A Mann-Whitney analysis on SPSS 29 is conducted to assess group differences on a sample of 222 participants randomly assigned to one of two experimental conditions. The analysis evaluates group variances across emotional constructs alongside three control variables: AI Encounter, AI recognition and AI trust. Findings The results indicate no significant differences among groups regarding the main emotional dimensions, suggesting relevant implications for AI integration in business process automations. However, trust and familiarity with AI technology influence consumers’ responses differently across conditions. Originality/value This study sheds light on new business opportunities for enhancing creative communication processes with AI implementation, providing practitioners with relevant insights to improve advertising and copywriting by collaboratively using AI in crafting emotionally engaging advertisements for effective communication strategies.</t>
  </si>
  <si>
    <t>10.1108/BPMJ-07-2024-0637</t>
  </si>
  <si>
    <t>Score: 1
Justification:
	•	CI01: met — The abstract explicitly mentions “Business Process Management (BPM)” and business processes “BPs”.
	•	CI02: met — The abstract explicitly situates the study in the context of “digital transformation”.
	•	CI03: met — The study explicitly mentions technologies and techniques such as “information systems”, “Process Mining (PM)”, “event log”, “machine learning techniques” and “text analysis”.
	•	CI04: met — The study proposes a “novel approach” for analyzing business process execution complexity and applies it to the “IT ticket handling process” of an academic institution.
	•	CI05: met — The title and abstract are written in English.
	•	CE01–CE04: none apply — The study is clearly related to BPM, digital transformation, technologies, and an organizational process context. It is not a secondary study and provides enough information for assessment.</t>
  </si>
  <si>
    <t>**Score: 1**
**Justification:**
* **CI01: Met** — Business Process Management and "BPM" are explicitly mentioned: "posing new challenges for BP complexity analysis in Business Process Management (BPM)."
* **CI02: Met** — Digital transformation is explicitly referenced at the outset: "With the advent of digital transformation, organizations increasingly rely on various information systems to support their business processes."
* **CI03: Met** — Process Mining (PM) is explicitly named and applied as a central technology. Machine learning techniques are also employed for complexity prediction. Both fall squarely within the technologies referenced by this criterion.
* **CI04: Met** — The study proposes "a novel approach for analyzing BP execution complexity," incorporating linguistic features, machine learning, and correlation analysis, applied empirically to an IT ticket handling process in an academic institution's IT department.
* **CI05: Met** — The study is written in English.
* **CE01: Does not apply** — The study is directly and substantially related to BPM, digital transformation, and enabling technologies (process mining, machine learning).
* **CE02: Does not apply** — The study is set in an explicit organizational context, applied to real business processes within an institutional IT department.
* **CE03: Does not apply** — This is a primary study proposing and validating an original approach, not a secondary review.
* **CE04: Does not apply** — The title and abstract provide rich and sufficient information for full assessment.
---
**Summary:** All five inclusion criteria are clearly and explicitly met, and no exclusion criteria apply. This is a strong candidate for inclusion.</t>
  </si>
  <si>
    <t>Revina, Aleksandra; Aksu, Ünal</t>
  </si>
  <si>
    <t>An approach for analyzing business process execution complexity based on textual data and event log</t>
  </si>
  <si>
    <r>
      <rPr>
        <rFont val="Helvetica Neue"/>
        <color rgb="FF1155CC"/>
        <u/>
      </rPr>
      <t>https://www.sciencedirect.com/science/article/pii/S0306437923000200</t>
    </r>
  </si>
  <si>
    <t>With the advent of digital transformation, organizations increasingly rely on various information systems to support their business processes (BPs). Recorded data, including textual data and event log, expand exponentially, complicating decision-making and posing new challenges for BP complexity analysis in Business Process Management (BPM). Herein, Process Mining (PM) serves to derive insights based on historic BP execution data, called event log. However, in PM, textual data is often neglected or limited to BP descriptions. Therefore, in this study, we propose a novel approach for analyzing BP execution complexity by combining textual data serving as an input at the BP start and event log. The approach is aimed at studying the connection between complexities obtained from these two data types. For textual data-based complexity, the approach employs a set of linguistic features. In our previous work, we have explored the design of linguistic features favorable for BP execution complexity prediction. Accordingly, we adapt and incorporate them into the proposed approach. Using these features, various machine learning techniques are applied to predict textual data-based complexity. Moreover, in this prediction, we show the adequacy of our linguistic features, which outperformed the linguistic features of a widely-used text analysis technique. To calculate event log-based complexity, the event log and relevant complexity metrics are used. Afterward, a correlation analysis of two complexities and an analysis of the significant differences in correlations are performed. The results serve to derive recommendations and insights for BP improvement. We apply the approach in the IT ticket handling process of the IT department of an academic institution. Our findings show that the suggested approach enables a comprehensive identification of BP redesign and improvement opportunities.</t>
  </si>
  <si>
    <r>
      <t>10.1016/</t>
    </r>
    <r>
      <rPr>
        <rFont val="Helvetica Neue"/>
        <color rgb="FF1155CC"/>
        <u/>
      </rPr>
      <t>j.is</t>
    </r>
    <r>
      <rPr>
        <rFont val="Helvetica Neue"/>
      </rPr>
      <t>.2023.102184</t>
    </r>
  </si>
  <si>
    <t>Score: 0
Justification:
	•	CI01: not met — Although the abstract mentions “BPM” in “Samsung-developed i80 BPM app”, this does not refer to Business Process Management. There is no explicit mention of Business Process Management.
	•	CI02: not met — The abstract discusses “digital health interventions” and app-based exercise prescription, but does not clearly address digital transformation, digitalization, or digital innovation in an organizational/business process context.
	•	CI03: met — The study explicitly mentions technologies such as “smartphone apps”, “wearable activity trackers”, “machine learning (ML)” and “reinforcement learning (RL)”.
	•	CI04: met — The study presents an empirical randomized crossover trial with 62 participants and analyzes exercise satisfaction and intensity.
	•	CI05: met — The title and abstract are written in English.
	•	CE01–CE04: CE01 applies — The study is unrelated to Business Process Management and digital transformation in the intended research topic. CE02 also applies, because it focuses on public health/exercise science rather than an organizational or business context.</t>
  </si>
  <si>
    <t>**Score: 0**
**Justification:**
* **CI01: Not met** — The acronym "BPM" appears in the abstract solely as part of the app name "i80 BPM," where it stands for "Beats Per Minute," not Business Process Management. There is no mention of Business Process Management or BPM in any organizational or process management sense.
* **CI02: Not met** — The abstract does not mention digital transformation, digitalization, or digital innovation. The phrase "digital health interventions" appears in the conclusion, but this refers to the public health domain and is not equivalent to digital transformation in an organizational or business context.
* **CI03: Met** — Machine learning (ML) and reinforcement learning (RL) are explicitly mentioned and applied as core technologies of the study.
* **CI04: Met** — The study presents a randomized crossover trial with empirical analysis, constituting a rigorous primary empirical contribution.
* **CI05: Met** — The study is written in English.
* **CE01: Applies** — The study is unrelated to Business Process Management or digital transformation. Its domain is exercise science, public health, and digital health interventions.
* **CE02: Applies** — The study has no organizational or business context. It involves general population participants in a clinical/fitness trial setting, focused on exercise intensity and user satisfaction.
* **CE03: Does not apply** — This is a primary empirical study (randomized crossover trial).
* **CE04: Does not apply** — The abstract provides sufficient information to assess and exclude this study.
---
**Summary:** Despite the incidental appearance of "BPM" (Beats Per Minute) and the use of ML/RL technologies, this study is entirely outside the scope of the research topic. It belongs to exercise science and public health, with no connection to Business Process Management or digital transformation in an organizational context.</t>
  </si>
  <si>
    <t>Doherty, Cailbhe; Lambe, Rory; O’Grady, Ben; O’Reilly-Morgan, Diarmuid; Smyth, Barry; Lawlor, Aonghus; Hurley, Neil; Tragos, Elias</t>
  </si>
  <si>
    <t>An Evaluation of the Effect of App-Based Exercise Prescription Using Reinforcement Learning on Satisfaction and Exercise Intensity: Randomized Crossover Trial</t>
  </si>
  <si>
    <r>
      <rPr>
        <rFont val="Helvetica Neue"/>
        <color rgb="FF1155CC"/>
        <u/>
      </rPr>
      <t>https://www.sciencedirect.com/science/article/pii/S2291522224001669</t>
    </r>
  </si>
  <si>
    <r>
      <t xml:space="preserve">Background The increasing prevalence of sedentary lifestyles has prompted the development of innovative public health interventions, such as smartphone apps that deliver personalized exercise programs. The widespread availability of mobile technologies (eg, smartphone apps and wearable activity trackers) provides a cost-effective, scalable way to remotely deliver personalized exercise programs to users. Using machine learning (ML), specifically reinforcement learning (RL), may enhance user engagement and effectiveness of these programs by tailoring them to individual preferences and needs. Objective The primary aim was to investigate the impact of the Samsung-developed i80 BPM app, implementing ML for exercise prescription, on user satisfaction and exercise intensity among the general population. The secondary objective was to assess the effectiveness of ML-generated exercise programs for remote prescription of exercise to members of the public. Methods Participants were randomized to complete 3 exercise sessions per week for 12 weeks using the i80 BPM mobile app, crossing over weekly between intervention and control conditions. The intervention condition involved individualizing exercise sessions using RL, based on user preferences such as exercise difficulty, selection, and intensity, whereas under the control condition, exercise sessions were not individualized. Exercise intensity (measured by the 10-item Borg scale) and user satisfaction (measured by the 8-item version of the Physical Activity Enjoyment Scale) were recorded after the session. Results In total, 62 participants (27 male and 42 female participants; mean age 43, SD 13 years) completed 559 exercise sessions over 12 weeks (9 sessions per participant). Generalized estimating equations showed that participants were more likely to exercise at a higher intensity (intervention: mean intensity 5.82, 95% CI 5.59‐6.05 and control: mean intensity 5.19, 95% CI 4.97‐5.41) and report higher satisfaction (RL: mean satisfaction 4, 95% CI 3.9-4.1 and baseline: mean satisfaction 3.73, 95% CI 3.6-3.8) in the RL model condition. Conclusions The findings suggest that RL can effectively increase both the intensity with which people exercise and their enjoyment of the sessions, highlighting the potential of ML to enhance remote exercise interventions. This study underscores the benefits of personalized exercise prescriptions in increasing adherence and satisfaction, which are crucial for the long-term effectiveness of fitness programs. Further research is warranted to explore the long-term impacts and potential scalability of RL-enhanced exercise apps in diverse populations. This study contributes to the understanding of digital health interventions in exercise science, suggesting that personalized, app-based exercise prescriptions may be more effective than traditional, nonpersonalized methods. The integration of RL into exercise apps could significantly impact public health, particularly in enhancing engagement and reducing the global burden of physical inactivity. Trial Registration </t>
    </r>
    <r>
      <rPr>
        <rFont val="Helvetica Neue"/>
        <color rgb="FF1155CC"/>
        <u/>
      </rPr>
      <t>ClinicalTrials.gov</t>
    </r>
    <r>
      <rPr>
        <rFont val="Helvetica Neue"/>
      </rPr>
      <t xml:space="preserve"> NCT06653049; </t>
    </r>
    <r>
      <rPr>
        <rFont val="Helvetica Neue"/>
        <color rgb="FF1155CC"/>
        <u/>
      </rPr>
      <t>https://clinicaltrials.gov/study/NCT06653049</t>
    </r>
  </si>
  <si>
    <t>10.2196/49443</t>
  </si>
  <si>
    <t>Score: 0
Justification:
	•	CI01: not met — There is no mention of Business Process Management or BPM. The “bpm” in “0.55 bpm” refers to beats per minute, not Business Process Management.
	•	CI02: not met — The abstract discusses wearables and connected devices in healthcare, but does not explicitly address digital transformation, digitalization, or digital innovation.
	•	CI03: met — The study explicitly mentions technologies such as “smartwatch”, “connected devices”, “single-lead electrocardiogram” and an “algorithm” for automatic atrial fibrillation detection.
	•	CI04: met — The study presents a prospective clinical study and algorithm validation with 262 patients.
	•	CI05: met — The title and abstract are written in English.
	•	CE01–CE04: CE01 applies — The study is unrelated to Business Process Management and digital transformation in the intended research topic. CE02 also applies, because it is a clinical/medical device validation study, not an organizational or business context.</t>
  </si>
  <si>
    <t>**Score: 0**
**Justification:**
* **CI01: Not met** — Neither "Business Process Management" nor "BPM" appears anywhere in the title or abstract. The study is entirely focused on cardiac arrhythmia detection.
* **CI02: Not met** — There is no mention of digital transformation, digitalization, or digital innovation. The study addresses clinical diagnostic performance of a smartwatch algorithm in a cardiology setting.
* **CI03: Not met** — While a detection algorithm and wearable smartwatch technology are mentioned, these are medical/clinical technologies with no connection to the technologies referenced in this criterion (AI, RPA, process mining, big data, blockchain, IoT, or enterprise software systems) in a BPM or digital transformation context.
* **CI04: Not met** — The study presents a clinical validation trial, but exclusively within a medical/cardiology domain. In the absence of any connection to BPM or digital transformation, this cannot satisfy the criterion.
* **CI05: Met** — The study is written in English.
* **CE01: Applies** — The study is entirely unrelated to BPM, digital transformation, or the associated technologies. It belongs to clinical cardiology and medical device validation.
* **CE02: Applies** — The study has no organizational or business context. It involves patient recruitment at clinical sites and cardiologist assessments.
* **CE03: Does not apply** — This is a primary prospective clinical study.
* **CE04: Does not apply** — The title and abstract provide sufficient information to clearly assess and exclude this study.
---
**Summary:** This is a clinical cardiology study validating an algorithm for atrial fibrillation detection via smartwatch ECG. It has no connection whatsoever to BPM, digital transformation, or organizational technologies and is excluded on multiple grounds.</t>
  </si>
  <si>
    <t>Campo, David; Elie, Valery; de Gallard, Tristan; Bartet, Pierre; Morichau-Beauchant, Tristan; Genain, Nicolas; Fayol, Antoine; Fouassier, David; Pasteur-Rousseau, Adrien; Puymirat, Etienne; Nahum, Julien</t>
  </si>
  <si>
    <t>Atrial Fibrillation Detection With an Analog Smartwatch: Prospective Clinical Study and Algorithm Validation</t>
  </si>
  <si>
    <r>
      <rPr>
        <rFont val="Helvetica Neue"/>
        <color rgb="FF1155CC"/>
        <u/>
      </rPr>
      <t>https://www.sciencedirect.com/science/article/pii/S2561326X22001317</t>
    </r>
  </si>
  <si>
    <r>
      <t xml:space="preserve">Background Atrial fibrillation affects approximately 4% of the world’s population and is one of the major causes of stroke, heart failure, sudden death, and cardiovascular morbidity. It can be difficult to diagnose when asymptomatic or in the paroxysmal stage, and its natural history is not well understood. New wearables and connected devices offer an opportunity to improve on this situation. Objective We aimed to validate an algorithm for the automatic detection of atrial fibrillation from a single-lead electrocardiogram taken with a smartwatch. Methods Eligible patients were recruited from 4 sites in Paris, France. Electrocardiograms (12-lead reference and single lead) were captured simultaneously. The electrocardiograms were reviewed by independent, blinded board-certified cardiologists. The sensitivity and specificity of the algorithm to detect atrial fibrillation and normal sinus rhythm were calculated. The quality of single-lead electrocardiograms (visibility and polarity of waves, interval durations, heart rate) was assessed in comparison with the gold standard (12-lead electrocardiogram). Results A total of 262 patients (atrial fibrillation: n=100, age: mean 74.3 years, SD 12.3; normal sinus rhythm: n=113, age: 61.8 years, SD 14.3; other arrhythmia: n=45, 66.9 years, SD 15.2; unreadable electrocardiograms: n=4) were included in the final analysis; 6.9% (18/262) were classified as Noise by the algorithm. Excluding other arrhythmias and Noise, the sensitivity for atrial fibrillation detection was 0.963 (95% CI lower bound 0.894), and the specificity was 1.000 (95% CI lower bound 0.967). Visibility and polarity accuracies were similar (1-lead electrocardiogram: P waves: 96.9%, QRS complexes: 99.2%, T waves: 91.2%; 12-lead electrocardiogram: P waves: 100%, QRS complexes: 98.8%, T waves: 99.5%). P-wave visibility accuracy was 99% (99/100) for patients with atrial fibrillation and 95.7% (155/162) for patients with normal sinus rhythm, other arrhythmias, and unreadable electrocardiograms. The absolute values of the mean differences in PR duration and QRS width were &lt;3 ms, and more than 97% were &lt;40 ms. The mean difference between the heart rates from the 1-lead electrocardiogram calculated by the algorithm and those calculated by cardiologists was 0.55 bpm. Conclusions The algorithm demonstrated great diagnostic performance for atrial fibrillation detection. The smartwatch’s single-lead electrocardiogram also demonstrated good quality for physician use in daily routine care. Trial Registration </t>
    </r>
    <r>
      <rPr>
        <rFont val="Helvetica Neue"/>
        <color rgb="FF1155CC"/>
        <u/>
      </rPr>
      <t>ClinicalTrials.gov</t>
    </r>
    <r>
      <rPr>
        <rFont val="Helvetica Neue"/>
      </rPr>
      <t xml:space="preserve"> NCT04351386; </t>
    </r>
    <r>
      <rPr>
        <rFont val="Helvetica Neue"/>
        <color rgb="FF1155CC"/>
        <u/>
      </rPr>
      <t>http://clinicaltrials.gov/ct2/show/NCT04351386</t>
    </r>
  </si>
  <si>
    <t>10.2196/37280</t>
  </si>
  <si>
    <t>Score: 1
Justification:
	•	CI01: met — The title and abstract explicitly mention “BPM-systems” and “BPM systems” in the context of managing internal processes.
	•	CI02: met — The abstract explicitly mentions “Digital transformation” and “digitalization”.
	•	CI03: met — The abstract refers to “BPM systems” and “digital technologies” used to manage and control internal processes.
	•	CI04: met — The article proposes “general models of the main components of BPM systems” using “system analysis, generalization and a modeling method”.
	•	CI05: met — The title and abstract are written in English.
	•	CE01–CE04: none apply — The study is related to BPM, digital transformation/digitalization, technologies, and an organizational/business context in a transport enterprise.</t>
  </si>
  <si>
    <t>**Score: 1**
**Justification:**
* **CI01: Met** — BPM and "BPM systems" are the central subject of the study, explicitly and repeatedly referenced: "Digital transformation of any large enterprise is impossible without the introduction of BPM systems that provide effective management of internal processes."
* **CI02: Met** — Digital transformation and digitalization are explicitly addressed: "Digital transformation of any large enterprise is impossible without the introduction of BPM systems" and "the consequences of using this digitalization element for the HR security of a transport company."
* **CI03: Met** — BPM systems are explicitly discussed as software/digital systems, and "digital technologies" are referenced as the enabling mechanism for process management in the transport industry. BPM systems qualify as software systems under the criterion.
* **CI04: Met** — The study proposes original models: "Using methods of system analysis, generalization and a modeling method, general models of the main components of BPM systems that are possible for use in the transport industry are proposed."
* **CI05: Met** — The study is written in English.
* **CE01: Does not apply** — The study is directly and explicitly focused on BPM, digital transformation, and associated technologies.
* **CE02: Does not apply** — The study is set in an explicit organizational and business context — a transport enterprise — with direct focus on HR security and internal process management.
* **CE03: Does not apply** — This is a primary study proposing original models, not a secondary review or literature mapping.
* **CE04: Does not apply** — The title and abstract provide sufficient information for a complete assessment.
---
**Summary:** All five inclusion criteria are clearly met, and no exclusion criteria apply. This study is a strong candidate for inclusion.</t>
  </si>
  <si>
    <t>Karanina, Elena; Kotandzhyan, Asya</t>
  </si>
  <si>
    <t>BPM-systems in the Activity of the Transport Enterprise in Order to Ensure HR Security</t>
  </si>
  <si>
    <r>
      <rPr>
        <rFont val="Helvetica Neue"/>
        <color rgb="FF1155CC"/>
        <u/>
      </rPr>
      <t>https://www.sciencedirect.com/science/article/pii/S2352146521002106</t>
    </r>
  </si>
  <si>
    <t>58-63</t>
  </si>
  <si>
    <t>Digital transformation of any large enterprise is impossible without the introduction of BPM systems that provide effective management of internal processes and help maintain the required level of all aspects of the economic security of the enterprise, including personnel. The transport industry is no exception, moreover, the competent construction and control of the company’s internal processes using digital technologies will allow the industry to reach a new level and be competitive on the world stage. For effective implementation of the system, first of all, it is necessary to configure it to the needs of a particular organization, coordinating it with the mission and goals. The article considers the positive effect of the inclusion of BPM systems in the company’s activities, the basic principles of work and the consequences of using this digitalization element for the HR security of a transport company. Using methods of system analysis, generalization and a modeling method, general models of the main components of BPM systems that are possible for use in the transport industry are proposed.</t>
  </si>
  <si>
    <t>10.1016/j.trpro.2021.02.047</t>
  </si>
  <si>
    <t>Score: 1
Justification:
	•	CI01: met — The title and abstract explicitly mention “business process management (BPM)” and discuss BPM practices in organizations.
	•	CI02: met — The study explicitly addresses “digitalization” and “digitalization outcomes” throughout the abstract.
	•	CI03: met — The abstract mentions “digital technology”, “modern digital technologies” and the digitalization of business processes.
	•	CI04: met — The study presents an empirical questionnaire-based survey with 104 respondents and proposes “six principles for designing the interplay of BPM and digitalization”.
	•	CI05: met — The title and abstract are written in English.
	•	CE01–CE04: none apply — The study is directly related to BPM, digitalization, technologies and an organizational/business context. It is not a secondary study and provides enough information for assessment.</t>
  </si>
  <si>
    <t>**Score: 0**
**Justification:**
* **CI01: Met** — Business Process Management and "BPM" are central and explicitly referenced throughout the abstract: "the interplay between business process management (BPM) and digitalization in organizations."
* **CI02: Met** — Digitalization is the co-central subject of the entire study: "This study investigated the interplay between business process management (BPM) and digitalization in organizations." Referenced extensively, including its effects on BPM practices and organizational outcomes.
* **CI03: Not met** — While "digital technologies" and "modern digital technologies" are mentioned in general terms, no specific technology is explicitly named or applied anywhere in the abstract. None of the technologies listed in the criterion (AI, RPA, process mining, big data, blockchain, IoT, or software systems) appear by name. Applying the strict evidence-based rule, broad references to "digital technology" are insufficient to satisfy this criterion.
* **CI04: Met** — The study employs a questionnaire-based survey involving 104 expert respondents and derives six original design principles for the BPM–digitalization interplay, constituting both empirical analysis and framework contribution.
* **CI05: Met** — The study is written in English.
* **CE01: Does not apply** — The study is directly about BPM and digitalization.
* **CE02: Does not apply** — The study is explicitly situated in organizational contexts, addressing process ownership, culture, and management responsibilities.
* **CE03: Does not apply** — This is a primary empirical study using a survey-based approach, not a secondary review.
* **CE04: Does not apply** — The abstract provides ample information for evaluation.
---
**Summary:** The study fails inclusion on CI03 alone. Despite being closely aligned with the research topic on BPM and digitalization, no specific technology is explicitly named in the title or abstract. Per the strict evaluation rules, missing criteria cannot be compensated and Score = 0 applies.</t>
  </si>
  <si>
    <t>Iden, Jon; Danilova, Kjersti Berg; Eikebrokk, Tom</t>
  </si>
  <si>
    <t>Business process management and digitalization – a reciprocal relationship</t>
  </si>
  <si>
    <r>
      <rPr>
        <rFont val="Helvetica Neue"/>
        <color rgb="FF1155CC"/>
        <u/>
      </rPr>
      <t>https://www.sciencedirect.com/science/article/pii/S1463715424001006</t>
    </r>
  </si>
  <si>
    <t>393-415</t>
  </si>
  <si>
    <t>Purpose This study investigated the interplay between business process management (BPM) and digitalization in organizations and developed principles for designing their interaction. Design/methodology/approach This study was explorative and used a questionnaire-based survey that involved experts in BPM and digitalization who were actively engaged in these two domains in their organizations to come up with the design principles. The survey and the design principles were based on Rosemann and vom Brocke's (2010) six core elements of BPM. Findings Digitalization was seen as influencing how BPM is practiced in organizations by strengthening organizations’ focus on BPM, and conversely, BPM was perceived as beneficial for digitalization and digitalization outcomes. In addition, based on Rosemann and vom Brocke’s six core elements of BPM, we proposed six principles for designing the interplay of BPM and digitalization in organizations. Research limitations/implications Our empirical investigation was situated in a Norwegian context and included 104 respondents. While we have no reason to believe that our findings should not be valid and useful in other regions, this is a limitation in generalizing our findings, and a natural follow-up would be to investigate our research questions in other geographical areas. We are also aware of the potential response bias in our sample. Moreover, to outline the principles for designing the interactions of BPM and digitalization, we applied the six core elements of BPM by Rosemann and vom Brocke (2010) as our theoretical lens. We acknowledge that there are more issues related to the interplay of BPM and digitalization than we have dealt with in this study. Practical implications This study has several implications for organizations. First, managers may use our proposed design principles to decide how to integrate BPM and digitalization. Second, although this study showed that each discipline nurtures its own culture, building an organizational culture that combines values from each discipline can enable a process-oriented organization to innovate its operations and services with digital technology. Third, managers should align the responsibilities and tasks of process owners with the demands for the digitalization of business processes. Fourth, managers, when integrating BPM and digitalization, should take care not to impede the generative attributes of each discipline. Social implications Processes and digital technologies play important roles in society at all levels. BPM seeks to understand how processes unfold and explores how new practices may better serve individuals, organizations and society (vom Brocke et al., 2021), while digitalization is concerned with how various kinds of modern digital technologies may trigger organizational and social changes (Markus and Rowe, 2023; Suri and Jack, 2016). Originality/value This study is one of the first studies to investigate the interplay between BPM and digitalization – how digitalization affects BPM practices in organizations and how BPM influences digitalization outcomes. In addition, this study offers novel principles for designing the interaction between BPM and digitalization.</t>
  </si>
  <si>
    <t>10.1108/BPMJ-02-2024-0083</t>
  </si>
  <si>
    <t>Score: 1
Justification:
	•	CI01: met — The abstract explicitly mentions “business process management (BPM)” and asks how “BPM” can enable digital innovation.
	•	CI02: met — The study explicitly addresses “digital innovation” and “digital innovation-related opportunities”.
	•	CI03: met — The abstract mentions “new digital technologies”, “organizational IT application portfolio” and digital innovation initiatives.
	•	CI04: met — The study presents an empirical multi-method research design, including a “Delphi study” and “two rounds of follow-up interviews”, and proposes four dimensions/conjectures.
	•	CI05: met — The title and abstract are written in English.
	•	CE01–CE04: none apply — The study is directly related to BPM, digital innovation, digital technologies and organizational/business context. It is not a secondary study and provides enough information for assessment.</t>
  </si>
  <si>
    <t>**Score: 0**
**Justification:**
* **CI01: Met** — Business Process Management and "BPM" are explicitly and centrally referenced: "organizations leveraging business process management (BPM) can be receptive to and supportive of digital innovation-related opportunities."
* **CI02: Met** — Digital innovation is the study's co-central concept, explicitly mentioned throughout: "How can BPM be set up to enable digital innovation on a continuous basis?" and "new digital technologies" are referenced as the broader context.
* **CI03: Not met** — The abstract refers generically to "new digital technologies" and includes "organizational IT application portfolio" as one of four BPM dimensions, but no specific technology is explicitly named or applied. The references remain at an abstract, organizational level and do not constitute an explicit mention of any technology listed in the criterion (AI, RPA, process mining, big data, blockchain, IoT, or software systems). Applying the strict evidence-based rule, this criterion is not met.
* **CI04: Met** — The study employs a multi-method inductive design (Delphi study and two rounds of follow-up interviews with top executives) and produces four theoretical conjectures, constituting both empirical analysis and conceptual framework contribution.
* **CI05: Met** — The study is written in English.
* **CE01: Does not apply** — The study directly addresses BPM and digital innovation.
* **CE02: Does not apply** — The study is explicitly set in an organizational context, focusing on how firms can implement digital innovation while maintaining efficient workflows.
* **CE03: Does not apply** — This is a primary empirical study using inductive qualitative methods, not a secondary review.
* **CE04: Does not apply** — The abstract provides sufficient information for full assessment.
---
**Summary:** The study fails inclusion solely on CI03. Despite strong alignment with the research topic on BPM and digital innovation, no specific technology is explicitly named in the title or abstract. Per the strict evaluation rules, this is sufficient to assign Score = 0.</t>
  </si>
  <si>
    <t>Inconforme -Artigos duplicados ou similares</t>
  </si>
  <si>
    <t>Plattfaut, Ralf; Grisold, Thomas</t>
  </si>
  <si>
    <t>Business process management as a continuous enabler for digital innovation – insights from top executives</t>
  </si>
  <si>
    <r>
      <rPr>
        <rFont val="Helvetica Neue"/>
        <color rgb="FF1155CC"/>
        <u/>
      </rPr>
      <t>https://www.sciencedirect.com/science/article/pii/S1463715425000111</t>
    </r>
  </si>
  <si>
    <t>244-266</t>
  </si>
  <si>
    <t>Purpose In light of the ever-increasing opportunities associated with new digital technologies, an emerging body of knowledge examines how and under what circumstances organizations leveraging business process management (BPM) can be receptive to and supportive of digital innovation-related opportunities. In this study, we ask: How can BPM be set up to enable digital innovation on a continuous basis? Design/methodology/approach We conduct an inductive study with top executives in Central Europe. Our multi-method research consists of a Delphi study and two rounds of follow-up interviews. Findings We theorize that BPM can enable digital innovation along four dimensions: organizational IT application portfolio, organizational structure, organizational culture and organizational capabilities. Based on this, we provide four conjectures on how BPM can enable digital innovation. Originality/value Our study adds to the emerging debate around the connection between BPM and digital innovation by specifying how organizations can implement digital innovation initiatives while maintaining efficient and effective workflows.</t>
  </si>
  <si>
    <t>10.1108/BPMJ-05-2025-0759</t>
  </si>
  <si>
    <t>Score: 1
Justification:
	•	CI01: met — The title explicitly mentions “business process management”, and the abstract mentions “Business Process Modeling and Notation (BPMN)” and process modeling.
	•	CI02: met — The abstract explicitly addresses “digital and green transformation”, “twin transition”, and the adoption of digital technologies.
	•	CI03: met — The study explicitly mentions “digital technologies”, “green technologies”, “data-driven decision-making processes” and BPMN standards.
	•	CI04: met — The study presents a case analysis of an energy company and applies BPMN standards to model the transition from “AS-IS” to “TO-BE” processes.
	•	CI05: met — The title and abstract are written in English.
	•	CE01–CE04: none apply — The study is related to BPM/process modeling, digital transformation, technologies and an organizational/business context. It is not a secondary study and provides enough information for assessment.</t>
  </si>
  <si>
    <t>**Score: 1**
**Justification:**
* **CI01: Met** — Business process management is explicitly stated in the title, and the abstract applies "Business Process Modeling and Notation (BPMN) standards to design the passage from 'AS-IS' to 'TO-BE' transition," a core BPM methodology.
* **CI02: Met** — Digital transformation is explicitly referenced as part of the twin transition concept: "a cross-disciplinary emerging perspective encompassing both digital and green transformation." Digital technologies are discussed extensively throughout as drivers of organizational change.
* **CI03: Met** — BPMN (Business Process Modeling and Notation) is explicitly named and applied as a specific technology standard within the study. Additionally, "digital technologies" are analyzed for both AS-IS and TO-BE process states, and "data-driven decision-making processes" are referenced. The explicit application of BPMN as a specific process technology distinguishes this study from those that only mention "digital technologies" generically.
* **CI04: Met** — The study presents an empirical case study of Sistemi Energetici SpA, applying BPMN-based process modeling to design and analyze the company's twin transition, constituting both an applied framework and an empirical organizational analysis.
* **CI05: Met** — The study is written in English.
* **CE01: Does not apply** — The study is directly related to BPM, digital transformation, and specific technologies (BPMN, digital technologies).
* **CE02: Does not apply** — The study is explicitly set in an organizational and business context — an energy company undergoing strategic and operational transformation.
* **CE03: Does not apply** — This is a primary case study, not a secondary review.
* **CE04: Does not apply** — The title and abstract provide sufficient information for a complete assessment.
---
**Summary:** All five inclusion criteria are clearly met, and no exclusion criteria apply. This study is a strong candidate for inclusion.</t>
  </si>
  <si>
    <t>Del Vecchio, Pasquale; Massaro, Alessandro; Garzoni, Antonello</t>
  </si>
  <si>
    <t>Circular value creation and business process management for twin transition: The case of an energy company</t>
  </si>
  <si>
    <r>
      <rPr>
        <rFont val="Helvetica Neue"/>
        <color rgb="FF1155CC"/>
        <u/>
      </rPr>
      <t>https://www.sciencedirect.com/science/article/pii/S0360835225000828</t>
    </r>
  </si>
  <si>
    <t>The debate on circular economy has been recently enriched by the emergence of twin transition, as a cross-disciplinary emerging perspective encompassing both digital and green transformation. This is because of the complex nature of the transition, which involves expertise in technology (digital and green technologies), management challenges, and societal factors. Focusing on the business perspective, the twin transition presents companies with the task of generating sustainable value by restructuring their strategic, organizational, and operational frameworks through the adoption of digital and green technologies. Indeed, digital technologies are expected to contribute to the green transition and the circular economy configuration of firms based on data-driven decision-making processes. Despite the timeliness of this topic, a holistic understanding of the business implications and the meaning of the twin transition remains elusive, necessitating further theoretical and empirical contributions. To contribute to the advancement of the debate in this direction, the paper focuses attention on the changes occurring in Sistemi Energetici SpA, an Apulian energy company involved in a strategic and organizational twin transition consisting of the creation of the “Technological Hub for the Circular Economy and Renewable Sources”, an innovative centre for the development of both engineering services and manufacturing. The analysis of the case consisted of the application of Business Process Modeling and Notation (BPMN) standards to design the passage from ‘AS-IS’ to ‘TO-BE’ transition by highlighting the impact of digital technologies during the passage which implies an important change of the organizational and business model by the principles of circular economy. The idea of a new process model is fundamental to constructing the new workflow mechanisms managing all the company fluxes as a reverse engineering process. The impact of digital technologies is analyzed for both ‘AS IS’ and the ‘TO BE’ processes to formulate the new complex synergies of all the company’s sectors.</t>
  </si>
  <si>
    <t>10.1016/j.cie.2025.110936</t>
  </si>
  <si>
    <t>Score: 1
Justification:
	•	CI01: met — The abstract explicitly mentions “Business process management (BPM)” and “BPM life cycle”.
	•	CI02: met — The study addresses digital transformation through “Industry 4.0” and the transformation of organizational operations.
	•	CI03: met — The abstract explicitly mentions technologies and technical approaches such as “data-based process development”, “Industry 4.0-induced tools”, “machine learning (CRISP-ML(Q))” and “simulation”.
	•	CI04: met — The study proposes a “structured guideline”/methodology and applies it in an assembly company, with simulation and KPI-based evaluation.
	•	CI05: met — The title and abstract are written in English.
	•	CE01–CE04: none apply — The study is directly related to BPM, Industry 4.0/digital transformation, technologies and an organizational/business context. It is not a secondary study and provides enough information for assessment.</t>
  </si>
  <si>
    <t>**Score: 0**
**Justification:**
* **CI01: Met** — Business Process Management and "BPM" are explicitly and centrally referenced: "Business process management (BPM) supports the management and transformation of organizational operations" and "BPM life cycle" is mentioned twice.
* **CI02: Not met** — The abstract does not explicitly mention digital transformation, digitalization, or digital innovation. "Industry 4.0" is the framing concept used throughout, and while it is widely associated with the digitalization of industrial operations, it is not equivalent to — nor a substitute for — an explicit mention of digital transformation, digitalization, or digital innovation. Applying the strict evidence-based rule, this criterion is not met.
* **CI03: Met** — Machine learning is explicitly named and applied: "standards of machine learning (CRISP-ML(Q))" are referenced as a concrete technology integrated within the BPM life cycle alongside Industry 4.0 tools and models.
* **CI04: Met** — The study presents a structured methodology and guideline, applied empirically in an assembly company, validated through simulation and key performance indicators — constituting both a methodological framework and empirical analysis.
* **CI05: Met** — The study is written in English.
* **CE01: Does not apply** — The study is related to BPM and technologies (ML, Industry 4.0 tools), even if digital transformation is not explicitly named.
* **CE02: Does not apply** — The study is applied in an assembly company with a clear organizational and operational context.
* **CE03: Does not apply** — This is a primary study proposing an original methodology and applying it empirically.
* **CE04: Does not apply** — The abstract provides sufficient information for full assessment.
---
**Summary:** The study fails inclusion solely on CI02. Despite strong relevance to the research domain — combining BPM, machine learning, and Industry 4.0 — the exact terms "digital transformation," "digitalization," or "digital innovation" are absent from both the title and abstract. Per the strict evaluation rule, Score = 0.</t>
  </si>
  <si>
    <t>Czvetkó, Tímea; Kummer, Alex; Ruppert, Tamás; Abonyi, János</t>
  </si>
  <si>
    <t>Data-driven business process management-based development of Industry 4.0 solutions</t>
  </si>
  <si>
    <r>
      <rPr>
        <rFont val="Helvetica Neue"/>
        <color rgb="FF1155CC"/>
        <u/>
      </rPr>
      <t>https://www.sciencedirect.com/science/article/pii/S1755581721001929</t>
    </r>
  </si>
  <si>
    <t>117-132</t>
  </si>
  <si>
    <t>Business process management (BPM) supports the management and transformation of organizational operations. This paper provides a structured guideline for improving data-based process development within the BPM life cycle. We show how Industry 4.0-induced tools and models can be integrated within the BPM life cycle to achieve more efficient process excellence and evidence-based decision-making. The paper demonstrates how standards of machine learning (CRISP-ML(Q)), BPM, and tools of design science research can support the redesign phases of Industry 4.0 development. The proposed methodology is carried out on an assembly company, where the proposed improvement steps are investigated by simulation and evaluated by relevant key performance indicators.</t>
  </si>
  <si>
    <t>10.1016/j.cirpj.2021.12.002</t>
  </si>
  <si>
    <t>Score: 0
Justification:
	•	CI01: not met — The abstract mentions “business process management notation”, but does not explicitly mention Business Process Management (BPM) as a management approach or the term BPM itself. It appears to refer only to the notation used for modeling.
	•	CI02: met — The study addresses the use of “digital technologies (DTs)” in health services, but it does not explicitly use the terms digital transformation/digitalization/digital innovation.
	•	CI03: met — The abstract explicitly mentions “digital technologies (DTs)” and “management information systems”.
	•	CI04: met — The study introduces and tests a framework in the blood transfusion process of a large tertiary hospital, using observations, interviews and documentary analysis.
	•	CI05: met — The title and abstract are written in English.
	•	CE01–CE04: CE01 applies partially — The study is related to digital technologies and process modeling, but it does not clearly meet the explicit BPM requirement. No evidence of CE02, CE03 or CE04.</t>
  </si>
  <si>
    <t>**Score: 0**
**Justification:**
* **CI01: Met** — Business Process Management is explicitly mentioned: "using business process management notation to bridge the perspectives of DTs designers and human factors experts." BPM notation (BPMN) is applied as part of the framework.
* **CI02: Not met** — The abstract does not explicitly mention digital transformation, digitalization, or digital innovation. "Digital technologies (DTs)" is the central concept used throughout, but this term alone does not satisfy the criterion, which requires one of the three specific terms. Applying the strict evidence-based rule, this criterion is not met.
* **CI03: Met** — "Digital technologies (DTs)" are explicitly named and applied as the central enablers of resilient performance. "Management information systems" are also explicitly referenced as a specific category of software systems.
* **CI04: Met** — The study proposes a four-step framework for designing resilient health services, tested empirically in the blood transfusion process of a tertiary hospital, with data collected via observations, interviews, and documentary analysis.
* **CI05: Met** — The study is written in English.
* **CE01: Does not apply** — The study is related to BPM notation and digital technologies, even though digital transformation is not explicitly named.
* **CE02: Does not apply** — The study is applied within a hospital organizational context, involving management information systems, process design, and stakeholder coordination — an organizational, if healthcare-specific, setting.
* **CE03: Does not apply** — This is a primary study presenting and testing an original framework.
* **CE04: Does not apply** — The abstract provides sufficient information for full assessment.
---
**Summary:** The study fails inclusion solely on CI02. Despite explicit engagement with BPM notation and digital technologies in an organizational setting, the terms "digital transformation," "digitalization," or "digital innovation" do not appear in the title or abstract. Per the strict evaluation rules, Score = 0.</t>
  </si>
  <si>
    <t>Bertolin Furstenau, Leonardo; Abreu Saurin, Tarcisio</t>
  </si>
  <si>
    <t>Designing resilient health services supported by digital technologies: A study of the blood transfusion process</t>
  </si>
  <si>
    <r>
      <rPr>
        <rFont val="Helvetica Neue"/>
        <color rgb="FF1155CC"/>
        <u/>
      </rPr>
      <t>https://www.sciencedirect.com/science/article/pii/S0160791X24001416</t>
    </r>
  </si>
  <si>
    <t>Although resilient performance (RP) in health services can be both enhanced and hindered by the use of digital technologies (DTs), little is known on how this influence occurs through design. This study introduces a framework for designing resilient health services supported by DTs, involving four steps: (i) define the motivation for the framework application, select the target system, and form a project team; (ii) modeling of the target system; (iii) identify problems and countermeasures, emphasizing the role of DTs supportive of RP; and (iv) implement countermeasures. The framework was tested in the blood transfusion process of a large tertiary hospital. Data collection for this test included participant and non-participant observations, interviews, and documentary analysis. Results shed light on the framework's utility and ease of use, also giving rise to propositions that guide the framework application. These propositions are related to using business process management notation to bridge the perspectives of DTs designers and human factors experts; supporting dynamic prioritization of orders; standardizing interactions between management information systems; using DTs to amplify rather than replace human skills; using DTs to buy time for deploying responses to variabilities; accounting for the perspectives of diverse stakeholders; and learning from applying the framework. Requirements of DTs supportive of RP were also derived from the propositions, offering guidance to designers.</t>
  </si>
  <si>
    <t>10.1016/j.techsoc.2024.102593</t>
  </si>
  <si>
    <t>Score: 0
Justification:
	•	CI01: not met — There is no mention of Business Process Management or BPM. The “bpm” in the abstract refers to “beats per minute”, not Business Process Management.
	•	CI02: not met — The abstract discusses smartwatch-based heart rate monitoring in clinical trials, but does not address digital transformation, digitalization, or digital innovation.
	•	CI03: met — The study explicitly mentions technologies such as “smartwatch-based HR monitors”, “smartwatch-based HR estimates”, and sleep state estimates.
	•	CI04: met — The study presents an empirical randomized clinical trial with 12 patients and statistical analysis using linear mixed models.
	•	CI05: met — The title and abstract are written in English.
	•	CE01–CE04: CE01 applies — The study is unrelated to Business Process Management and digital transformation in the intended research topic. CE02 also applies, because it is a clinical/drug development study rather than an organizational or business context.</t>
  </si>
  <si>
    <t>**Score: 0**
**Justification:**
* **CI01: Not met** — Neither "Business Process Management" nor "BPM" appears anywhere in the title or abstract. The study is entirely focused on clinical pharmacology and wearable sensor validation.
* **CI02: Not met** — There is no mention of digital transformation, digitalization, or digital innovation. The study addresses the clinical utility of smartwatch-based heart rate monitoring in a drug development context.
* **CI03: Not met** — While smartwatch technology is used for data collection, this is a biomedical/clinical application with no connection to the technologies referenced in this criterion (AI, RPA, process mining, big data, blockchain, IoT, or enterprise software systems) in a BPM or digital transformation context.
* **CI04: Not met** — The study presents a randomized controlled trial, but exclusively within a clinical pharmacology domain. In the absence of any connection to BPM or digital transformation, this cannot satisfy the criterion.
* **CI05: Met** — The study is written in English.
* **CE01: Applies** — The study is entirely unrelated to BPM, digital transformation, or the associated technologies. It belongs to clinical research and wearable medical device validation.
* **CE02: Applies** — The study has no organizational or business context. It involves patients with Parkinson's disease in a clinical trial setting.
* **CE03: Does not apply** — This is a primary empirical study (randomized controlled trial).
* **CE04: Does not apply** — The abstract provides sufficient information to clearly assess and exclude this study.
---
**Summary:** This is a clinical pharmacology study evaluating smartwatch-based heart rate monitoring for detecting drug-induced effects in Parkinson's patients. It has no connection to BPM, digital transformation, or organizational technologies and is excluded on multiple grounds.</t>
  </si>
  <si>
    <t>Elzinga, Willem O; Prins, Samantha; Borghans, Laura G J M; Gal, Pim; Vargas, Gabriel A; Groeneveld, Geert J; Doll, Robert J</t>
  </si>
  <si>
    <t>Detection of Clenbuterol-Induced Changes in Heart Rate Using At-Home Recorded Smartwatch Data: Randomized Controlled Trial</t>
  </si>
  <si>
    <r>
      <rPr>
        <rFont val="Helvetica Neue"/>
        <color rgb="FF1155CC"/>
        <u/>
      </rPr>
      <t>https://www.sciencedirect.com/science/article/pii/S2561326X21001645</t>
    </r>
  </si>
  <si>
    <r>
      <t xml:space="preserve">Background Although electrocardiography is the gold standard for heart rate (HR) recording in clinical trials, the increasing availability of smartwatch-based HR monitors opens up possibilities for drug development studies. Smartwatches allow for inexpensive, unobtrusive, and continuous HR estimation for potential detection of treatment effects outside the clinic, during daily life. Objective The aim of this study is to evaluate the repeatability and sensitivity of smartwatch-based HR estimates collected during a randomized clinical trial. Methods The data were collected as part of a multiple-dose, investigator-blinded, randomized, placebo-controlled, parallel-group study of 12 patients with Parkinson disease. After a 6-day baseline period, 4 and 8 patients were treated for 7 days with an ascending dose of placebo and clenbuterol, respectively. Throughout the study, the smartwatch provided HR and sleep state estimates. The HR estimates were quantified as the 2.5th, 50th, and 97.5th percentiles within awake and asleep segments. Linear mixed models were used to calculate the following: (1) the intraclass correlation coefficient (ICC) of estimated sleep durations, (2) the ICC and minimum detectable effect (MDE) of the HR estimates, and (3) the effect sizes of the HR estimates. Results Sleep duration was moderately repeatable (ICC=0.64) and was not significantly affected by study day (P=.83), clenbuterol (P=.43), and study day by clenbuterol (P=.73). Clenbuterol-induced changes were detected in the asleep HR as of the first night (+3.79 beats per minute [bpm], P=.04) and in the awake HR as of the third day (+8.79 bpm, P=.001). The median HR while asleep had the highest repeatability (ICC=0.70). The MDE (N=12) was found to be smaller when patients were asleep (6.8 bpm to 11.7 bpm) than while awake (10.7 bpm to 22.1 bpm). Overall, the effect sizes for clenbuterol-induced changes were higher while asleep (0.49 to 2.75) than while awake (0.08 to 1.94). Conclusions We demonstrated the feasibility of using smartwatch-based HR estimates to detect clenbuterol-induced changes during clinical trials. The asleep HR estimates were most repeatable and sensitive to treatment effects. We conclude that smartwatch-based HR estimates obtained during daily living in a clinical trial can be used to detect and track treatment effects. Trial Registration Netherlands Trials Register NL8002; </t>
    </r>
    <r>
      <rPr>
        <rFont val="Helvetica Neue"/>
        <color rgb="FF1155CC"/>
        <u/>
      </rPr>
      <t>https://www.trialregister.nl/trial/8002</t>
    </r>
  </si>
  <si>
    <t>10.2196/31890</t>
  </si>
  <si>
    <t>Score: 1
Justification:
	•	CI01: met — The abstract explicitly mentions “business process management” and states that QR-code technology can change the “business process management landscape of food-product distribution process”.
	•	CI02: met — The title explicitly mentions “Digital innovation”, and the abstract discusses “Innovation and technology adoption”.
	•	CI03: met — The study explicitly mentions QR code technology, “technology usage”, “technology adoption” and food technology.
	•	CI04: met — The study presents a conceptual model/framework based on means-end chain theory and empirically tests it using “CB-SEM technique”.
	•	CI05: met — The title and abstract are written in English.
	•	CE01–CE04: none apply — The study is related to BPM, digital innovation, QR-code technology, and an organizational/business/market context. It is not a secondary study and provides enough information for assessment.</t>
  </si>
  <si>
    <t>**Score: 0**
**Justification:**
* **CI01: Not met** — While the term "business process management" appears twice in the abstract, both occurrences are peripheral implications of the findings rather than substantive engagement with BPM as a subject: "Such technology and innovation can change the business process management landscape" and "there are very few research studies available in this area of business process management and technology usage related to EVOO products." These are cosmetic mentions designed to suggest disciplinary relevance, not evidence that the study clearly addresses BPM. Applying the rule "if a criterion is not clearly supported, consider it as NOT met," this criterion fails.
* **CI02: Met** — "Digital innovation" appears explicitly in the title and is referenced in the abstract in the context of technology adoption and automation of business processes.
* **CI03: Met** — QR code technology is explicitly named and applied as the central technology of the study throughout the title and abstract.
* **CI04: Met** — The study presents a conceptual model grounded in means-end chain (MEC) theory, empirically tested using CB-SEM technique with consumer data from the Italian market.
* **CI05: Met** — The study is written in English.
* **CE01: Applies** — The core subject of the study is consumer shopping behavior for extra virgin olive oil (EVOO) products in the Italian market. BPM and digital transformation are not genuinely addressed; the study belongs to the marketing and consumer behavior domain.
* **CE02: Does not apply** — The study has a business/market context involving food product distribution and consumer decision-making.
* **CE03: Does not apply** — This is a primary empirical study.
* **CE04: Does not apply** — The abstract provides sufficient information to assess relevance.
---
**Summary:** Despite a suggestive title, the abstract reveals that the study is fundamentally about consumer purchasing behavior for olive oil using QR codes, framed through means-end chain theory. References to BPM are cosmetic and peripheral. The study does not substantively engage with BPM, digital transformation, or the research topic, and is excluded primarily on CI01 and CE01.</t>
  </si>
  <si>
    <t>Rai, Krupa; Chaudhuri, Ranjan; Chatterjee, Sheshadri; Vrontis, Demetris; Galati, Antonino</t>
  </si>
  <si>
    <t>Digital innovation and automation of business processes using quick response code: advancing the means-end chain theory</t>
  </si>
  <si>
    <r>
      <rPr>
        <rFont val="Helvetica Neue"/>
        <color rgb="FF1155CC"/>
        <u/>
      </rPr>
      <t>https://www.sciencedirect.com/science/article/pii/S1463715424000311</t>
    </r>
  </si>
  <si>
    <t>1836-1861</t>
  </si>
  <si>
    <t>Purpose The purpose of the research is to investigate customer shopping behaviour for Italian market, extra virgin olive oil (EVOO) using the quick response (QR) code. The study uses means-end chain (MEC) theory to explore the connections between product attributes, personal values and consumer preferences. Design/methodology/approach The theory of means-end chain helps to uncover the underlying reasons why consumers choose specific products by examining the links between tangibles. There is a conceptual model developed with the help of MEC. The conceptual framework comprises product information and marketing communication, which constitute the sensory and non-sensory aspects of consumption behaviour, and it is empirically tested by CB-SEM technique. QR code usefulness and loyalty are treated as mediators to evaluate shopping behaviour to purchase EVOO. Findings The study has used MEC theory and has extended this theory. This study found that there is a profound impact of technology (QR code) on the buying behaviour of EVOO for the Italian customers. This study has also found that product information and product communication play a critical role towards shopping behaviour of Italian consumers regarding EVOO related products. Research limitations/implications Innovation and technology adoption, especially the use of QR codes in understanding product features, has been an attractive area for research exploration. This could include details about the product’s origin, production methods and nutritional information. Such technology and innovation can change the business process management landscape of food-product distribution process. Not many studies are available which examine customers’ interest and shopping behaviour using QR codes, especially in the context of EVOO. Thus, this research study has a profound impact on the Italian and other European market. Originality/value In the Italian market, EVOO is more than just a product, it is a symbol of tradition, quality and cultural heritage. EVOO is not just a condiment, it is an essential ingredient that contributes to the overall flavour of dishes. This study explores the usage of QR code for EVOO related products. This is a unique study as there are a very few research studies available in this area of business process management and technology usage related to EVOO products. Moreover, this research study adds values to the body of literature of business process management, technology usage, innovation and food technology. Thus, this study is unique and adds value to the existing literature.</t>
  </si>
  <si>
    <t>10.1108/BPMJ-05-2024-0339</t>
  </si>
  <si>
    <t>Score: 0
Justification:
	•	CI01: not met — There is no mention of Business Process Management or BPM. The “bpm” in “heart rate measurements (bpm)” refers to beats per minute, not Business Process Management.
	•	CI02: not met — The abstract discusses a digital health platform and telemonitoring, but does not explicitly address digital transformation, digitalization, or digital innovation.
	•	CI03: met — The study explicitly mentions technologies such as “smartwatches”, “digital platform”, “mobile phones”, “digital solution” and “cloud technology”.
	•	CI04: met — The study presents the development and preliminary evaluation of a digital platform with 80 volunteers and more than 2.8 million collected records.
	•	CI05: met — The title and abstract are written in English.
	•	CE01–CE04: CE01 applies — The study is unrelated to Business Process Management and the intended research topic. CE02 also applies, because it focuses on clinical telemonitoring rather than an organizational/business process context.</t>
  </si>
  <si>
    <t>**Score: 0**
**Justification:**
* **CI01: Not met** — Neither "Business Process Management" nor "BPM" appears anywhere in the title or abstract. The study is entirely focused on digital health monitoring and clinical telemetry.
* **CI02: Not met** — The abstract does not mention digital transformation, digitalization, or digital innovation. The study describes a digital health platform for remote vital sign monitoring, which is a clinical/medical application rather than an organizational digital transformation initiative.
* **CI03: Not met** — While cloud technology and smartwatch-based data collection are mentioned, these are applied exclusively in a clinical health monitoring context, with no connection to the technologies referenced in this criterion (AI, RPA, process mining, big data, blockchain, IoT, or enterprise software systems) in a BPM or digital transformation context.
* **CI04: Not met** — The study presents a digital health platform evaluated in a clinical trial setting. In the absence of any connection to BPM or digital transformation, this cannot satisfy the criterion.
* **CI05: Met** — The study is written in English.
* **CE01: Applies** — The study is entirely unrelated to BPM, digital transformation in an organizational sense, or the associated technologies. It belongs to digital health and clinical informatics.
* **CE02: Applies** — The study has no organizational or business context. It involves volunteers monitored in a clinical research setting by healthcare professionals.
* **CE03: Does not apply** — This is a primary prospective study.
* **CE04: Does not apply** — The abstract provides sufficient information to assess and exclude this study.
---
**Summary:** This is a digital health study focused on remote vital sign monitoring via smartwatch and a cloud-based clinical platform. It has no connection to BPM, organizational digital transformation, or the research topic, and is excluded on multiple grounds.</t>
  </si>
  <si>
    <t>Bin, Kaio Jia; De Pretto, Lucas Ramos; Sanchez, Fabio Beltrame; Battistella, Linamara Rizzo</t>
  </si>
  <si>
    <t>Digital Platform to Continuously Monitor Patients Using a Smartwatch: Preliminary Report</t>
  </si>
  <si>
    <r>
      <rPr>
        <rFont val="Helvetica Neue"/>
        <color rgb="FF1155CC"/>
        <u/>
      </rPr>
      <t>https://www.sciencedirect.com/science/article/pii/S2561326X2200823X</t>
    </r>
  </si>
  <si>
    <t>Background Monitoring vital signs such as oximetry, blood pressure, and heart rate is important to follow the evolution of patients. Smartwatches are a revolution in medicine allowing the collection of such data in a continuous and organic way. However, it is still a challenge to make this information available to health care professionals to make decisions during clinical follow-up. Objective This study aims to build a digital solution that displays vital sign data from smartwatches, collected remotely, continuously, reliably, and from multiple users, with trigger warnings when abnormal results are identified. Methods This is a single-center prospective study following the guidelines “Evaluating digital health products” from the UK Health Security Agency. A digital platform with 3 different applications was created to capture and display data from the mobile phones of volunteers with smartwatches. We selected 80 volunteers who were followed for 24 weeks each, and the synchronization interval between the smartwatch and digital solution was recorded for each vital sign collected. Results In 14 weeks of project progress, we managed to recruit 80 volunteers, with 68 already registered in the digital solution. More than 2.8 million records have already been collected, without system downtime. Less than 5% of continuous heart rate measurements (bpm) were synchronized within 2 hours. However, approximately 70% were synchronized in less than 24 hours, and 90% were synchronized in less than 119 hours. Conclusions The digital solution is working properly in its role of displaying data collected from smartwatches. Vital sign values are being monitored by the research team as part of the monitoring of volunteers. Although the digital solution proved unsuitable for monitoring urgent events, it is more than suitable for use in outpatient clinical use. This digital solution, which is based on cloud technology, can be applied in the future for telemonitoring in regions lacking health care professionals. Accuracy and reliability studies still need to be performed at the end of the 24-week follow-up.</t>
  </si>
  <si>
    <t>10.2196/40468</t>
  </si>
  <si>
    <t>Score: 1
Justification:
	•	CI01: met — The abstract explicitly mentions “Business Process Management (BPM)” and discusses BPM as identifying, analyzing and improving business processes.
	•	CI02: met — The abstract explicitly mentions “Digital Transformation (DT)” and explains that it uses digital technologies to transform business operations.
	•	CI03: met — The abstract mentions “digital technologies”, “data, analytics, and automation tools”.
	•	CI04: met — The paper proposes “a new approach combining BPM and DT named DT4BPM”, including a lifecycle with phases and sub-phases.
	•	CI05: met — The title and abstract are written in English.
	•	CE01–CE04: none apply — The study is directly related to BPM, digital transformation, technologies, and organizational/business operations. It is not presented as a secondary study and provides enough information for assessment.</t>
  </si>
  <si>
    <t>**Score: 0**
**Justification:**
* **CI01: Met** — Business Process Management and "BPM" are explicitly and centrally referenced: "Business Process Management (BPM) involves identifying, analyzing, and improving business processes."
* **CI02: Met** — Digital Transformation is the co-central concept of the entire study: "Digital Transformation leverages digital technologies to transform business operations" and "the integration of BPM and digital transformation is a strategic imperative."
* **CI03: Not met** — The abstract references "digital technologies," "data, analytics, and automation tools" generically, but does not explicitly name any specific technology. None of the technologies listed in the criterion (AI, RPA, process mining, big data, blockchain, IoT, or software systems) appear by name. Terms like "analytics" and "automation tools" are too generic to constitute an explicit technology mention under the strict evidence-based rule.
* **CI04: Met** — The study proposes an original approach, DT4BPM, with a defined lifecycle integrating phases from both BPM and Digital Transformation frameworks, constituting a methodological and framework contribution.
* **CI05: Met** — The study is written in English.
* **CE01: Does not apply** — The study is directly and explicitly about BPM and Digital Transformation.
* **CE02: Does not apply** — The study is set in an organizational and business context, addressing business operations, customer experience, and profitability.
* **CE03: Does not apply** — This is a primary study proposing a novel combined approach.
* **CE04: Does not apply** — The abstract provides sufficient information for full assessment.
---
**Summary:** The study fails inclusion solely on CI03. Despite being directly focused on the intersection of BPM and Digital Transformation — precisely the research topic — no specific technology is explicitly named in the title or abstract. Per the strict evaluation rules, this is sufficient to assign Score = 0.</t>
  </si>
  <si>
    <t>Saidane, Mariem; Hassani, Asma; Ghannouchi, Sonia Ayachi</t>
  </si>
  <si>
    <t>DT4BPM: A proposed approach for combining Digital Transformation and Business Process Management</t>
  </si>
  <si>
    <r>
      <rPr>
        <rFont val="Helvetica Neue"/>
        <color rgb="FF1155CC"/>
        <u/>
      </rPr>
      <t>https://www.sciencedirect.com/science/article/pii/S1877050924016338</t>
    </r>
  </si>
  <si>
    <t>2030-2037</t>
  </si>
  <si>
    <t>Business Process Management (BPM) and Digital Transformation (DT) are two interconnected concepts. BPM involves identifying, analyzing, and improving business processes, while Digital Transformation leverages digital technologies to transform business operations. BPM provides the foundation for digital transformation by optimizing processes, and digital technologies enhance BPM by providing data, analytics, and automation tools. Together, BPM and digital transformation enhance business operations and lead to better customer experiences and increased profitability. Ultimately, the integration of BPM and digital transformation is a strategic imperative for organizations seeking to thrive in today’s digitally driven landscape. A new approach combining BPM and DT named DT4BPM is proposed in this paper. DT4BPM takes advantage from both approaches and will have a lifecycle which includes in the proper way phases and sub-phases that were obtained through a positioning of each of the lifecycles of BPM and DT.</t>
  </si>
  <si>
    <t>10.1016/j.procs.2024.06.389</t>
  </si>
  <si>
    <t>Score: 0
Justification:
	•	CI01: met — The abstract explicitly mentions “business process management” several times.
	•	CI02: not met — The abstract mentions “digital environments”, but it does not clearly address digital transformation, digitalization, or digital innovation.
	•	CI03: met — The abstract mentions “technology imperative practices” and “socio-technological synergy”.
	•	CI04: met — The study presents an empirical investigation using an “original survey instrument” and a research model.
	•	CI05: met — The title and abstract are written in English.
	•	CE01–CE04: no exclusion criterion clearly applies, but the study receives Score 0 because CI02 is not clearly met. It is related to BPM, technology and service firms, but the title/abstract do not explicitly support digital transformation, digitalization, or digital innovation.</t>
  </si>
  <si>
    <t>**Score: 0**
**Justification:**
* **CI01: Met** — Business process management is explicitly and repeatedly referenced as the central subject of the empirical investigation: "this paper presents a research model...empirically examine business process management."
* **CI02: Not met** — The abstract mentions "digital environments" once in the practical implications section ("In digital environments, business process management requires socio-technological synergy"), but this phrase does not equate to digital transformation, digitalization, or digital innovation. None of these three specific terms appear in the title or abstract. Applying the strict evidence-based rule, this criterion is not met.
* **CI03: Not met** — "Technology imperative practices" is mentioned as a construct in the research model, but this is a generic, abstract term rather than an explicit reference to any specific technology. None of the technologies listed in the criterion (AI, RPA, process mining, big data, blockchain, IoT, or software systems) are named. The strict rule requires explicit mention, which is absent.
* **CI04: Met** — The study presents an original research model with mediating and moderating roles, tested empirically through a survey instrument in service firm contexts, constituting both a theoretical model and an empirical analysis.
* **CI05: Met** — The study is written in English.
* **CE01: Does not apply** — The study is directly related to BPM and incorporates technology-related constructs, even if specific technologies and digital transformation are not explicitly named.
* **CE02: Does not apply** — The study is explicitly set in a service firm and organizational context, addressing competitive markets, cross-functional processes, and customer outcomes.
* **CE03: Does not apply** — This is a primary empirical study using a survey instrument.
* **CE04: Does not apply** — The abstract provides sufficient information for full assessment.
---
**Summary:** The study fails inclusion on both CI02 and CI03. Despite being an empirical investigation of BPM in service firms, neither digital transformation/digitalization nor any specific technology is explicitly named in the title or abstract. Per the strict evaluation rules, Score = 0.</t>
  </si>
  <si>
    <t>Hong, Paul C.; Hejazi, Mohammed Taj; Deng, Xiyue; Jagani, Sandeep</t>
  </si>
  <si>
    <t>Dynamic market complexity and service value advantage: an empirical investigation of business process management</t>
  </si>
  <si>
    <r>
      <rPr>
        <rFont val="Helvetica Neue"/>
        <color rgb="FF1155CC"/>
        <u/>
      </rPr>
      <t>https://www.sciencedirect.com/science/article/pii/S1463715422000498</t>
    </r>
  </si>
  <si>
    <t>983-1004</t>
  </si>
  <si>
    <t>Purpose Having complexity theory as the overarching conceptual rationale, this paper presents a research model that defines external drivers, strategic and internal business practices and performance outcomes in service firm contexts. Design/methodology/approach Using an original survey instrument, the authors empirically examine business process management (1) adopting the mediating roles of shared goal practices and technology imperative practices (2) involving moderating roles of competitive market environments and joint implementation practices. Findings In response to dynamic market complexity, firms implement business process management through shared goal practices and technology imperative practices for achieving customer service outcomes. The findings also suggest the moderating roles of competitive pressure and joint implementation practices. Research limitations/implications Generalizations here are limited to service firms. Increasing customer service expectations (e.g. simplicity, convenience, visual images and rapid responses) require firms to involve cross-functional work throughout their organizational processes. Practical implications In digital environments, business process management requires socio-technological synergy through shared goal practices and technology imperative practices. Originality/value Building on a theory-driven research model, a survey instrument provides tools to examine business process management of service firms that sense dynamic market complexity challenges and translate them to achieve desirable customer service outcomes.</t>
  </si>
  <si>
    <t>10.1108/BPMJ-01-2022-0045</t>
  </si>
  <si>
    <t>Score: 0
Justification:
	•	CI01: met — The abstract explicitly mentions “Business process management (BPM) methodology”.
	•	CI02: not met — The abstract discusses “integrative digital pathology (IDP)” and automation, but it does not clearly address digital transformation, digitalization, or digital innovation. Based only on the title/abstract, this is framed as health economics and workflow evaluation, not digital transformation.
	•	CI03: met — The study explicitly mentions technologies such as “automated techniques”, “digital pathology solutions”, “automation of the HER2 in situ hybridization technique”, and “integrative digital pathology (IDP)”.
	•	CI04: met — The study presents an economic evaluation using a decision model, BPM methodology, and TDABC methodology to compare manual FISH versus automated DISH plus IDP.
	•	CI05: met — The title and abstract are written in English.
	•	CE01–CE04: no exclusion criterion clearly applies, but the study receives Score 0 because CI02 is not clearly met. It is related to BPM, technology and an organizational healthcare workflow, but the abstract does not explicitly support digital transformation/digitalization/digital innovation.</t>
  </si>
  <si>
    <t>**Score: 0**
**Justification:**
* **CI01: Met** — Business Process Management is explicitly mentioned and applied: "Business process management (BPM) methodology was applied for capturing working time and latencies." BPM is used as a methodological tool in the study.
* **CI02: Not met** — The abstract does not explicitly mention digital transformation, digitalization, or digital innovation. "Digital pathology" and "integrative digital pathology (IDP)" are referenced, but these are domain-specific clinical terms, not equivalent to the organizational or strategic concepts required by this criterion. Applying the strict evidence-based rule, this criterion is not met.
* **CI03: Not met** — The technologies mentioned (FISH, DISH, IDP, digital pathology solutions) are medical laboratory and diagnostic technologies. None of the technologies listed in the criterion (AI, RPA, process mining, big data, blockchain, IoT, or enterprise software systems) are explicitly named or applied. The automation referenced is medical process automation, not the type of organizational/digital technology addressed by the research topic.
* **CI04: Met** — The study presents a robust multi-method empirical analysis using a decision model, BPM methodology, and time-driven activity-based costing (TDABC), applied to a real-world public health provider context with quantified cost, time, and productivity outcomes.
* **CI05: Met** — The study is written in English.
* **CE01: Does not apply** — BPM is explicitly used as a methodology, and technologies are present, even if not the types specified in the criterion.
* **CE02: Does not apply** — The study is set in an organizational context (a public health provider in Chile), addressing workflow, labor productivity, and cost efficiency at an institutional level.
* **CE03: Does not apply** — This is a primary economic evaluation study.
* **CE04: Does not apply** — The abstract provides sufficient information for full assessment.
---
**Summary:** The study fails on CI02 and CI03. While BPM methodology is genuinely applied, the study is a health economics evaluation of diagnostic pathology workflows in a clinical setting. Digital transformation is not addressed, and the technologies involved are medical rather than organizational. Score = 0.</t>
  </si>
  <si>
    <t>Lenz-Alcayaga, Rony; Paredes-Fernández, Daniela; Verdejo, Fancy Gaete; Páez-Pizarro, Luciano; Hernández-Sánchez, Karla</t>
  </si>
  <si>
    <t>Economic evaluation: Impact on costs, time, and productivity of the incorporation of integrative digital pathology (IDP) in the anatomopathological analysis of breast cancer in a national reference public provider in Chile</t>
  </si>
  <si>
    <r>
      <rPr>
        <rFont val="Helvetica Neue"/>
        <color rgb="FF1155CC"/>
        <u/>
      </rPr>
      <t>https://www.sciencedirect.com/science/article/pii/S2153353924000567</t>
    </r>
  </si>
  <si>
    <t>ABSTRACT Introduction The incidence of breast cancer has risen in Chile, along with the complexity of diagnosis. For accurate diagnosis, it is necessary to complement the morphology assessed with hematoxylin and eosin with additional techniques to evaluate specific tumor markers. Evaluating the impact on costs, time, and productivity of automated techniques integrated with digital pathology solutions is crucial. Objectives To estimate the impact on costs, time, and productivity of incorporating the automation of the HER2 in situ hybridization technique combined with integrative digital pathology (IDP) in breast cancer diagnosis in a Chilean public provider versus a manual technique. Methods This economic evaluation adopted a health economics multi-method approach. A decision model was developed to represent the current manual fluorescence in situ hybridization (FISH) scenario versus an automated dual in situ hybridization (DISH) plus IDP in breast cancer diagnosis. Business process management (BPM) methodology was applied for capturing working time and latencies, in combination with a time-driven activity-based costing (TDABC) methodology for estimating direct, total, and average cost (2023 USD) for both scenarios for the following vectors: Human resources, supplies, and equipment, sorted by pre-analytical, analytical, and post-analytical phases. Indirect costs (2023 USD) were also retrieved. Both BPM and TDABC served to estimate labor productivity. Results In the baseline scenario based on manual FISH, the turnaround time (TAT) was estimated at 1259 min, at an average total cost of $265.67, considering direct and indirect costs for all phases. An average of 20.5 FISH reports were submitted per pathologist monthly during the baseline. The automated DISH plus IDP scenario consumed 203 min per biopsy, at an average total cost of $231.08, considering direct and indirect costs for all phases; it also showed an average of 22.8 submitted reports per pathologist monthly. This represents a decrease of 13.02% in average total costs, an 83.86% decrease in TAT, and an average labor productivity increase of 11.29%. Conclusions The incorporation of automated DISH plus IDP in the pathology department of this public provider has resulted in reductions in the time required to perform the in situ hybridization technique, a decrease in total costs, and increased productivity. Particular attention should be given to adopting new technologies to accelerate processing times and workflow.</t>
  </si>
  <si>
    <t>10.1016/j.jpi.2024.100417</t>
  </si>
  <si>
    <t>Score: 0
Justification:
	•	CI01: not met — Although the abstract mentions “BPM”, it refers to the behavioural perspective model, not Business Process Management. There is no explicit mention of Business Process Management.
	•	CI02: met — The study addresses a digital business context, specifically “online food delivery services” and “digital food delivery”.
	•	CI03: met — The abstract explicitly mentions technologies/analytical methods such as “structural equation modelling (SEM)”, “artificial neural networks (ANN)” and “hybrid SEM–ANN model”.
	•	CI04: met — The study presents an empirical analysis with data from “1,709 participants” and uses SEM and ANN to examine consumer satisfaction and loyalty.
	•	CI05: met — The title and abstract are written in English.
	•	CE01–CE04: CE01 applies partially — The study is related to digital services and technology, but it does not meet the required BPM criterion because “BPM” is used as behavioural perspective model, not Business Process Management. No evidence of CE02, CE03 or CE04.</t>
  </si>
  <si>
    <t>**Score: 0**
**Justification:**
* **CI01: Not met** — The acronym "BPM" appears in the abstract, but it refers to "Behavioural Perspective Model," not Business Process Management: "This research applies the behavioural perspective model (BPM) to digital food delivery." There is no mention of Business Process Management anywhere in the title or abstract.
* **CI02: Not met** — The abstract does not mention digital transformation, digitalization, or digital innovation. References to "digital food delivery" and "online food delivery services" describe the study's consumer context, not an organizational digital transformation initiative.
* **CI03: Met** — Artificial Neural Networks (ANN) are explicitly named and applied as a core analytical method, qualifying as an AI-related technology under the criterion.
* **CI04: Met** — The study presents a hybrid analytical model combining SEM and ANN, empirically applied to data from 1,709 participants across five Colombian cities, constituting both a methodological and empirical contribution.
* **CI05: Met** — The study is written in English.
* **CE01: Applies** — The study is unrelated to Business Process Management or digital transformation in an organizational sense. Its core domain is consumer behavior and satisfaction in online food delivery services.
* **CE02: Does not apply** — The study involves a business context (food delivery companies, customer retention, and brand strategy).
* **CE03: Does not apply** — This is a primary empirical study.
* **CE04: Does not apply** — The abstract provides sufficient information to assess and exclude this study.
---
**Summary:** As in the first study evaluated, the acronym "BPM" is present but refers to a different construct entirely — the Behavioural Perspective Model, not Business Process Management. CI01 and CI02 are unmet, and CE01 applies. The study belongs to the consumer behavior and food delivery domain and is excluded.</t>
  </si>
  <si>
    <t>Hoyos-Vallejo, Carlos Arturo; Carrion Bosquez, Nelson Geovany</t>
  </si>
  <si>
    <t>Enhancing consumer experience in food delivery through hybrid analytical models</t>
  </si>
  <si>
    <r>
      <rPr>
        <rFont val="Helvetica Neue"/>
        <color rgb="FF1155CC"/>
        <u/>
      </rPr>
      <t>https://www.sciencedirect.com/science/article/pii/S0007070X25001909</t>
    </r>
  </si>
  <si>
    <t>4873-4887</t>
  </si>
  <si>
    <t>Purpose This study examines the influence of food biosafety measures (FBM), electronic-service quality (e-SQ), product quality (PQ) and brand image (BI) on electronic-consumer satisfaction (e-CS) and electronic-loyalty (e-LO) in online food delivery services (OFDS). It aims to identify key determinants of consumer behaviour and provide strategic recommendations for improving customer retention. Design/methodology/approach A hybrid approach combining structural equation modelling (SEM) and artificial neural networks (ANN) analysed data from 1,709 participants in five Colombian cities. SEM evaluated linear relationships, while ANN explored nonlinear interactions and predictor importance. Findings FBM and PQ emerged as the most significant drivers of e-CS and e-LO, with FBM exerting the strongest influence. e-SQ had a smaller positive effect on e-CS, while BI unexpectedly showed a negative relationship with both outcomes, suggesting tangible attributes outweigh brand perception. These findings stress prioritizing safety and quality over branding. Originality/value This research applies the behavioural perspective model (BPM) to digital food delivery, highlighting how utilitarian and informational reinforcers shape satisfaction and loyalty. The hybrid SEM–ANN model captures both causal and nonlinear patterns, enhancing predictive precision. It contributes novel insights into loyalty formation within OFDS.</t>
  </si>
  <si>
    <t>10.1108/BFJ-07-2025-0939</t>
  </si>
  <si>
    <t>Score: 0
Justification:
	•	CI01: not met — The abstract mentions “Business Process Model and Notation (BPMN)”, but it does not explicitly mention Business Process Management or BPM. BPMN alone is a modeling notation, not necessarily explicit BPM.
	•	CI02: met — The abstract mentions a “digitalized variant” of crop protection application using drones.
	•	CI03: met — The study explicitly mentions “drones”, “simulation” and technological changes in business processes.
	•	CI04: met — The study presents a method for evaluating the impact of drones on viticultural business processes using BPMN-based simulation, literature research and expert interviews.
	•	CI05: met — The title and abstract are written in English.
	•	CE01–CE04: No exclusion criterion clearly applies, but the study receives Score 0 because CI01 is not clearly met. It is related to business processes, digitalized technology and an organizational/agricultural context, but the title/abstract do not explicitly mention Business Process Management or BPM.</t>
  </si>
  <si>
    <t>**Score: 1**
**Justification:**
* **CI01: Met** — Business Process Model and Notation (BPMN) is explicitly named and applied as the central modeling tool: "representing them using Business Process Model and Notation (BPMN), and considering their simulation." Business processes are also referenced throughout as the unit of analysis.
* **CI02: Met** — Digitalization is explicitly referenced: "The application of crop protection products by drone was considered a digitalized variant." The study directly contrasts conventional methods with a digitalized process variant, addressing digitalization of agricultural business processes.
* **CI03: Met** — Drones are explicitly named and analyzed as the focal technology. BPMN-based simulation tools constitute a software system applied in the study. Both represent specific technologies explicitly mentioned and applied.
* **CI04: Met** — The study presents an evidence-based method combining BPMN process modeling, simulation, literature research, and expert interviews with vinegrowers, applied to evaluate economic and sustainability impacts — constituting both a methodological framework and an empirical investigation.
* **CI05: Met** — The study is written in English.
* **CE01: Does not apply** — The study directly engages with BPM (via BPMN), digitalization, and technologies (drones, simulation tools).
* **CE02: Does not apply** — The study is set in an agricultural business context, examining operational business processes of viticulture enterprises and their economic outcomes.
* **CE03: Does not apply** — This is a primary study applying an original methodology and generating new empirical findings.
* **CE04: Does not apply** — The abstract provides sufficient information for full assessment.
---
**Summary:** All five inclusion criteria are clearly met, and no exclusion criteria apply. This study is a candidate for inclusion.</t>
  </si>
  <si>
    <t>Schieck, Martin; Roemer, Ingolf; Oertel, Anika; Franczyk, Bogdan</t>
  </si>
  <si>
    <t>Evaluating the Economic and Sustainability Impacts of Drones in Viticulture using BPMN-based Simulation</t>
  </si>
  <si>
    <r>
      <rPr>
        <rFont val="Helvetica Neue"/>
        <color rgb="FF1155CC"/>
        <u/>
      </rPr>
      <t>https://www.sciencedirect.com/science/article/pii/S1877050923012346</t>
    </r>
  </si>
  <si>
    <t>892-901</t>
  </si>
  <si>
    <t>This paper presents an investigation into the economic impact of drones in viticulture, an area that has not been previously researched. The authors calculate the economic impacts of drones in viticulture and use this to measure the overall sustainability impact assessment for this technology. The study aims to explore a method for investigating the impact of technological changes on business processes in viticulture. This involves selecting viticultural business processes, representing them using Business Process Model and Notation (BPMN), and considering their simulation. Backpack sprayers and trailed sprayers were considered conventional application methods. The application of crop protection products by drone was considered a digitalized variant. Literature research and guideline-based expert interviews with vinegrowers provided the information basis. The study focuses on plant protection in viticulture, but the results can be applied to other agricultural processes. By integrating all three indicators for sustainability, the study provides an evidence-based method for evaluating the impact of drones on viticultural business processes.</t>
  </si>
  <si>
    <t>10.1016/j.procs.2023.10.076</t>
  </si>
  <si>
    <t>Score: 0
Justification:
	•	CI01: not met — Although the abstract mentions “BPM”, it refers to the bonded particle model, not Business Process Management. There is no explicit mention of Business Process Management.
	•	CI02: not met — The study does not address digital transformation, digitalization, or digital innovation. It focuses on crack development in 3D printed rock-like specimens.
	•	CI03: met — The abstract explicitly mentions technologies/methods such as “3D printing technology”, “digital image correlation (DIC)” and “bonded particle model (BPM)”.
	•	CI04: met — The study presents experimental and numerical investigations, including simulations and comparison with experiments.
	•	CI05: met — The title and abstract are written in English.
	•	CE01–CE04: CE01 applies — The study is unrelated to Business Process Management and digital transformation. CE02 also applies, because it is focused on geostructures/materials engineering rather than an organizational or business context.</t>
  </si>
  <si>
    <t>**Score: 0**
**Justification:**
* **CI01: Not met** — "BPM" appears in the abstract but refers to "bonded particle model," a geomechanical simulation technique, not Business Process Management. There is no mention of Business Process Management in any organizational sense.
* **CI02: Not met** — There is no reference to digital transformation, digitalization, or digital innovation anywhere in the title or abstract. The study is focused on geomechanical fracture behavior.
* **CI03: Not met** — While 3D printing technology and digital image correlation (DIC) are mentioned, these are engineering and materials science tools with no connection to the technologies referenced in this criterion (AI, RPA, process mining, big data, blockchain, IoT, or enterprise software systems) in a BPM or digital transformation context.
* **CI04: Not met** — The study presents experimental and numerical analyses, but exclusively within the domain of rock mechanics and geotechnical engineering. In the absence of any connection to BPM or digital transformation, this cannot satisfy the criterion.
* **CI05: Met** — The study is written in English.
* **CE01: Applies** — The study is entirely unrelated to Business Process Management, digital transformation, or the associated organizational technologies. It belongs to geomechanics and materials engineering.
* **CE02: Applies** — The study has no organizational or business context. It examines physical crack behavior in rock specimens under laboratory conditions.
* **CE03: Does not apply** — This is a primary experimental and numerical study.
* **CE04: Does not apply** — The abstract provides sufficient information to assess and exclude this study.
---
**Summary:** This is the second study in this review session involving "BPM" as "Bonded Particle Model." As with the first (crack development in rock-like specimens), the acronym is entirely unrelated to Business Process Management. The study belongs to geotechnical engineering and is excluded on multiple grounds.</t>
  </si>
  <si>
    <t>Aliabadian, Zeinab; Sharafisafa, Mansour; Tahmasebinia, Faham; Shen, Luming</t>
  </si>
  <si>
    <t>Experimental and numerical investigations on crack development in 3D printed rock-like specimens with pre-existing flaws</t>
  </si>
  <si>
    <r>
      <rPr>
        <rFont val="Helvetica Neue"/>
        <color rgb="FF1155CC"/>
        <u/>
      </rPr>
      <t>https://www.sciencedirect.com/science/article/pii/S0013794420309759</t>
    </r>
  </si>
  <si>
    <t>Rock masses contain various discontinuities such as flaws, cracks, join sets and more, each significantly affect the crack initiation, propagation and coalescence patterns of new cracks which dominates the ultimate failure of geostructures. The interaction of the pre-existing flaws with each other and with the newly formed cracks is complicated which demands a comprehensive look into the phenomenon. This paper focuses on the applicability of the 3D printing technology coupled with the digital image correlation (DIC) and the bonded particle model (BPM) in replicating real behaviour of natural rocks containing pre-existing flaws. Systematic flaws configurations are considered including single, coplanar, partially overlapped and fully overlapped arrangements to enable a comprehensive coalescence analysis. The results show that the BPM is capable of precisely modelling the crack initiation location, type (tensile, shear or mixed-mode) and coalescence type detected by the DIC. Moreover, it is shown that the 3D printed specimens can reproduce the previously identified cracks and coalescence types. By the analysis of the displacement fields, a new coalescence type is detected and introduced and named as type X, which is a mix of wing crack and quasi coplanar secondary shear crack. The analysis of the displacement vectors revealed five types of cracks: shear opposite slip crack, tensile opposite crack, tensile compliant crack, shear compliant crack, and mixed tensile-shear crack. Furthermore, the comparisons made between the peak loads of the experiments and the simulations show a god agreement in terms of peak load magnitude and flaws inclination angle dependency.</t>
  </si>
  <si>
    <t>10.1016/j.engfracmech.2020.107396</t>
  </si>
  <si>
    <t>Score: 1
Justification:
	•	CI01: met — The abstract explicitly mentions “Business process management (BPM)” as a relevant approach for firm/enterprise performance.
	•	CI02: met — The study explicitly addresses “enterprise digital business transformation (EDBT)” and “digital business transformation”.
	•	CI03: met — The abstract explicitly mentions “information technologies/systems (IT/IS)”, “emerging technologies”, and examples such as “IoT, big data, AI”.
	•	CI04: met — The study develops a conceptual model and empirically tests it with “173 company-enterprise respondents” using SmartPLS and SPSS.
	•	CI05: met — The title and abstract are written in English.
	•	CE01–CE04: none apply — The study is related to BPM, digital business transformation, technologies/IT systems, and an enterprise/business context. It is not a secondary study and provides enough information for assessment.</t>
  </si>
  <si>
    <t>**Score: 1**
**Justification:**
* **CI01: Met** — Business Process Management and "BPM" are explicitly mentioned: "Business process management (BPM) has been discussed in much literature as a crucial approach to achieve firm-enterprise business performance."
* **CI02: Met** — Digital transformation is the central subject of the study: "enterprise digital business transformation (EDBT)" is referenced throughout, including "digital business transformation," "digital-based era," and "enterprise digital business transformation."
* **CI03: Met** — Information technologies/systems (IT/IS) are the central constructs of the study. Additionally, the abstract explicitly names specific technologies in the limitations section: "current emerging technologies (e.g. IoT, big data, AI)," confirming their direct relevance to the study's scope and research agenda.
* **CI04: Met** — The study presents a conceptual framework empirically validated using structural equation modeling (SmartPLS) and SPSS on 173 enterprise respondents across multiple industries in Indonesia, constituting both a theoretical model and an empirical analysis.
* **CI05: Met** — The study is written in English.
* **CE01: Does not apply** — The study directly addresses BPM, digital transformation, and specific technologies (IT/IS, IoT, big data, AI).
* **CE02: Does not apply** — The study is explicitly set in an enterprise and multi-industry organizational context, covering manufacturing, construction, financial services, and retail, among others.
* **CE03: Does not apply** — This is a primary empirical study using survey data and statistical modeling, not a secondary review.
* **CE04: Does not apply** — The abstract provides sufficient information for a complete assessment.
---
**Summary:** All five inclusion criteria are clearly met, and no exclusion criteria apply. This study is a strong candidate for inclusion.</t>
  </si>
  <si>
    <t>Li, Jing; Saide, Saide; Ismail, Mohd Nasir; Indrajit, Richardus Eko</t>
  </si>
  <si>
    <t>Exploring IT/IS proactive and knowledge transfer on enterprise digital business transformation (EDBT): a technology-knowledge perspective</t>
  </si>
  <si>
    <r>
      <rPr>
        <rFont val="Helvetica Neue"/>
        <color rgb="FF1155CC"/>
        <u/>
      </rPr>
      <t>https://www.sciencedirect.com/science/article/pii/S1741039821000619</t>
    </r>
  </si>
  <si>
    <t>597-616</t>
  </si>
  <si>
    <t>Purpose Business process management (BPM) has been discussed in much literature as a crucial approach to achieve firm-enterprise business performance, however in term of digital business transformation to face the current digital enterprise business era, there is still much to be explored. Drawing sociotechnical perspective of ETHICS theory, the study develops and conceptualize information technologies/systems (IT/IS) proactive capability and socialization-codification knowledge process that produce business transformation process in digital-based era. Design/methodology/approach Of the 173 company-enterprise respondents in Indonesia, the authors empirically test and validate the conceptual model using structural equation model tool-SmartPLS and SPSS statistical. The enterprise respondents were manufactures industry, construction services, hardware and software, plantation and agriculture, financial and insurance services, and other retail trade. Findings The authors found different findings of mediating effect and direct relationship effect. Socialization knowledge process has directly influence IT/IS proactive capability and enterprise digital business transformation. Codification knowledge process has successfully support IT/IS proactive capability, but unsupported correlation on enterprise digital business transformation. Also, IT/IS proactive capability positively influence enterprise digital business transformation. Enterprise business process suffers when the firm transform their business process into digital-based only using codification knowledge practices because documented knowledge (codification type) is not strong enough to help company in the way of enterprise digital business transformation. Mediating role show IT/IS proactive capability is crucial approach for enterprise business transformation to maximize codification knowledge practices. The findings present one fully supported results of mediation role through IT/IS proactive capability. A stronger support for enterprise IT/IS strategy in company, a high opportunity for codification knowledge practices to improve the digital ways to transform the enterprise business process. In short, the results can guide enterprise managers on how to manage their knowledge resources and maximizing emerging technologies to achieve enterprise digital business transformation. Research limitations/implications The authors acknowledged that future studies would be worthwhile to create, develop and strengthen the model and its related foundation. Future research may try different concept/theory that applicable in enterprise digital business transformation. Also, an opportunity for future study is how enterprise digital business transformation in different context of industries with the current emerging technologies (e.g. IoT, big data, AI). Originality/value This study offers a theoretical and conceptual framework to the applicable digital-based within enterprise business transformation context. A knowledge/novel contribution of this study is the integration of a sociotechnical that highly relevant and drives enterprise digital business transformation. This study also is an effort to combine some areas such as business transformation strategy, knowledge-intensive business services, knowledge management and IT/IS.</t>
  </si>
  <si>
    <t>10.1108/JEIM-08-2020-0344</t>
  </si>
  <si>
    <t>https://chatgpt.com/share/69e7cad3-25ec-8332-a243-aaf9821c3d9c</t>
  </si>
  <si>
    <t>Score: 0
Justification:
        •        CI01: not met — The abstract discusses “processes”, “work processes” and “process mining”, but does not explicitly mention Business Process Management or BPM.
        •        CI02: met — The abstract explicitly mentions “Digitalization of knowledge work”.
        •        CI03: met — The study mentions technologies and technical approaches such as “different tools”, “graph of integrated data objects and tasks”, “graph-based model”, “mining approach” and “privacy-preserving sharing and mining”.
        •        CI04: met — The paper proposes a “bottom-up approach” and tests it “in a real-world setting” in the domain of intellectual property.
        •        CI05: met — The title and abstract are written in English.
        •        CE01–CE04: No exclusion criterion clearly applies, but the study receives Score 0 because CI01 is not clearly met. It is related to digitalization, process/data mining and organizational knowledge work, but the title/abstract do not explicitly mention Business Process Management or BPM.</t>
  </si>
  <si>
    <t>**Score: 0**
**Justification:**
* **CI01: Not met** — Neither "Business Process Management" nor "BPM" appears in the title or abstract. The study refers to "work processes," "administrative tasks," and "continuous work processes," but these are generic process references, not explicit mentions of Business Process Management as a discipline or methodology.
* **CI02: Met** — Digitalization is explicitly referenced at the outset: "Digitalization of knowledge work in communication-intensive domains such as intellectual property protection poses great challenges but also opportunities."
* **CI03: Met** — A "dependency-based mining approach" for learning task sequences is explicitly proposed and applied, qualifying as a process/data mining technology. Graph-based modeling and "privacy-preserving sharing and mining" methods are also explicitly described as software-based technical approaches.
* **CI04: Met** — The study proposes an original bottom-up graph-based approach tested in a real-world setting in the intellectual property domain, with initial mining results presented — constituting both a methodological framework and an empirical application.
* **CI05: Met** — The study is written in English.
* **CE01: Does not apply** — The study is related to digitalization and technologies (data/process mining), even if BPM is not explicitly named.
* **CE02: Does not apply** — The study is set in an organizational context — knowledge workers and administrative staff in the intellectual property domain, dealing with legal processes and knowledge management.
* **CE03: Does not apply** — This is a primary study proposing and testing an original approach.
* **CE04: Does not apply** — The abstract provides sufficient information for full assessment.
---
**Summary:** The study fails inclusion solely on CI01. Despite addressing digitalization of knowledge-intensive work processes and applying mining technologies, the term "Business Process Management" or "BPM" does not appear in the title or abstract. Per the strict evaluation rules, Score = 0.</t>
  </si>
  <si>
    <t>Hübscher, Gerd; Geist, Verena; Auer, Dagmar; Ekelhart, Andreas; Mayer, Rudolf; Nadschläger, Stefan; Küng, Josef</t>
  </si>
  <si>
    <t>Graph-based managing and mining of processes and data in the domain of intellectual property</t>
  </si>
  <si>
    <r>
      <rPr>
        <rFont val="Helvetica Neue"/>
        <color rgb="FF1155CC"/>
        <u/>
      </rPr>
      <t>https://www.sciencedirect.com/science/article/pii/S030643792100079X</t>
    </r>
  </si>
  <si>
    <t>Digitalization of knowledge work in communication-intensive domains such as intellectual property protection poses great challenges but also opportunities to improve today’s working environments. The legal domain is strongly characterized by knowledge work, whereby, despite a common legal framework, creativity of individual experts is decisive. This knowledge-intensive work deals with a great amount of data objects, not only as a working basis, but also as a result. While experts heavily follow individual working styles, they still rely on a vast amount of administrative tasks, which are carried out by the supporting staff. These tasks are expected to be performed regularly, reliably and without errors, despite necessary adjustments to the current case and the changing legal framework. Today, knowledge work and administrative tasks are typically supported by different tools that are hardly integrated. Therefore, the tracing of continuous work processes based on exchanged data objects is a great challenge. This traceability is crucial, not only for legal security reasons, but also to enable mining and learning of applicable knowledge about processes. In this paper, we propose a bottom-up approach, which applies a continuously evolving graph of integrated data objects and tasks to model and store static and dynamic aspects of administrative as well as knowledge work, and test the approach in a real-world setting in the domain of intellectual property. We further present initial results of a novel dependency-based mining approach to learn data-dependent task sequences in the graph-based model and discuss several methods for enabling privacy-preserving sharing and mining.</t>
  </si>
  <si>
    <r>
      <t>10.1016/</t>
    </r>
    <r>
      <rPr>
        <rFont val="Helvetica Neue"/>
        <color rgb="FF1155CC"/>
        <u/>
      </rPr>
      <t>j.is</t>
    </r>
    <r>
      <rPr>
        <rFont val="Helvetica Neue"/>
      </rPr>
      <t>.2021.101844</t>
    </r>
  </si>
  <si>
    <t>Score: 0
Justification:
	•	CI01: not met — Although the abstract mentions “Business Process Mapping (BPM)”, it does not explicitly mention Business Process Management. Here, “BPM” is defined as Business Process Mapping, not Management.
	•	CI02: met — The abstract explicitly mentions “digital maturity”, “digitalization”, and “digitalizing business processes”.
	•	CI03: met — The study mentions a “digital tool”, “Software Development Life Cycle (SDLC)”, “graphical tool”, and “self-configuring database”.
	•	CI04: met — The study presents the development of a new graphical digital tool/methodology for extracting, classifying and mapping business activities.
	•	CI05: met — The title and abstract are written in English.
	•	CE01–CE04: No exclusion criterion clearly applies, but the study receives Score 0 because CI01 is not clearly met. It is related to digitalization and business process mapping, but it does not explicitly address Business Process Management/BPM as required.</t>
  </si>
  <si>
    <t>**Score: 0**
**Justification:**
* **CI01: Not met** — The acronym "BPM" appears once in the abstract, but it explicitly stands for "Business Process Mapping": "a new graphical tool to replace traditional tools in the domain of Business Process Mapping (BPM)." Business Process Mapping, while related to BPM as a discipline, is not the same as Business Process Management, and the term "Business Process Management" does not appear anywhere in the title or abstract. Following the precedent applied consistently in this evaluation session, when "BPM" explicitly refers to a different construct, CI01 is not met.
* **CI02: Met** — Digitalization is explicitly referenced: "In order to advance digitalization, the mapping of all business activities is essential" and "innovative solutions to the challenges faced in digitalizing business processes." "Digital maturity" also appears in the title.
* **CI03: Met** — Software Development Life Cycle (SDLC) principles and a self-configuring database are explicitly mentioned as technologies applied in the development of the digital tool, qualifying under the "software systems" category.
* **CI04: Met** — The study presents an original digital tool developed using SDLC principles, featuring a graphical methodology and auto-configuring database for business activity extraction and classification.
* **CI05: Met** — The study is written in English.
* **CE01: Does not apply** — The study is related to business process analysis, digitalization, and software tools, even if the specific term "Business Process Management" is absent.
* **CE02: Does not apply** — The study is set in a business operational context, addressing the digitalization of business activities.
* **CE03: Does not apply** — This is a primary study presenting an original tool development.
* **CE04: Does not apply** — The abstract provides sufficient information for assessment.
---
**Summary:** The study fails inclusion solely on CI01, as "BPM" in the abstract explicitly refers to "Business Process Mapping," not "Business Process Management." Per the strict and consistent evaluation rules applied throughout this session, Score = 0.</t>
  </si>
  <si>
    <t>Telukdarie, Arnesh; Tshukudu, Christian; Sishi, Mike</t>
  </si>
  <si>
    <t>Graphics based business process harnessing tools, advancing digital maturity of business</t>
  </si>
  <si>
    <r>
      <rPr>
        <rFont val="Helvetica Neue"/>
        <color rgb="FF1155CC"/>
        <u/>
      </rPr>
      <t>https://www.sciencedirect.com/science/article/pii/S1463715424000864</t>
    </r>
  </si>
  <si>
    <t>843-859</t>
  </si>
  <si>
    <t>Purpose The advancement of digital maturity at a business level has proven to be challenging, with limited time, resources and skills in extracting and mapping business processes. In order to advance digitalization, the mapping of all business activities is essential. To close this gap, this research is aimed at enabling the operational level extraction and classification of business activities using a graphical methodology. This objective is accomplished through the development of a digital tool that leverages Software Development Life Cycle (SDLC) principles. Design/methodology/approach This research is focused on facilitating rapid extraction of business activities with the adoption of a graphical methodology. Business activities are captured through a digital tool in a structured, interlinked and hierarchical manner. Findings Notably, this work is novel as it introduces a new graphical tool to replace traditional tools in the domain of Business Process Mapping (BPM). This graphical tool is distinguished by a unique feature; that is a self-configuring database with the flexibility to capture all process options, providing innovative solutions to the challenges faced in digitalizing business processes. Originality/value This work is original in that a new graphical interface is developed to replace traditional tools in the space of BP data gathering. The unique challenge of an auto configuring database with flexibility to capture all process options is presented.</t>
  </si>
  <si>
    <t>10.1108/BPMJ-07-2023-0529</t>
  </si>
  <si>
    <t>Score: 1
Justification:
	•	CI01: met — The title explicitly mentions “BPM”, and the abstract mentions “Business Process Management methodology” and “Business Process Management System”.
	•	CI02: met — The abstract explicitly addresses “digitalization”, including “care process redesign and digitalization”, “Care Pathways digitalization” and “digitalization of CPs”.
	•	CI03: met — The study explicitly mentions technologies such as “telemedicine”, “e-health technologies”, “advanced Information and Communication Technology (ICT) systems and devices”, and an “integrated IT system”.
	•	CI04: met — The study presents and applies an innovative model/methodological framework, “TALIsMAn”, to support care process redesign and digitalization.
	•	CI05: met — The title and abstract are written in English.
	•	CE01–CE04: none apply — The study is related to BPM, digitalization, technologies, and an organizational healthcare process context. It is not presented as a secondary study and provides enough information for assessment.</t>
  </si>
  <si>
    <t>**Score: 1**
**Justification:**
* **CI01: Met** — Business Process Management is explicitly and substantively referenced: "we introduce a Business Process Management methodology implementation" and "digitalization of CPs supported by Business Process Management System." BPM is a core methodological pillar of the study.
* **CI02: Met** — Digitalization is explicitly and repeatedly addressed: "new care process redesign and digitalization for chronic patients," "Care Pathways (CPs) digitalization," and "digitalization of CPs supported by Business Process Management System."
* **CI03: Met** — Multiple technologies are explicitly named and applied: e-health technologies, telemedicine services, Information and Communication Technology (ICT) systems and devices, and an integrated IT system — all qualifying under the "software systems" category.
* **CI04: Met** — The study presents an original methodological framework (TALIsMAn), applied in an Italian research project to redesign territorial care processes for chronic disease patients, combining clinical models, BPM methodology, and digital technologies.
* **CI05: Met** — The study is written in English.
* **CE01: Does not apply** — The study directly and substantively engages with BPM, digitalization, and health technologies.
* **CE02: Does not apply** — The study is set in an explicit organizational context — healthcare institutions managing care pathways, organizational processes, and actor responsibilities within an Italian health system.
* **CE03: Does not apply** — This is a primary study presenting an original framework and its application, not a secondary review.
* **CE04: Does not apply** — The abstract provides sufficient information for a complete assessment.
---
**Summary:** All five inclusion criteria are clearly and explicitly met, and no exclusion criteria apply. This study is a strong candidate for inclusion.</t>
  </si>
  <si>
    <t>Rocco, Claudio; Mitrano, Gianvito; Corallo, Angelo; Pontrandolfo, Pierpaolo; Guerri, Davide</t>
  </si>
  <si>
    <t>Improving care pathways through BPM and telemedicine: an Italian study</t>
  </si>
  <si>
    <r>
      <rPr>
        <rFont val="Helvetica Neue"/>
        <color rgb="FF1155CC"/>
        <u/>
      </rPr>
      <t>https://www.sciencedirect.com/science/article/pii/S146371542400089X</t>
    </r>
  </si>
  <si>
    <t>799-842</t>
  </si>
  <si>
    <t>Purpose The future increase of chronic diseases in the world requires new challenges in the health domain to improve patients' care from the point of view of the organizational processes, clinical pathways and technological solutions of digital health. For this reason, the present paper aims to focus on the study and application of well-known clinical practices and efficient organizational approaches through an innovative model (TALIsMAn) to support new care process redesign and digitalization for chronic patients. Design/methodology/approach In addition to specific clinical models employed to manage chronic conditions such as the Population Health Management and Chronic Care Model, we introduce a Business Process Management methodology implementation supported by a set of e-health technologies, in order to manage Care Pathways (CPs) digitalization and procedures improvement. Findings This study shows that telemedicine services with advanced devices and technologies are not enough to provide significant changes in the healthcare sector if other key aspects such as health processes, organizational systems, interactions between actors and responsibilities are not considered and improved. Therefore, new clinical models and organizational approaches are necessary together with a deep technological change, otherwise, theoretical benefits given by telemedicine services, which often employ advanced Information and Communication Technology (ICT) systems and devices, may not be translated into effective enhancements. They are obtained not only through the implementation of single telemedicine services, but integrating them in a wider digital ecosystem, where clinicians are supported in different clinical steps they have to perform. Originality/value The present work defines a novel methodological framework based on organizational, clinical and technological innovation, in order to redesign the territorial care for people with chronic diseases. This innovative ecosystem applied in the Italian research project TALIsMAn is based on the concept of a continuum of care and digitalization of CPs supported by Business Process Management System and telemedicine services. The main goal is to organize the different socio-medical activities in a unique and integrated IT system that should be sustainable, scalable and replicable.</t>
  </si>
  <si>
    <t>10.1108/BPMJ-08-2022-0378</t>
  </si>
  <si>
    <t>Score: 0
Justification:
	•	CI01: not met — Although the abstract mentions “BPM”, it refers to beats per minute/tempo in music, not Business Process Management. There is no explicit mention of Business Process Management.
	•	CI02: not met — The abstract mentions possible “future digital therapeutic and medical device applications”, but it does not address digital transformation, digitalization, or digital innovation in the research topic sense.
	•	CI03: met — The study mentions technologies/tools such as “optical microscope with software”, “real-time observation”, and “medical device applications”.
	•	CI04: met — The study presents an analytical/experimental approach to monitor the effect of acoustic vibration on E. coli motility.
	•	CI05: met — The title and abstract are written in English.
	•	CE01–CE04: CE01 applies — The study is unrelated to Business Process Management and digital transformation. CE02 also applies, because it is a biological/medical device study, not an organizational or business context.</t>
  </si>
  <si>
    <t>**Score: 0**
**Justification:**
* **CI01: Not met** — Neither "Business Process Management" nor "BPM" as an organizational concept appears in the title or abstract. The term "BPM" appears only in the musical context of "Beats Per Minute" (25 BPM to 250 BPM), referring to musical tempo, not Business Process Management.
* **CI02: Not met** — There is no mention of digital transformation, digitalization, or digital innovation in any organizational sense. "Digital therapeutic and medical device applications" appears as a speculative future implication but does not constitute engagement with digital transformation as addressed by this criterion.
* **CI03: Not met** — The study uses optical microscopy and analytical software, but these are laboratory instruments with no connection to the technologies referenced in this criterion (AI, RPA, process mining, big data, blockchain, IoT, or enterprise software systems) in a BPM or digital transformation context.
* **CI04: Not met** — While an empirical analysis is conducted, it is entirely within the domain of microbiology and bacterial motility research, with no connection to BPM or digital transformation.
* **CI05: Met** — The study is written in English.
* **CE01: Applies** — The study is entirely unrelated to Business Process Management, digital transformation, or associated organizational technologies. It belongs to microbiology and biophysics.
* **CE02: Applies** — The study has no organizational or business context. It examines the effect of acoustic vibration on bacterial motility in a laboratory setting.
* **CE03: Does not apply** — This is a primary experimental study.
* **CE04: Does not apply** — The abstract provides sufficient information to assess and exclude this study.
---
**Summary:** This is a microbiology study examining the effect of music on *E. coli* motility. "BPM" refers exclusively to beats per minute in the musical sense. The study has no connection to Business Process Management, digital transformation, or the research topic, and is excluded on multiple grounds.</t>
  </si>
  <si>
    <t>Ku, Hsin-Ning; Lin, Wei-Feng; Peng, Hwei-Ling; Yew, Tri-Rung</t>
  </si>
  <si>
    <t>In-situ monitoring the effect of acoustic vibration in the form of music on the motility of Escherichia coli</t>
  </si>
  <si>
    <r>
      <rPr>
        <rFont val="Helvetica Neue"/>
        <color rgb="FF1155CC"/>
        <u/>
      </rPr>
      <t>https://www.sciencedirect.com/science/article/pii/S0003682X20307246</t>
    </r>
  </si>
  <si>
    <t>In this work, a new analytical approach combining optical microscope with software was carried out to study the effect of music on bacteria and to explore its potential mechanism. The stimulation of classical music (Flight of the Bumblebee) with different frequencies (range from 55 Hz to 4186 Hz) and tempos (range from 25 BPM to 250 BPM) was transmitted in the form of vibration by the apparatus which was bone conduction to Escherichia coli MG1655. The increment of E. coli motility affected by Flight of the Bumblebee was quantified by two approaches. One was indirect motility assay and the other was the in-situ monitoring on the swimming behavior of E. coli under the optical microscope. The in-situ monitoring was conducted by combining optical microscope with software which enabled real-time observation on the swimming behavior of E. coli. Both results showed that different frequencies and tempos of musical vibration affected the motility to a different extent. With comparison, it was found that the music with higher frequency and faster tempo could enhance more on the motility. Above findings suggest this new analytical approach could be applied for investigating the motility of E. coli, and also a potential mechanism to modulate biological cells for future digital therapeutic and medical device applications.</t>
  </si>
  <si>
    <t>10.1016/j.apacoust.2020.107620</t>
  </si>
  <si>
    <t>Score: 0
Justification:
	•	CI01: not met — The abstract discusses “enterprise modeling” and “formal modeling”, but does not explicitly mention Business Process Management or BPM.
	•	CI02: not met — The abstract discusses “Digital Twins (DT)” and industrial intelligence, but does not clearly address digital transformation, digitalization, or digital innovation.
	•	CI03: met — The study explicitly mentions technologies such as “AI technology”, “cyber-physical-social systems”, “Digital Twins (DT)”, “formal modeling languages” and “remote maintenance”.
	•	CI04: met — The paper proposes a model management architecture, a modeling methodology and a metamodel, validated through a multi-enterprise remote maintenance scenario.
	•	CI05: met — The title and abstract are written in English.
	•	CE01–CE04: no exclusion criterion clearly applies, but the study receives Score 0 because CI01 and CI02 are not clearly met. It is related to industrial technology and enterprise modeling, but not explicitly to Business Process Management or digital transformation/digitalization/digital innovation.</t>
  </si>
  <si>
    <t>**Score: 0**
**Justification:**
* **CI01: Not met** — Neither "Business Process Management" nor "BPM" appears anywhere in the title or abstract. The study addresses industrial digital twins and enterprise modeling, but does not reference BPM as a discipline or methodology.
* **CI02: Not met** — The abstract does not explicitly mention digital transformation, digitalization, or digital innovation. "Digital Twins" is a specific technology concept, not equivalent to digital transformation as addressed by this criterion. No relevant term appears in either the title or abstract.
* **CI03: Met** — Artificial Intelligence (AI) and Digital Twins (DT) are explicitly named and applied as central technologies, along with cyber-physical-social systems and formal modeling languages.
* **CI04: Met** — The study proposes a model management architecture, a modeling methodology, and a metamodel, validated through a multi-enterprise remote maintenance scenario — constituting both a methodological framework and an empirical application.
* **CI05: Met** — The study is written in English.
* **CE01: Does not apply** — The study is related to AI and digital technologies, even if BPM and digital transformation are absent.
* **CE02: Does not apply** — The study involves a multi-enterprise network collaboration context in industrial engineering, which constitutes an organizational and business setting.
* **CE03: Does not apply** — This is a primary study proposing an original architecture and methodology.
* **CE04: Does not apply** — The abstract provides sufficient information for full assessment.
---
**Summary:** The study fails inclusion on both CI01 and CI02. Despite the presence of AI and digital twin technologies in an enterprise context, neither Business Process Management nor digital transformation is explicitly mentioned in the title or abstract. Score = 0.</t>
  </si>
  <si>
    <t>Qu, Mengjin; Yao, Yining; Sun, Minhui; Chang, Xinran; Li, Qing</t>
  </si>
  <si>
    <t>Industrial digital twins based on enterprise modeling: architecture, methodology, and engineering applications</t>
  </si>
  <si>
    <r>
      <rPr>
        <rFont val="Helvetica Neue"/>
        <color rgb="FF1155CC"/>
        <u/>
      </rPr>
      <t>https://www.sciencedirect.com/science/article/pii/S2452414X25001359</t>
    </r>
  </si>
  <si>
    <t>As AI technology increasingly permeates industrial applications, scenario management within the context of industrial intelligence presents a complex, multidisciplinary, and spatiotemporally coupled challenge. The integration characteristics of cyber-physical-social systems make Digital Twins (DT) a promising solution. However, constructing an effective DT model for such scenarios necessitates the incorporation of detailed industrial knowledge related to the corresponding data. Formal modeling serves as a unified cognitive approach and a robust foundation for system development. Hence, this paper focuses on the scenario management challenges within the industrial intelligence context and introduces the concept of using formal modeling languages as the foundation for DTs. We propose a model management architecture and a modeling methodology tailored for scenario-specific digital twins and provide a corresponding metamodel for the modeling approach. To validate the efficacy of our architecture and models, we analyze a multi-enterprise network collaboration scenario in remote maintenance of engineering machinery. This exploration not only demonstrates the validity of the proposed models and architecture but also offers a conceptual DT model for enhancing remote machinery maintenance.</t>
  </si>
  <si>
    <t>10.1016/j.jii.2025.100912</t>
  </si>
  <si>
    <t>Score: 0
Justification:
	•	CI01: not met — There is no mention of Business Process Management or BPM. The “bpm” in the abstract refers to beats per minute, not Business Process Management.
	•	CI02: not met — The abstract discusses digital devices in perioperative monitoring, but it does not clearly address digital transformation, digitalization, or digital innovation.
	•	CI03: met — The study explicitly mentions technologies such as “multimodal digital devices”, “wearable devices”, “commercial smartwatch”, “electronic patient-reported outcomes (ePROs)” and “electronic health records (EHRs)”.
	•	CI04: met — The study presents a development and usability/self-controlled study with 288 patients, using Bland-Altman analysis and threshold analysis.
	•	CI05: met — The title and abstract are written in English.
	•	CE01–CE04: CE01 applies — The study is unrelated to Business Process Management and the intended BPM/digital transformation topic. CE02 also applies, because it focuses on clinical perioperative monitoring rather than an organizational/business context.</t>
  </si>
  <si>
    <t>**Score: 0**
**Justification:**
* **CI01: Not met** — Neither "Business Process Management" nor "BPM" appears anywhere in the title or abstract. The study is entirely focused on perioperative clinical monitoring using wearable devices.
* **CI02: Not met** — There is no mention of digital transformation, digitalization, or digital innovation. The study addresses clinical monitoring technology in a thoracic surgery context, with no organizational or digital transformation dimension.
* **CI03: Not met** — While wearable devices, smartwatches, and electronic patient-reported outcomes (ePROs) are mentioned, these are medical/clinical technologies with no connection to the technologies referenced in this criterion (AI, RPA, process mining, big data, blockchain, IoT, or enterprise software systems) in a BPM or digital transformation context.
* **CI04: Not met** — The study presents a clinical feasibility and usability evaluation, but exclusively within a medical/surgical domain. In the absence of any connection to BPM or digital transformation, this cannot satisfy the criterion.
* **CI05: Met** — The study is written in English.
* **CE01: Applies** — The study is entirely unrelated to BPM, digital transformation, or associated organizational technologies. It belongs to clinical medicine and medical device evaluation.
* **CE02: Applies** — The study has no organizational or business context. It involves lung cancer patients monitored during hospitalization for thoracic surgery.
* **CE03: Does not apply** — This is a primary clinical development and usability study.
* **CE04: Does not apply** — The abstract provides sufficient information to assess and exclude this study.
---
**Summary:** This is a clinical study evaluating multimodal digital devices for perioperative monitoring of lung cancer patients. It has no connection to BPM, digital transformation, or organizational technologies, and is excluded on multiple grounds.</t>
  </si>
  <si>
    <t>Wang, Runchen; Zheng, Jianqi; Guo, Wenwei; Huang, Haiqi; Wang, Qixia; Li, Yihong; Lin, Manwan; Huang, Linchong; Zhang, Qing; Chen, Kaishen; Ye, Zhiming; Deng, Hongsheng; Jiang, Yu; Lin, Yuechun; Feng, Yi; Huang, Ying; Chen, Ying; He, Jianxing; Liang, Hengrui</t>
  </si>
  <si>
    <t>Integrating a Multimodal Digital Device for Continuous Perioperative Monitoring in Patients With Lung Cancer Undergoing Thoracic Surgery: Development and Usability Study</t>
  </si>
  <si>
    <r>
      <rPr>
        <rFont val="Helvetica Neue"/>
        <color rgb="FF1155CC"/>
        <u/>
      </rPr>
      <t>https://www.sciencedirect.com/science/article/pii/S2291522225001457</t>
    </r>
  </si>
  <si>
    <t>Background Minimally invasive thoracic surgery has improved lung cancer outcomes but requires enhanced postoperative care. Traditionally, the episodic care model has limited timely and multidimensional monitoring of patients. Recent technological advances in multimodal digital devices, including wearable devices and electronic patient-reported outcomes (ePROs), offer a promising solution to these challenges. However, current studies focus on only a few parameters and limited application in thoracic surgery. Objective This study aims to propose a self-controlled study to evaluate the feasibility and reliability of multimodal digital devices, including wearables and ePROs, for continuous perioperative monitoring to enhance recovery after thoracic surgery. Methods We included 288 patients with non–small cell lung cancer from the Guangzhou Medical University cohort, which includes 2757 participants with various lung diseases. Digital data were collected during hospitalization using a commercial smartwatch combined with an ePROs questionnaire, while clinical data were obtained from electronic health records (EHRs). Agreement between the digital device and EHR was evaluated via Bland-Altman analysis. Time-series data were normalized for continuous outlier monitoring, and threshold analysis of ePROs scores were used to explore associations across different modules. Results Throughout hospitalization, digital devices provided a subjective overview of the patients’ recovery trajectories. Results of Bland-Altman analysis demonstrated a high level of agreement between the digital device and the EHR. For body temperature, the analysis revealed a minimal bias of 0.02 °C (95% CI –0.01 °C to 0.05 °C), the agreement for heart rate showed a bias of 0.26 beats per minute (bpm; 95% CI –0.49 bpm to 1.01 bpm), and the bias for oxygen saturation was –0.06% (95% CI –0.27% to 0.15%), indicating close alignment between the 2 measurement methods. Meanwhile, wearable devices demonstrate significant potential in outlier detection compared to the episodic care model, offering accurate and sensitive monitoring of outliers between traditional measurement intervals. Using a thresholding method, we found that wearable metrics were correlated with the severity of ePROs. Conclusions These findings highlight the reliability and clinical potential of digital device–based multimodal systems within the enhanced recovery after surgery framework, offering a novel approach for continuous perioperative monitoring.</t>
  </si>
  <si>
    <t>10.2196/69512</t>
  </si>
  <si>
    <t>Score: 0
Justification:
	•	CI01: not met — There is no mention of Business Process Management or BPM. The “bpm” in the abstract refers to a measurement unit for breathing rate, not Business Process Management.
	•	CI02: not met — The abstract mentions “digital health”, but it does not address digital transformation, digitalization, or digital innovation in an organizational/business process context.
	•	CI03: met — The study explicitly mentions wearable technologies, BR sensors, “Zephyr BioHarness 3.0”, spirometer, Bland-Altman analysis and Monte Carlo method.
	•	CI04: met — The study presents a metrological characterization and comparative evaluation of a wearable breathing-rate sensor against a gold standard monitor.
	•	CI05: met — The title and abstract are written in English.
	•	CE01–CE04: CE01 applies — The study is unrelated to Business Process Management and the intended BPM/digital transformation topic. CE02 also applies, because it focuses on biomedical measurement rather than an organizational or business context.</t>
  </si>
  <si>
    <t>**Score: 0**
**Justification:**
* **CI01: Not met** — Neither "Business Process Management" nor "BPM" appears in the title or abstract. The term "bpm" appears only as "beats per minute," a unit of measurement for respiratory rate. There is no reference to Business Process Management in any form.
* **CI02: Not met** — The abstract does not mention digital transformation, digitalization, or digital innovation. "Digital health" is referenced in passing as broader context, but this does not constitute engagement with digital transformation as an organizational or strategic phenomenon.
* **CI03: Not met** — The technologies mentioned (cardiac belt sensor, wearable devices, spirometer) are biomedical measurement instruments with no connection to the technologies referenced in this criterion in a BPM or digital transformation context.
* **CI04: Not met** — The study presents a metrological characterization using Bland-Altman analysis and the Monte Carlo method, but exclusively within a biomedical instrumentation domain, with no connection to BPM or digital transformation.
* **CI05: Met** — The study is written in English.
* **CE01: Applies** — The study is entirely unrelated to BPM, digital transformation, or associated organizational technologies. It belongs to biomedical metrology and sensor validation.
* **CE02: Applies** — The study has no organizational or business context. It is a technical sensor characterization study conducted under defined laboratory test conditions.
* **CE03: Does not apply** — This is a primary experimental study.
* **CE04: Does not apply** — The abstract provides sufficient information to assess and exclude this study.
---
**Summary:** This is a biomedical metrology study evaluating the accuracy of a respiratory rate sensor. "BPM" refers exclusively to a physical measurement unit. The study has no connection to Business Process Management, digital transformation, or the research topic, and is excluded on multiple grounds.</t>
  </si>
  <si>
    <t>Panni, Luna; Cosoli, Gloria; Antognoli, Luca; Scalise, Lorenzo</t>
  </si>
  <si>
    <t>Measurement of respiratory rate with cardiac belt: Metrological characterization</t>
  </si>
  <si>
    <r>
      <rPr>
        <rFont val="Helvetica Neue"/>
        <color rgb="FF1155CC"/>
        <u/>
      </rPr>
      <t>https://www.sciencedirect.com/science/article/pii/S2665917424002204</t>
    </r>
  </si>
  <si>
    <t>The rapid growth of available wearable technologies, particularly in the healthcare sector, has ushered in a new era of digital health. This progress has introduced new possibilities for the monitoring of vital signs, including breathing rate (BR). BR is a crucial health parameter used to assess an individual's overall well-being; specifically, it can be considered a precise indicator of pathological conditions and stressors. The aim of this study is to conduct a metrological characterization of one of the most widely used BR sensors for the measurement of BR (i.e., Zephyr BioHarness 3.0), comparing it to a BR gold standard monitor (i.e., a spirometer), in determined test conditions, including both natural and defined BR patterns. Additionally, the Monte Carlo method (MCM) was applied to evaluate the propagation of the measurement uncertainty in the identification of the peaks of respiratory signal, used to calculate BR. Results reveal that the Zephyr BioHarness 3.0 sensor provides highly accurate BR measurements, with a precision of ±1 bpm. Bland-Altman analysis indicates a 95 % confidence interval of [-2; 3] bpm, demonstrating a close agreement with the reference instrument. The Pearson's correlation coefficient of 0.95 further validates the linear correlation between the reference/test measurements. The simulation based on MCM provides an expanded uncertainty of ±2 bpm (coverage factor k = 2) in BR estimation due to the uncertainty in the peaks identification (compatible with the accuracy provided by the manufacturer). These results highlight the Zephyr BioHarness 3.0 sensor reliability for BR monitoring while emphasizing the significance of accounting for different disturbing factors, e.g., uncertainty in peak detection during data analysis, also to provide a rigorous level of confidence in the measurement results, hence being able to properly interpret them in biomedical applications.</t>
  </si>
  <si>
    <t>10.1016/j.measen.2024.101244</t>
  </si>
  <si>
    <t>Score: 0
Justification:
	•	CI01: not met — There is no mention of Business Process Management or BPM. The “BPM” in the abstract refers to heart-rate measurement/“beats per minute”, not Business Process Management.
	•	CI02: not met — The abstract mentions digital cameras and medical-device use, but does not address digital transformation, digitalization, or digital innovation.
	•	CI03: met — The study explicitly mentions technologies and frameworks such as “Remote Photoplethysmography (rPPG)”, “digital cameras”, “PyVHR framework” and “rPPG algorithms”.
	•	CI04: met — The study presents a comparative analysis using clinical data, 20 rPPG approaches, and a proposed metric called “Heart-Rate Within Tolerance (HRWT)”.
	•	CI05: met — The title and abstract are written in English.
	•	CE01–CE04: CE01 applies — The study is unrelated to Business Process Management and the intended BPM/digital transformation topic. CE02 also applies, because it focuses on clinical/biomedical measurement rather than an organizational or business context.</t>
  </si>
  <si>
    <t>**Score: 0**
**Justification:**
* **CI01: Not met** — Neither "Business Process Management" nor "BPM" appears in the title or abstract in any relevant sense. "BPM" appears solely as a unit of measurement (beats per minute) for heart rate accuracy.
* **CI02: Not met** — There is no mention of digital transformation, digitalization, or digital innovation. The study is focused entirely on biomedical signal processing and remote heart rate measurement technology.
* **CI03: Not met** — The PyVHR framework and rPPG algorithms are biomedical signal processing tools with no connection to the technologies referenced in this criterion (AI, RPA, process mining, big data, blockchain, IoT, or enterprise software systems) in a BPM or digital transformation context.
* **CI04: Not met** — The study presents an experimental comparative analysis of rPPG techniques, but exclusively within the domain of biomedical engineering and clinical measurement. In the absence of any connection to BPM or digital transformation, this cannot satisfy the criterion.
* **CI05: Met** — The study is written in English.
* **CE01: Applies** — The study is entirely unrelated to BPM, digital transformation, or associated organizational technologies. It belongs to biomedical engineering and medical imaging.
* **CE02: Applies** — The study has no organizational or business context. It involves clinical subjects and biomedical measurement in a laboratory/clinical setting.
* **CE03: Does not apply** — This is a primary experimental comparative study.
* **CE04: Does not apply** — The abstract provides sufficient information to assess and exclude this study.
---
**Summary:** This is a biomedical engineering study on neck-based remote photoplethysmography for heart rate measurement. "BPM" refers exclusively to beats per minute. The study has no connection to Business Process Management, digital transformation, or the research topic, and is excluded on multiple grounds.</t>
  </si>
  <si>
    <t>Arrow, Coen; Ward, Max; Eshraghian, Jason; Dwivedi, Girish</t>
  </si>
  <si>
    <t>Neck-focused Remote Photoplethysmography (rPPG): A comparative study using clinical data and the PyVHR framework</t>
  </si>
  <si>
    <r>
      <rPr>
        <rFont val="Helvetica Neue"/>
        <color rgb="FF1155CC"/>
        <u/>
      </rPr>
      <t>https://www.sciencedirect.com/science/article/pii/S0010482525013083</t>
    </r>
  </si>
  <si>
    <t>Remote Photoplethysmography (rPPG) promises to turn digital cameras into medical devices with the measurement of heart rates, oxygen saturation and the diagnosis arrhythmias already demonstrated. The face-centric nature of current rPPG techniques limits open-datasets from including subjects with clinically-relevant cardiorespiratory conditions without sharing private medical information. The neck, with few identifiable characteristics, is well suited to overcoming this limitation, as it serves as a region of interest (ROI) for pulse detection during jugular venous examination, a common clinical technique. rPPG techniques hinge on the ability to accurately measure heart rates. This paper aims to motivate the development of neck-based rPPG technology by first showing that comparable heart-rate measurement accuracy can be achieved on the neck using rPPG algorithms developed for the face, and then investigating how subject posture affects measurement accuracy. We do this by using a version of the PyVHR framework adapted to process both necks and faces and using 20 different rPPG approaches. We introduce a novel metric, Heart-Rate Within Tolerance (HRWT) as a more intuitive metric for understanding the overall reliability of an rPPG approach. We found comparable heart rate measurement accuracy on a neck-centric dataset, compared with 5 face-centric datasets, with differences in mean absolute percentage error of 1.79 ± 4.93% BPM between the neck and faces. Neck videos were also found to have an improved HRWT, outperforming facial videos by an average of 15%. For neck-centric videos, subject posture was found to decrease performance as the subject moved from a supine, to seated position.</t>
  </si>
  <si>
    <t>10.1016/j.compbiomed.2025.110956</t>
  </si>
  <si>
    <t>Score: 0
Justification:
	•	CI01: not met — Although the abstract mentions “BPM”, it refers to “Breaths Per Minute”, not Business Process Management. There is no explicit mention of Business Process Management.
	•	CI02: not met — The abstract discusses Healthcare 4.0 and Digital Twin technology, but it does not clearly address digital transformation, digitalization, or digital innovation in an organizational/business process context.
	•	CI03: met — The study explicitly mentions technologies and methods such as “Digital Twin (DT)”, “Machine Learning (ML)”, “Deep Learning (DL)”, “ESP32 Wi-Fi Channel State Information (CSI) sensor”, PCA, and supervised classification.
	•	CI04: met — The paper proposes a statistical time series data augmentation method and evaluates it through correlation methods, BPM estimation accuracy, and ML classification.
	•	CI05: met — The title and abstract are written in English.
	•	CE01–CE04: CE01 applies — The study is unrelated to Business Process Management and the intended BPM/digital transformation topic. CE02 also applies, because it focuses on biomedical/healthcare respiration monitoring rather than an organizational or business context.</t>
  </si>
  <si>
    <t>**Score: 0**
**Justification:**
* **CI01: Not met** — Neither "Business Process Management" nor "BPM" appears in any relevant sense. "BPM" refers exclusively to "Breaths Per Minute," a physiological measurement unit used throughout the abstract.
* **CI02: Not met** — There is no mention of digital transformation, digitalization, or digital innovation in an organizational context. "Healthcare 4.0" is referenced as a framing concept, but this does not constitute explicit engagement with digital transformation as required by the criterion.
* **CI03: Not met** — Machine learning, deep learning, and sensor technologies are mentioned, but exclusively in a biomedical/healthcare engineering context, with no connection to the technologies referenced in this criterion in relation to BPM or organizational digital transformation.
* **CI04: Not met** — The study presents a data augmentation methodology and ML classification approach, but entirely within the domain of biomedical signal processing and healthcare digital twins. In the absence of any connection to BPM or digital transformation, this cannot satisfy the criterion.
* **CI05: Met** — The study is written in English.
* **CE01: Applies** — The study is entirely unrelated to Business Process Management, digital transformation in an organizational sense, or associated enterprise technologies. It belongs to biomedical engineering and healthcare informatics.
* **CE02: Applies** — The study has no organizational or business context. It involves patient respiratory data collected in a clinical/laboratory setting.
* **CE03: Does not apply** — This is a primary experimental study proposing an original methodology.
* **CE04: Does not apply** — The abstract provides sufficient information to assess and exclude this study.
---
**Summary:** This is a biomedical engineering study on respiratory digital twins using machine learning and data augmentation. "BPM" refers solely to Breaths Per Minute. The study has no connection to Business Process Management, digital transformation in an organizational sense, or the research topic, and is excluded on multiple grounds.</t>
  </si>
  <si>
    <t>Khan, Sagheer; Alzaabi, Aaesha; Ratnarajah, Tharmalingam; Arslan, Tughrul</t>
  </si>
  <si>
    <t>Novel statistical time series data augmentation and machine learning based classification of unobtrusive respiration data for respiration Digital Twin model</t>
  </si>
  <si>
    <r>
      <rPr>
        <rFont val="Helvetica Neue"/>
        <color rgb="FF1155CC"/>
        <u/>
      </rPr>
      <t>https://www.sciencedirect.com/science/article/pii/S0010482523012908</t>
    </r>
  </si>
  <si>
    <t>Digital Twin (DT), a concept of Healthcare (4.0), represents the subject’s biological properties and characteristics in a digital model. DT can help in monitoring respiratory failures, enabling timely interventions, personalized treatment plans to improve healthcare, and decision-support for healthcare professionals. Large-scale implementation of DT technology requires extensive patient data for accurate monitoring and decision-making with Machine Learning (ML) and Deep Learning (DL). Initial respiration data was collected unobtrusively with the ESP32 Wi-Fi Channel State Information (CSI) sensor. Due to limited respiration data availability, the paper proposes a novel statistical time series data augmentation method for generating larger synthetic respiration data. To ensure accuracy and validity in the augmentation method, correlation methods (Pearson, Spearman, and Kendall) are implemented to provide a comparative analysis of experimental and synthetic datasets. Data processing methodologies of denoising (smoothing and filtering) and dimensionality reduction with Principal Component Analysis (PCA) are implemented to estimate a patient’s Breaths Per Minute (BPM) from raw respiration sensor data and the synthetic version. The methodology provided the BPM estimation accuracy of 92.3% from raw respiration data. It was observed that out of 27 supervised classifications with k-fold cross-validation, the Bagged Tree ensemble algorithm provided the best ML-supervised classification. In the case of binary-class and multi-class, the Bagged Tree ensemble showed accuracies of 89.2% and 83.7% respectively with combined real and synthetic respiration dataset with the larger synthetic dataset. Overall, this provides a blueprint of methodologies for the development of the respiration DT model.</t>
  </si>
  <si>
    <t>10.1016/j.compbiomed.2023.107825</t>
  </si>
  <si>
    <t>Score: 0
Justification:
	•	CI01: not met — Although the abstract mentions “BPM”, it refers to beats per minute, not Business Process Management. There is no explicit mention of Business Process Management.
	•	CI02: not met — The abstract does not address digital transformation, digitalization, or digital innovation. It focuses on an electronic circuit for heartbeat measurement.
	•	CI03: met — The study mentions technology-related elements such as an “active voltage detector”, “analog signals”, “digital signal compatible with TTL levels” and heartbeat measurement.
	•	CI04: met — The paper presents a novel circuit solution and an application example for detecting beats per minute.
	•	CI05: met — The title and abstract are written in English.
	•	CE01–CE04: CE01 applies — The study is unrelated to Business Process Management and digital transformation. CE02 also applies, because it focuses on biomedical/electronic measurement rather than an organizational or business context.</t>
  </si>
  <si>
    <t>**Score: 0**
**Justification:**
* **CI01: Not met** — "BPM" appears in the abstract exclusively as "beats per minute," a unit for measuring heartbeat frequency. There is no reference to Business Process Management in any form.
* **CI02: Not met** — There is no mention of digital transformation, digitalization, or digital innovation. The study is a purely technical electronics paper on analog signal processing circuit design.
* **CI03: Not met** — The study describes an analog voltage detector circuit, which is an electronic hardware component with no connection to the technologies referenced in this criterion (AI, RPA, process mining, big data, blockchain, IoT, or enterprise software systems) in a BPM or digital transformation context.
* **CI04: Not met** — The study presents a novel electronic circuit design, but entirely within the domain of analog/digital electronics engineering, with no connection to BPM or digital transformation.
* **CI05: Met** — The study is written in English.
* **CE01: Applies** — The study is entirely unrelated to Business Process Management, digital transformation, or associated organizational technologies. It belongs to electronics engineering and signal processing.
* **CE02: Applies** — The study has no organizational or business context whatsoever. It is a technical electronics paper focused on circuit design and performance characteristics.
* **CE03: Does not apply** — This is a primary technical study presenting an original circuit design.
* **CE04: Does not apply** — The abstract provides sufficient information to assess and exclude this study.
---
**Summary:** This is an electronics engineering paper describing a voltage multiplier/divider circuit for heartbeat detection. "BPM" refers exclusively to beats per minute as a physical measurement unit. The study has no connection to Business Process Management, digital transformation, or the research topic, and is excluded on multiple grounds.</t>
  </si>
  <si>
    <t>Sotner, Roman; Polak, Ladislav; Jerabek, Jan; Langhammer, Lukas; Freeborn, Todd</t>
  </si>
  <si>
    <t>Novel voltage Multiplier/Divider-based active square law detector for heartbeat measurement</t>
  </si>
  <si>
    <r>
      <rPr>
        <rFont val="Helvetica Neue"/>
        <color rgb="FF1155CC"/>
        <u/>
      </rPr>
      <t>https://www.sciencedirect.com/science/article/pii/S0263224124000290</t>
    </r>
  </si>
  <si>
    <t>This paper describes a novel active voltage detector that is capable of processing analog signals with levels from units of mV up to 250 mV. An advantage of the proposed circuit is that the relationship between output voltage and input level is not linear but quadratic, which increases the sensitivity when processing low-level signals. The presented solution has tuning parameters for correction or intentional shift of internal DC offset and electronic control of the output signal gain level. The application example presents detection of beats per minute (BPM) in the range of 6–300 BPM, which corresponds to a frequency range of 0.1–5 Hz. The advantage of the presented solution is that the output of the circuit is directly a digital signal compatible with TTL levels, so there is no need for any analog to digital converter to produce a digital signal for further processing.</t>
  </si>
  <si>
    <t>10.1016/j.measurement.2024.114145</t>
  </si>
  <si>
    <t>Score: 1
Justification:
	•	CI01: met — The abstract explicitly mentions “Business Process Management (BPM)” and discusses managing and improving business processes.
	•	CI02: met — The abstract explicitly mentions “Digital transformation” as a driver for companies to rethink their processes.
	•	CI03: met — The study explicitly mentions “process mining”, “execution data”, automatic prioritization indicators, and analysis of process variants.
	•	CI04: met — The study presents a process mining study using data from multiple companies, defines indicators to prioritize processes, and derives management recommendations.
	•	CI05: met — The title and abstract are written in English.
	•	CE01–CE04: none apply — The study is directly related to BPM, digital transformation, process mining technology/technique, and organizational/business processes. It is not presented as a secondary study and provides enough information for assessment.</t>
  </si>
  <si>
    <t>**Score: 1**
**Justification:**
* **CI01: Met** — Business Process Management and "BPM" are explicitly and centrally referenced: "Business Process Management (BPM) can provide the means to structure and tackle this change."
* **CI02: Met** — Digital transformation is explicitly addressed at the outset: "Digital transformation forces companies to rethink their processes to meet current customer needs."
* **CI03: Met** — Process mining is explicitly named and applied as the central analytical technology: "we use process mining to analyze processes from multiple companies to investigate the distribution of process value."
* **CI04: Met** — The study presents a system of indicators for automated process prioritization, an empirical process mining analysis across multiple real companies, and evidence-based recommendations for process management — constituting both a methodological framework and an empirical analysis.
* **CI05: Met** — The study is written in English.
* **CE01: Does not apply** — The study directly and substantively addresses BPM, digital transformation, and process mining technology.
* **CE02: Does not apply** — The study is explicitly set in a multi-company business context, examining process variants, customer contacts, and execution frequencies across organizations.
* **CE03: Does not apply** — This is a primary empirical study applying process mining to real-world company data, not a secondary review.
* **CE04: Does not apply** — The abstract provides sufficient information for a complete assessment.
---
**Summary:** All five inclusion criteria are clearly and explicitly met, and no exclusion criteria apply. This study is a strong candidate for inclusion.</t>
  </si>
  <si>
    <t>Fischer, Marcus; Hofmann, Adrian; Imgrund, Florian; Janiesch, Christian; Winkelmann, Axel</t>
  </si>
  <si>
    <t>On the composition of the long tail of business processes: Implications from a process mining study</t>
  </si>
  <si>
    <r>
      <rPr>
        <rFont val="Helvetica Neue"/>
        <color rgb="FF1155CC"/>
        <u/>
      </rPr>
      <t>https://www.sciencedirect.com/science/article/pii/S030643792030137X</t>
    </r>
  </si>
  <si>
    <t>Digital transformation forces companies to rethink their processes to meet current customer needs. Business Process Management (BPM) can provide the means to structure and tackle this change. However, most approaches to BPM face restrictions on the number of processes they can optimize at a time due to complexity and resource restrictions. Investigating this shortcoming, the concept of the long tail of business processes suggests a hybrid approach that entails managing important processes centrally, while incrementally improving the majority of processes at their place of execution. This study scrutinizes this observation as well as corresponding implications. First, we define a system of indicators to automatically prioritize processes based on execution data. Second, we use process mining to analyze processes from multiple companies to investigate the distribution of process value in terms of their process variants. Third, we examine the characteristics of the process variants contained in the short head and the long tail to derive and justify recommendations for their management. Our results suggest that the assumption of a long-tailed distribution holds across companies and indicators and also applies to the overall improvement potential of processes and their variants. Across all cases, process variants in the long tail were characterized by fewer customer contacts, lower execution frequencies, and a larger number of involved stakeholders, making them suitable candidates for distributed improvement</t>
  </si>
  <si>
    <r>
      <rPr>
        <rFont val="Helvetica Neue"/>
      </rPr>
      <t>10.1016/</t>
    </r>
    <r>
      <rPr>
        <rFont val="Helvetica Neue"/>
        <color rgb="FF1155CC"/>
        <u/>
      </rPr>
      <t>j.is</t>
    </r>
    <r>
      <rPr>
        <rFont val="Helvetica Neue"/>
      </rPr>
      <t>.2020.101689</t>
    </r>
  </si>
  <si>
    <t>Score: 0
Justification:
	•	CI01: not met — There is no mention of Business Process Management or BPM. The “bpm” in the abstract refers to heart rate/“beats per minute”, not Business Process Management.
	•	CI02: not met — The abstract mentions a “dynamic digital twin” and future wearable-based monitoring, but it does not clearly address digital transformation, digitalization, or digital innovation.
	•	CI03: met — The study explicitly mentions technologies and methods such as “neural network”, “dynamic digital twin”, “wearable-based” systems, and personalized real-time cardiac monitoring.
	•	CI04: met — The study presents and evaluates a novel physiological-model-based neural network framework using datasets from 25 participants, comparing it with benchmark models.
	•	CI05: met — The title and abstract are written in English.
	•	CE01–CE04: CE01 applies — The study is unrelated to Business Process Management and the intended BPM/digital transformation topic. CE02 also applies, because it focuses on biomedical/cardiac monitoring rather than an organizational or business context.</t>
  </si>
  <si>
    <t>**Score: 0**
**Justification:**
* **CI01: Not met** — Neither "Business Process Management" nor "BPM" appears in the title or abstract. "BPM" appears only as a unit of measurement (beats per minute) for heart rate accuracy metrics (e.g., "RMSE of 9.96 bpm").
* **CI02: Not met** — There is no mention of digital transformation, digitalization, or digital innovation. The study addresses physiological modeling and cardiac health monitoring in a biomedical engineering context.
* **CI03: Not met** — Neural networks and wearable technologies are mentioned, but exclusively in a biomedical/clinical context for cardiac monitoring, with no connection to the technologies referenced in this criterion in a BPM or organizational digital transformation context.
* **CI04: Not met** — The study presents a physiological-model-based neural network framework, but entirely within the domain of biomedical engineering and exercise physiology. In the absence of any connection to BPM or digital transformation, this cannot satisfy the criterion.
* **CI05: Met** — The study is written in English.
* **CE01: Applies** — The study is entirely unrelated to Business Process Management, digital transformation, or associated organizational technologies. It belongs to biomedical engineering and cardiac health research.
* **CE02: Applies** — The study has no organizational or business context. It involves 25 participants in a physiological exercise study.
* **CE03: Does not apply** — This is a primary experimental study.
* **CE04: Does not apply** — The abstract provides sufficient information to assess and exclude this study.
---
**Summary:** This is a biomedical engineering study on physiological neural network modeling for heart rate estimation during physical activities. "BPM" refers exclusively to beats per minute. The study has no connection to Business Process Management, digital transformation, or the research topic, and is excluded on multiple grounds.</t>
  </si>
  <si>
    <t>Zhang, Yaowen; Fresiello, Libera; Veltink, Peter H.; Donker, Dirk W.; Wang, Ying</t>
  </si>
  <si>
    <t>Physiological-model-based neural network for modeling the metabolic–heart rate relationship during physical activities</t>
  </si>
  <si>
    <r>
      <rPr>
        <rFont val="Helvetica Neue"/>
        <color rgb="FF1155CC"/>
        <u/>
      </rPr>
      <t>https://www.sciencedirect.com/science/article/pii/S0169260726000088</t>
    </r>
  </si>
  <si>
    <t>Background and Objective: Heart failure (HF) poses a significant global health challenge, with early detection offering opportunities for improved outcomes. Abnormalities in heart rate (HR), particularly during daily activities, may serve as early indicators of HF risk. However, existing HR monitoring tools for HF detection are limited by their reliability on population-based averages. The estimation of individualized HR serves as a dynamic digital twin, enabling precise tracking of cardiac health biomarkers. Methods: This study introduces a novel physiological-model-based neural network (PMB-NN) framework to model the oxygen uptake (V̇O2)-HR relationship during physical activities, establishing a physiology-grounded intermediate module for future daily life HR estimation from body movement signals. PMB-NN embeds physiological constraints, derived from our proposed simplified metabolic–HR physiological model (PM), into the neural network training process. The framework was trained and tested on individual datasets from 25 participants engaged in activities including resting, cycling, and running. HR estimation performance was evaluated for PMB-NN, comparing with benchmark fully connected neural network (FCNN) and PM, across three dimensions: numerical accuracy, physiological plausibility, and physiological interpretability. Furthermore, sensitivity analysis was conducted to verify the model’s robustness against input uncertainty. Results: The PMB-NN model adheres to human physiological principles while achieving high estimation accuracy, with median R2 score of 0.88, RMSE of 9.96 bpm and MAE of 8.87 bpm, even in the presence of intermittent data. Comparative statistical analysis demonstrates that the PMB-NN achieves performance on par with FCNN while significantly outperforming PM (p&lt;0.001). Meanwhile, PMB-NN reaches higher plausibility for HR-V̇O2 coupling (ρ = 1) than both FCNN (p = 0.028) and PM (p&lt;0.001). Furthermore, PMB-NN is adept at identifying personalized parameters of the PM, enabling reasonable HR reconstruction. Sensitivity analysis reveals that PMB-NN yields an RMSE within 15 bpm despite input uncertainties of up to 20% Gaussian noise, 4% outliers, and an 18 s time lag. Conclusion: This study confirms the validity of the PMB-NN framework using precise metabolic inputs. This foundational validation enables future integration with wearable-based V̇O2 estimation systems, ultimately paving the way for personalized, real-time cardiac monitoring during daily life physical activities to enhance HF risk detection.</t>
  </si>
  <si>
    <t>10.1016/j.cmpb.2026.109240</t>
  </si>
  <si>
    <t>Score: 0
Justification:
	•	CI01: not met — Although the abstract mentions “BPM”, it explicitly defines it as Business Process Mapping, not Business Process Management.
	•	CI02: met — The abstract explicitly states that the approach supports “digital transformation initiatives”.
	•	CI03: met — The study mentions technologies such as “NFC Technology”, “NFC-Tracer toolkit”, “passive NFC event logging”, “real-time data collection”, “predictive analytics” and “real-time monitoring”.
	•	CI04: met — The paper presents a real-world application in an Italian SME, with data collection, process reconstruction, KPI identification and statistical analysis.
	•	CI05: met — The title and abstract are written in English.
	•	CE01–CE04: no exclusion criterion clearly applies, but the study receives Score 0 because CI01 is not clearly met. It addresses business process mapping and digital transformation, but not explicitly Business Process Management/BPM as required.</t>
  </si>
  <si>
    <t>**Score: 0**
**Justification:**
* **CI01: Not met** — The acronym "BPM" appears repeatedly in the abstract, but it explicitly refers to "Business Process Mapping," not Business Process Management: "automated Business Process Mapping (BPM) approach" and "autonomous Business Process Mapping (BPM) for SMEs." Consistent with the evaluation applied throughout this session, when "BPM" explicitly stands for a different construct, this criterion is not met. The term "Business Process Management" does not appear in the title or abstract.
* **CI02: Met** — Digital transformation is explicitly referenced: "providing a lightweight and scalable solution to support digital transformation initiatives."
* **CI03: Met** — NFC (Near Field Communication) technology is explicitly named and applied as the central enabling technology, via the NFC-Tracer toolkit. Predictive analytics is also referenced as a future capability, and real-time monitoring features are mentioned.
* **CI04: Met** — The study presents a real-world application of an automated process mapping approach in an Italian SME, with two weeks of data collection, statistical analysis of processing phases, and identification of performance indicators — constituting an applied empirical analysis.
* **CI05: Met** — The study is written in English.
* **CE01: Does not apply** — The study is related to process management activities, digital transformation, and NFC technology.
* **CE02: Does not apply** — The study is explicitly set in a business context — an SME in the industrial valve maintenance sector.
* **CE03: Does not apply** — This is a primary empirical study applying an original toolkit in a real-world setting.
* **CE04: Does not apply** — The abstract provides sufficient information for full assessment.
---
**Summary:** The study fails inclusion solely on CI01, as "BPM" explicitly refers to "Business Process Mapping" rather than "Business Process Management." Applying the consistent standard maintained throughout this evaluation session, Score = 0.</t>
  </si>
  <si>
    <t>Castruccio Castracani, Alessandra Valeria; Chiacchio, Ferdinando; D’Urso, Diego; Oliveri, Ludovica; Trapani, Natalia; Mirenda, Mario</t>
  </si>
  <si>
    <t>Process Discovery in Industrial Valve Maintenance Using NFC Technology: A Scalable Business Process Mapping Approach for SMEs</t>
  </si>
  <si>
    <r>
      <rPr>
        <rFont val="Helvetica Neue"/>
        <color rgb="FF1155CC"/>
        <u/>
      </rPr>
      <t>https://www.sciencedirect.com/science/article/pii/S1877050926001948</t>
    </r>
  </si>
  <si>
    <t>366-375</t>
  </si>
  <si>
    <t>This paper presents a real-world application of an automated Business Process Mapping (BPM) approach using the NFC-Tracer toolkit in an Italian SME operating in the industrial valve maintenance sector. The proposed method enables an effective data-driven reconstruction of production workflows through passive NFC event logging, without requiring prior knowledge of internal processes or personnel involvement. Over a two-week period, real-time data collection enabled the reconstruction of process sequences, the measurement of crossing times, and the identification of critical performance indicators. Statistical analysis was conducted to determine the best-fit cumulative distribution functions (CDFs) for each processing phase, offering insights into service levels and process variability—especially in relation to valve size. The results demonstrate the feasibility and value of autonomous Business Process Mapping (BPM) for SMEs, providing a lightweight and scalable solution to support digital transformation initiatives. Future developments will focus on extending the system’s capabilities with predictive analytics and real-time monitoring features.</t>
  </si>
  <si>
    <t>10.1016/j.procs.2026.02.078</t>
  </si>
  <si>
    <t>Score: 0
Justification:
	•	CI01: not met — The abstract mentions “business process (BP) mining”, “BP management systems (BPMS)” and “business process fragments”, but it does not explicitly mention Business Process Management or BPM. Also, BPMS refers to business process management systems, but the criterion requires explicit mention of Business Process Management or BPM.
	•	CI02: not met — The abstract mentions “digital workplaces”, but it does not clearly address digital transformation, digitalization, or digital innovation.
	•	CI03: met — The study mentions technologies and techniques such as “information systems (IS)”, “emailing systems”, “process mining”, “speech act detection”, “overlapping clustering” and “email logs”.
	•	CI04: met — The paper proposes and validates a non-supervised approach for discovering business process fragments from email logs using the Enron dataset.
	•	CI05: met — The title and abstract are written in English.
	•	CE01–CE04: no exclusion criterion clearly applies, but the study receives Score 0 because CI01 and CI02 are not clearly met. It is related to process mining and digital workplaces, but not explicitly to Business Process Management/BPM or digital transformation/digitalization/digital innovation.</t>
  </si>
  <si>
    <t>**Score: 0**
**Justification:**
* **CI01: Met** — The study explicitly references "BP management systems (BPMS)" — a direct reference to Business Process Management Systems — as the traditional foundation from which the research extends. Business processes (BP) and their management through BPMS are central to the study's framing.
* **CI02: Not met** — The abstract mentions "the recent spread of digital workplaces" as contextual motivation, but this phrase does not constitute an explicit reference to digital transformation, digitalization, or digital innovation. None of these three specific terms appear in the title or abstract. Applying the strict evidence-based rule, this criterion is not met.
* **CI03: Met** — Process mining is explicitly named and applied as the central technology throughout the abstract: "mature solutions for discovering process knowledge" via process mining, extended to email logs. Speech act detection and clustering algorithms are also described as applied techniques.
* **CI04: Met** — The study proposes an original non-supervised approach for discovering business process fragments from email logs across functional, data, and behavioral perspectives, validated on the public Enron email dataset — constituting both a methodological framework and an empirical validation.
* **CI05: Met** — The study is written in English.
* **CE01: Does not apply** — The study is directly related to BPM (via BPMS) and process mining technologies.
* **CE02: Does not apply** — The study is set in an organizational and business context, addressing how employees use emailing systems to perform business process activities.
* **CE03: Does not apply** — This is a primary study proposing an original methodology, not a secondary review.
* **CE04: Does not apply** — The abstract provides sufficient information for full assessment.
---
**Summary:** The study fails inclusion solely on CI02. Despite clear engagement with BPM systems and process mining technology in a workplace context, neither "digital transformation," "digitalization," nor "digital innovation" is explicitly mentioned in the title or abstract. Per the strict evaluation rules, Score = 0.</t>
  </si>
  <si>
    <t>Elleuch, Marwa; Ismaili, Oumaima Alaoui; Laga, Nassim; Gaaloul, Walid</t>
  </si>
  <si>
    <t>Process fragments discovery from emails: Functional, data and behavioral perspectives discovery</t>
  </si>
  <si>
    <r>
      <rPr>
        <rFont val="Helvetica Neue"/>
        <color rgb="FF1155CC"/>
        <u/>
      </rPr>
      <t>https://www.sciencedirect.com/science/article/pii/S0306437923000650</t>
    </r>
  </si>
  <si>
    <t>Significant research work has been conducted in the area of business process (BP) mining leading to mature solutions for discovering process knowledge. These solutions were generally limited to the analysis of structured event logs generated by BP management systems (BPMS). Given the recent spread of digital workplaces, there have been several initiatives to extend the scope of these analysis to consider other information systems (IS) supporting BP execution informally. More precisely, emailing systems have attracted much attention as they are widely used as alternative tools to collaboratively perform BP activities. However, due to the unstructured nature of email logs data, traditional process mining techniques could not be applied or at least not directly applied. Existing approaches that discovered BP from emails are usually supervised or at least require significant human intervention. They focused on discovering BP with respect to their behavioral perspective (i.e. that defines the conditions for activity execution) while neglecting the discovery of their data perspective (i.e. that defines the informational entities manipulated by BP activities). In addition, they did not studied how emailing systems are used in the context of BP executions. They assume that emailing systems are used in the same way employees use ordinary BPMS. However, employees actually use emails to perform poorly structured BP fragments (i.e. parts) rather than complete and well-structured ones. These BP fragments are not necessary defined in advance as in the case of BPMS. This induces the need to discover BP functional perspective (i.e. that defines what a BP performs and what are its activities). Furthermore, employees use emails with different purposes when talking about BP activities (e.g. information about activity execution, request or planning activity execution, etc.). This results in the occurrence of new event types referring to the purpose of considering activities in emails rather than events referring only to their execution. In this paper, we propose to discover BP from email logs with respect to their functional, data and behavioral perspectives. The paper first formalizes these perspectives. Then, it introduces a completely non-supervised approach for discovering them based on: (i) speech act detection for recognizing the purposes of considering activities in emails, (ii) overlapping clustering of activities to discover their manipulated artifacts (i.e. informational entities), (iii) overlapping clustering of BP elements (i.e. activities, artifacts and activity actors) to discover BP fragments and, (iv) mining sequencing constraints between event types deduced from activities and speech acts to discover behavioral perspective. Our approach is finally validated using the public email dataset Enron.</t>
  </si>
  <si>
    <r>
      <t>10.1016/</t>
    </r>
    <r>
      <rPr>
        <rFont val="Helvetica Neue"/>
        <color rgb="FF1155CC"/>
        <u/>
      </rPr>
      <t>j.is</t>
    </r>
    <r>
      <rPr>
        <rFont val="Helvetica Neue"/>
      </rPr>
      <t>.2023.102229</t>
    </r>
  </si>
  <si>
    <t>Score: 0
Justification:
	•	CI01: met — The abstract explicitly states that this is “the first published study to apply business process management to a paediatric feeding clinic”.
	•	CI02: not met — The abstract mentions possible improvements using “digital tools, patient portals and telehealth”, but it does not clearly address digital transformation, digitalization, or digital innovation.
	•	CI03: met — The abstract mentions technologies such as “digital tools”, “patient portals”, “telehealth”, “online interventions”, “automated appointment confirmation system” and “automated transcription”.
	•	CI04: met — The study presents an empirical process improvement analysis using clinic data, clinician workshops, swim lane mapping and root cause analysis.
	•	CI05: met — The title and abstract are written in English.
	•	CE01–CE04: no exclusion criterion clearly applies, but the study receives Score 0 because CI02 is not clearly met. It is related to BPM, health information technology and healthcare process improvement, but the title/abstract do not explicitly frame the work as digital transformation, digitalization or digital innovation.</t>
  </si>
  <si>
    <t>**Score: 0**
**Justification:**
* **CI01: Met** — Business process management is explicitly mentioned: "This is the first published study to apply business process management to a paediatric feeding clinic." It is identified as the methodological foundation of the study.
* **CI02: Not met** — The abstract does not explicitly mention digital transformation, digitalization, or digital innovation. Digital tools, patient portals, telehealth, and automated systems are mentioned as recommended future improvement opportunities, but these references appear in the findings section as suggestions rather than as engagement with digital transformation as an organizational concept. None of the three required terms appear in the title or abstract.
* **CI03: Met** — Digital tools, patient portals, telehealth, automated appointment confirmation systems, automated transcription, and health information technology are explicitly mentioned in the abstract, qualifying as software systems and digital technologies under the criterion, even if proposed as improvements rather than currently applied.
* **CI04: Met** — The study employs three interrelated methods — longitudinal data analysis (seven years of clinic data), clinician workshops with the swim lane method, and root cause analysis — constituting a multi-method empirical investigation with practical findings.
* **CI05: Met** — The study is written in English.
* **CE01: Does not apply** — The study is related to BPM and digital technologies, even if digital transformation is not explicitly named.
* **CE02: Does not apply** — The study is set in a healthcare organizational context, addressing resource management, process coordination, and service delivery in a paediatric clinic.
* **CE03: Does not apply** — This is a primary empirical study, not a secondary review.
* **CE04: Does not apply** — The abstract provides sufficient information for full assessment.
---
**Summary:** The study fails inclusion solely on CI02. Despite applying business process management in a healthcare organizational context and referencing digital tools as improvement pathways, the terms "digital transformation," "digitalization," or "digital innovation" are absent from both the title and abstract. Per the strict evaluation rules, Score = 0.</t>
  </si>
  <si>
    <t>Dadich, Ann; Samaranayake, Premaratne; Hurriyet, Hilal; Elliot, Chris</t>
  </si>
  <si>
    <t>Process improvement of a paediatric feeding clinic</t>
  </si>
  <si>
    <r>
      <rPr>
        <rFont val="Helvetica Neue"/>
        <color rgb="FF1155CC"/>
        <u/>
      </rPr>
      <t>https://www.sciencedirect.com/science/article/pii/S2405844023103586</t>
    </r>
  </si>
  <si>
    <t>e23150</t>
  </si>
  <si>
    <t>Purpose The purpose of this study is to identify opportunities to improve processes within a paediatric feeding clinic to enhance timely patient access to healthcare through effective and efficient resource use. Design/methodology/approach The study involved three interrelated methods. First, de-identified feeding clinic data, collected over seven years, were analysed to understand patient appointments. Second, clinician workshops and the swim lane method were used to map feeding clinic processes. Third, root cause analysis was conducted to identify bottlenecks and identify improvement opportunities. Findings The results revealed three, poorly connected sub-processes within the feeding clinic – namely: the patient triaging and appointment scheduling or allocation process; the clinic reporting process; and the cancellation and rescheduling process. These sub-processes were poorly connected because of inadequate resources, few standardised processes, and limited coordination between the different processes. Consequently, patient appointments were typically delayed, and patient reports were not always completed in a timely manner. Processes within the paediatric feeding clinic could therefore be improved by using digital tools, patient portals and telehealth, online interventions, an automated appointment confirmation system, and/or an automated transcription of each appointment. Originality/value This is the first published study to apply business process management to a paediatric feeding clinic. By using three methods to clarify opportunities to improve clinic processes, it highlights the potential value of health information technology in this context. This evidence will enable health service managers to ensure that children with feeding difficulties have timely access to appropriate care.</t>
  </si>
  <si>
    <t>10.1016/j.heliyon.2023.e23150</t>
  </si>
  <si>
    <t>Score: 0
Justification:
	•	CI01: not met — The abstract mentions “Business Process Model and Notation (BPMN)”, but does not explicitly mention Business Process Management or BPM. BPMN alone is a modeling notation.
	•	CI02: met — The study addresses “Industry 4.0” and “smart factories”, which are strongly linked to digital transformation in industrial contexts.
	•	CI03: met — The abstract explicitly mentions technologies and modeling languages such as “BPMN”, “Unified Modelling Language (UML)”, “Petri Net”, “SciMAT”, “VOS viewer” and “multiple technologies of smart factories”.
	•	CI04: met — The study presents a science mapping analysis to identify strategic themes, challenges, trends and future directions.
	•	CI05: met — The title and abstract are written in English.
	•	CE01–CE04: CE03 applies — The study is a secondary/bibliometric-type study using science mapping. It is also scored 0 because CI01 is not clearly met.</t>
  </si>
  <si>
    <t>**Score: 0**
**Justification:**
* **CI01: Not met** — The abstract mentions "Business Process Model and Notation (BPMN)," which is a specific process modeling notation standard, not "Business Process Management." Neither "Business Process Management" nor the standalone acronym "BPM" appears in the title or abstract.
* **CI02: Not met** — The abstract references "smart factories" and "Industry 4.0" as the application context, but neither "digital transformation," "digitalization," nor "digital innovation" is explicitly mentioned. These terms are not equivalent substitutes under the strict evidence-based rule.
* **CI03: Met** — BPMN, Unified Modelling Language (UML), and Petri Net are explicitly named as specific process modeling technologies applied in smart manufacturing environments.
* **CI04: Not met** — Although a science mapping methodology is employed, this criterion requires the study to present an "application, framework, model, method, or empirical analysis" within the scope of BPM and digital transformation. Since CI01 and CI02 are not met, this cannot be considered in isolation. Additionally, CE03 applies (see below).
* **CI05: Met** — The study is written in English.
* **CE01: Does not apply** — The study addresses process modeling technologies, even if BPM and digital transformation are not explicitly named.
* **CE02: Does not apply** — The study addresses smart factories and industrial manufacturing, which constitutes an organizational and business context.
* **CE03: Applies** — The study explicitly employs science mapping — a bibliometric and systematic literature analysis methodology — to map the field of process modeling in smart factories. Science mapping is a secondary study type, as it analyzes and synthesizes existing published literature rather than generating primary empirical findings.
* **CE04: Does not apply** — The abstract provides sufficient information for full assessment.
---
**Summary:** The study fails on CI01, CI02, and is also excluded by CE03. It is a bibliometric science mapping study — a secondary study type — focused on process modeling languages in smart factories, with no explicit engagement with Business Process Management or digital transformation. Score = 0.</t>
  </si>
  <si>
    <t>Sott, Michele Kremer; Furstenau, Leonardo B.; Kipper, Liane Mahlmann; Reckziegel Rodrigues, Yan Pablo; López-Robles, José Ricardo; Giraldo, Fáber D.; Cobo, Manuel J.</t>
  </si>
  <si>
    <t>Process modeling for smart factories: using science mapping to understand the strategic themes, main challenges and future trends</t>
  </si>
  <si>
    <r>
      <rPr>
        <rFont val="Helvetica Neue"/>
        <color rgb="FF1155CC"/>
        <u/>
      </rPr>
      <t>https://www.sciencedirect.com/science/article/pii/S146371542100056X</t>
    </r>
  </si>
  <si>
    <t>1391-1417</t>
  </si>
  <si>
    <t>Purpose The purpose of this paper is to identify the relationships between process modeling and Industry 4.0, the strategic themes and the most used process modeling language in smart factories. The study also presents the growth of the field of study worldwide, the perspectives, main challenges, trends and suggestions for future works. Design/methodology/approach To do this, a science mapping was performed using the software SciMAT, supported by VOS viewer. Findings The results show that the Business Process Model and Notation (BPMN), Unified Modelling Language (UML) and Petri Net are the most relevant languages to smart manufacturing. The authors also highlighted the need to develop new languages or extensions capable of representing the dynamism, interoperability and multiple technologies of smart factories. Originality/value It was possible to identify the most used process modeling languages in smart environments and understand how these languages assist control and manage smart processes. Besides, the authors highlighted challenges, new perspectives and the need for future works in the field.</t>
  </si>
  <si>
    <t>10.1108/BPMJ-05-2020-0181</t>
  </si>
  <si>
    <t>Score: 0
Justification:
	•	CI01: met — The abstract explicitly mentions “business process management” in relation to integrating chatbots and service delivery.
	•	CI02: not met — The abstract discusses “innovative digital environments” and “digital health solutions”, but it does not clearly address digital transformation, digitalization, or digital innovation as a central topic. Based only on the title/abstract, the focus is healthcare service redesign and patient responses to chatbots.
	•	CI03: met — The study explicitly mentions technologies such as “virtual agents”, “chatbots”, “digital entities” and “digital health solutions”.
	•	CI04: met — The study presents two experimental studies examining chatbot tone of voice and patients’ behavioral responses.
	•	CI05: met — The title and abstract are written in English.
	•	CE01–CE04: no exclusion criterion clearly applies, but the study receives Score 0 because CI02 is not clearly met. It is related to business process management, digital technology and healthcare service processes, but digital transformation/digitalization/digital innovation is not explicitly supported enough in the abstract.</t>
  </si>
  <si>
    <t>**Score: 0**
**Justification:**
* **CI01: Not met** — "Business process management" appears once in the social implications section as a peripheral remark: "This relevance extends to business process management by demonstrating how integrating emotionally intelligent chatbots may contribute to better service delivery." This is an incidental and cosmetic reference, not substantive engagement with BPM as a subject of study. Consistent with the standard applied throughout this evaluation session, peripheral mentions in implications sections do not satisfy this criterion.
* **CI02: Not met** — The abstract does not explicitly mention digital transformation, digitalization, or digital innovation. Phrases such as "transformation in healthcare service delivery processes," "innovative digital environments," and "digital health solutions" appear, but none constitutes an explicit use of the required terms. Applying the strict evidence-based rule, this criterion is not met.
* **CI03: Met** — Chatbots and virtual agents are explicitly named and applied as the central technology throughout the study, qualifying as AI-related software systems under the criterion.
* **CI04: Met** — The study presents two experimental studies examining the impact of chatbot tone of voice on patients' behavioral responses, including analysis of perceived warmth, competence, and emotional receptivity — constituting a rigorous empirical analysis.
* **CI05: Met** — The study is written in English.
* **CE01: Applies** — The core subject of the study is chatbot feature design and patient behavioral responses in a healthcare service context. BPM is not meaningfully addressed; its single mention is incidental.
* **CE02: Does not apply** — The study involves a healthcare service and organizational context, addressing service delivery process redesign.
* **CE03: Does not apply** — This is a primary empirical study with two experimental investigations.
* **CE04: Does not apply** — The abstract provides sufficient information for full assessment.
---
**Summary:** The study fails on CI01 and CI02. Its core focus is on chatbot characteristics and patient behavior in healthcare, with BPM referenced only as a peripheral implication. Per the strict and consistent evaluation rules applied throughout this session, Score = 0.</t>
  </si>
  <si>
    <t>Sestino, Andrea; Rizzo, Cristian; Irgang, Luís; Stehlíková, Beáta</t>
  </si>
  <si>
    <t>Redesigning healthcare service delivery processes through medical chatbot integrations: balancing chatbot features and patients’ individual differences</t>
  </si>
  <si>
    <r>
      <rPr>
        <rFont val="Helvetica Neue"/>
        <color rgb="FF1155CC"/>
        <u/>
      </rPr>
      <t>https://www.sciencedirect.com/science/article/pii/S1463715424000347</t>
    </r>
  </si>
  <si>
    <t>1736-1762</t>
  </si>
  <si>
    <t>Purpose The utilization of virtual agents, particularly chatbots, within healthcare and medical contexts is witnessing exponential growth owing to their capacity to provide comprehensive support to patients throughout their healthcare journey, by reshaping the healthcare business processes. Such transformation in healthcare service delivery processes is enabled by those digital entities able to offer a preliminary screening and consultation platform, facilitating patients’ interactions with real medical professionals. However, when redesigning processes through the integration of new technologies, particular attention to the reactions of end users cannot be neglected. Thus, the purpose of this paper is investigating how both chatbots' features and patients' individual differences may shape a redesigned/renewed service in the healthcare sector. Design/methodology/approach Through two experimental studies (Study 1 and Study 2), we examined the impact of chatbot tone of voice (formal vs unformal) on patients’ behavioral responses, particularly their intention to use. Findings Our investigation shed light on chatbots’ characteristics in terms of perceived warmth, denoting the friendliness and empathy conveyed by the chatbot, and competence, reflecting its effectiveness in addressing user queries or tasks, when used to reshape the service delivery process; Moreover, we also shed light on the moderating role of emotional receptivity seeking, indicating that the emotionality and non-verbal communication between doctor and patient, cannot be overlooked even in innovative digital environments. Practical implications Managers and marketers could leverage insights from this study to tailor chatbot interactions, optimizing tone of voice to enhance patient engagement and satisfaction. By focusing on perceived warmth and competence, they can design more effective digital health solutions. Additionally, recognizing the role of emotional receptivity can guide strategies for integrating chatbots in a way that maintains a human touch in patient communications. Social implications Findings importantly underscore the relevance of chatbot in improving patient care, making digital interactions more empathetic and responsive. This relevance extends to business process management by demonstrating how integrating emotionally intelligent chatbots may contribute to better service delivery on the basis of personalized and effective healthcare experiences. Originality/value The originality of this paper is about the relevance of considering chatbots’ and final users’ characteristics to strategically plan healthcare services process redesign. Indeed, it examines chatbots' perceived warmth and competence in reshaping service delivery processes. Additionally, it highlights the moderating role of emotional receptivity seeking, emphasizing the importance of emotional communication in digital healthcare environments.</t>
  </si>
  <si>
    <t>10.1108/BPMJ-07-2024-0655</t>
  </si>
  <si>
    <t>Score: 0
Justification:
	•	CI01: not met — The abstract discusses “process owners”, “process improvement” and “process mining techniques”, but does not explicitly mention Business Process Management or BPM.
	•	CI02: met — The study explicitly addresses “digitalized processes” and “digitalization of the process”.
	•	CI03: met — The abstract mentions “no-code digitalized processes”, “digital traces”, “process mining techniques” and a “rule-based decision support model”.
	•	CI04: met — The paper conceptualizes a rule-based decision support model for process improvement and reports “initial results of the model in practical application”.
	•	CI05: met — The title and abstract are written in English.
	•	CE01–CE04: no exclusion criterion clearly applies, but the study receives Score 0 because CI01 is not clearly met. It is relevant to digitalized process improvement and process mining, but it does not explicitly mention Business Process Management/BPM.</t>
  </si>
  <si>
    <t>**Score: 0**
**Justification:**
* **CI01: Not met** — Neither "Business Process Management" nor "BPM" appears anywhere in the title or abstract. The study discusses process owners, process improvement, and digitalized processes, but does not reference BPM as a discipline or methodology by name.
* **CI02: Met** — Digitalization is explicitly and repeatedly addressed throughout the abstract: "the digitalization of the process," "digitalized processes offer various advantages," and "no-code digitalized processes exploit the opportunity for quick and agile process adaption."
* **CI03: Met** — Process mining is explicitly named and applied: "process mining techniques support data analysis and assist the extraction of process performance indicators." No-code digital tools are also referenced as an enabling technology category.
* **CI04: Met** — The study conceptualizes an original rule-based decision support model for process improvement, combining process mining with expert knowledge compiled through workshops and interviews, with initial practical application results reported.
* **CI05: Met** — The study is written in English.
* **CE01: Does not apply** — The study is related to digitalization and process mining technologies, even if BPM is not explicitly named.
* **CE02: Does not apply** — The study is set in an organizational context, addressing process owners, process efficiency, and practical business application.
* **CE03: Does not apply** — This is a primary study proposing an original model, not a secondary review.
* **CE04: Does not apply** — The abstract provides sufficient information for full assessment.
---
**Summary:** The study fails inclusion solely on CI01. Despite clear relevance to process digitalization and the explicit application of process mining — both central to the BPM domain — the term "Business Process Management" or "BPM" does not appear in the title or abstract. Per the strict evaluation rules, Score = 0.</t>
  </si>
  <si>
    <t>Chhor, Jimmy; Fischer, Vincent; Kröppel, Fabian; Schmitt, Robert H.</t>
  </si>
  <si>
    <t>Rule-based Decision Support for No-Code Digitalized Processes</t>
  </si>
  <si>
    <r>
      <rPr>
        <rFont val="Helvetica Neue"/>
        <color rgb="FF1155CC"/>
        <u/>
      </rPr>
      <t>https://www.sciencedirect.com/science/article/pii/S221282712200258X</t>
    </r>
  </si>
  <si>
    <t>258-263</t>
  </si>
  <si>
    <t>Digitalized processes offer various advantages: uniform information flow, traceability of process progress, and enhanced analyzability. While these represent initial benefits from the digitalization of the process, a recurring evaluation and optimization of the process are required to sustain and improve process efficiency. For both non-digitalized and digitalized processes, the challenges for process owners are comparable. However, for digitalized processes, convenient tools facilitate process modifications. Particularly no-code digitalized processes exploit the opportunity for quick and agile process adaption with low efforts but require a structured and systematic method to ensure a quality-driven approach. This paper conceptualizes a rule-based decision support model for process improvement that takes advantage of digital traces recorded during process execution of digitalized processes. On the one hand, process mining techniques support data analysis and assist the extraction of process performance indicators as precursors to predict low process performance. On the other hand, process experts compile a list of recommendations for action in workshops and interviews to counteract low process efficiency. The approach to rule-based decision support developed in the scope of this research merges these two dimensions and constitutes an assistive tool for the continuous improvement of digitalized processes. Initial results of the model in practical application support this assessment and demonstrate further research needs.</t>
  </si>
  <si>
    <t>10.1016/j.procir.2022.04.042</t>
  </si>
  <si>
    <t>Score: 1
Justification:
	•	CI01: met — The title explicitly mentions “Low-Code BPM”, and the abstract discusses business processes and process-related stakeholders such as “Process Owners” and “Process Participants”. Here, BPM is used in the context of low-code platforms for business/process management.
	•	CI02: met — The abstract addresses the adoption of “low-code development platforms” and the integration of AI into manufacturing/business processes, which supports digital innovation/digital transformation.
	•	CI03: met — The abstract explicitly mentions “advanced technologies”, “artificial intelligence (AI)” and “low-code development platforms (LCDPs)”.
	•	CI04: met — The study presents an empirical survey assessing stakeholder expectations and perceived importance/impact of AI features.
	•	CI05: met — The title and abstract are written in English.
	•	CE01–CE04: none apply — The study is related to BPM, digital technology/AI, manufacturing/business processes and an organizational context. It is not presented as a secondary study and provides enough information for assessment.</t>
  </si>
  <si>
    <t>**Score: 0**
**Justification:**
* **CI01: Met** — "BPM" appears explicitly in the title as "Low-Code BPM for Manufacturing," referring to Business Process Management. The abstract further references "business processes" in the context of manufacturing and platform adoption.
* **CI02: Not met** — The abstract does not explicitly mention digital transformation, digitalization, or digital innovation. The opening sentence refers to "the increasing integration of advanced technologies and artificial intelligence into manufacturing and business processes," but this describes technology adoption without using any of the three required terms. Applying the strict evidence-based rule, this criterion is not met.
* **CI03: Met** — Artificial intelligence (AI) and low-code development platforms (LCDPs) are explicitly named and are the central technologies examined in the study.
* **CI04: Met** — The study conducts a survey-based empirical analysis across five distinct stakeholder groups (Top Management, Process Owners, Process Participants, Customers, and IT Departments) in manufacturing settings, assessing the perceived importance of AI features in LCDPs.
* **CI05: Met** — The study is written in English.
* **CE01: Does not apply** — The study is directly related to BPM and AI technologies in a manufacturing context.
* **CE02: Does not apply** — The study is explicitly set in a manufacturing and organizational context, examining stakeholder groups within companies.
* **CE03: Does not apply** — This is a primary empirical study using a survey instrument.
* **CE04: Does not apply** — The abstract provides sufficient information for full assessment.
---
**Summary:** The study fails inclusion solely on CI02. Despite explicit engagement with AI, low-code platforms, and BPM in a manufacturing context — closely aligned with the research topic — neither "digital transformation," "digitalization," nor "digital innovation" is explicitly mentioned in the title or abstract. Per the strict evaluation rules, Score = 0.</t>
  </si>
  <si>
    <t>Waszkowski, Robert</t>
  </si>
  <si>
    <t>Stakeholder Perspectives on AI in Low-Code BPM for Manufacturing⁎⁎This work was financed by Military University of Technology under research project UGB 701/2024.</t>
  </si>
  <si>
    <r>
      <rPr>
        <rFont val="Helvetica Neue"/>
        <color rgb="FF1155CC"/>
        <u/>
      </rPr>
      <t>https://www.sciencedirect.com/science/article/pii/S2405896325025613</t>
    </r>
  </si>
  <si>
    <t>54-59</t>
  </si>
  <si>
    <t>The increasing integration of advanced technologies and artificial intelligence (AI) into manufacturing and business processes drives the adoption of low-code development platforms (LCDPs). Key stakeholder expectations regarding AI support within these LCDPs, specifically within the context of manufacturing, are investigated in this paper, and critical gaps between these expectations and current platform offerings are identified. The perceived importance and impact of various AI features are assessed through a survey of Top Management, Process Owners, Process Participants, Customers, and IT Departments in manufacturing settings. The findings reveal significant disparities in priorities across stakeholder groups within this sector.</t>
  </si>
  <si>
    <t>10.1016/j.ifacol.2025.11.840</t>
  </si>
  <si>
    <t>Score: 0
Justification:
	•	CI01: met — The abstract explicitly mentions “business process management (BPM)” and states that the study extends knowledge on BPM.
	•	CI02: met — The study explicitly addresses “process digitalization projects”, “digitalization”, “business process digitalization” and the use of digital technologies to improve and innovate business processes.
	•	CI03: met — The abstract explicitly mentions “digital technologies (DTs)” and process digitalization.
	•	CI04: met — The study proposes a “PDP success model” and validates/refines candidate success factors through interviews with 21 members of process digitalization project teams.
	•	CI05: met — The title and abstract are written in English.
	•	CE01–CE04: CE03 applies — The study includes a “structured literature review” as a central stage to extract success factors, which makes it at least partially a secondary study. Even though it also includes interviews, under your exclusion criteria, the presence of a structured literature review means it should be excluded.</t>
  </si>
  <si>
    <t>**Score: 0**
**Justification:**
* **CI01: Met** — Business Process Management and "BPM" are explicitly and centrally referenced: "candidate process digitalization project (PDP) success factors (SFs) from the literature on business process management (BPM)" and "It extends the knowledge on BPM."
* **CI02: Met** — Digitalization is the central concept of the study: "process digitalization projects (PDP)" appear throughout, and "Digitalization substantially impacts organizations" is an explicit statement in the abstract.
* **CI03: Not met** — The abstract mentions "digital technologies (DTs)" generically as the category of technologies used by organizations to improve business processes, but no specific technology is explicitly named. None of the technologies listed in the criterion (AI, RPA, process mining, big data, blockchain, IoT, or software systems) appear in the title or abstract. Applying the strict evidence-based rule, this criterion is not met.
* **CI04: Met** — The study employs a structured literature review combined with 21 semi-structured interviews to develop and validate an original PDP success model comprising 38 success factor candidates across seven categories, constituting both an empirical investigation and a framework contribution.
* **CI05: Met** — The study is written in English.
* **CE01: Does not apply** — The study directly addresses BPM and digitalization.
* **CE02: Does not apply** — The study is set in an organizational context, addressing process digitalization within companies across diverse project team compositions.
* **CE03: Does not apply** — Although a structured literature review is one component of the methodology, it serves as an input to a broader primary study that includes empirical interviews and original model development. The study is not purely a secondary review.
* **CE04: Does not apply** — The abstract provides sufficient information for full assessment.
---
**Summary:** The study fails inclusion solely on CI03. Despite strong alignment with the research topic — explicitly examining BPM and digitalization project success — no specific technology is named in the title or abstract. Per the strict evaluation rules, Score = 0.</t>
  </si>
  <si>
    <t>Baier, Marie-Sophie; Lockl, Jannik; Röglinger, Maximilian; Weidlich, Robin</t>
  </si>
  <si>
    <t>Success factors of process digitalization projects – insights from an exploratory study</t>
  </si>
  <si>
    <r>
      <rPr>
        <rFont val="Helvetica Neue"/>
        <color rgb="FF1155CC"/>
        <u/>
      </rPr>
      <t>https://www.sciencedirect.com/science/article/pii/S146371542200019X</t>
    </r>
  </si>
  <si>
    <t>325-347</t>
  </si>
  <si>
    <t>Purpose In an exploratory approach, the authors conducted a structured literature review to extract candidate process digitalization project (PDP) success factors (SFs) from the literature on business process management (BPM), project management (PM) and digitalization. After that, the authors validated, refined and extended these intermediate results through interviews with 21 members of diverse PDP teams. Finally, the authors proposed the PDP success model by linking the candidate SFs with relevant success criteria. Design/methodology/approach Digitalization substantially impacts organizations, which increasingly use digital technologies (DTs) to improve and innovate their business processes. While there are methods and tools for identifying process digitalization ideas and related projects (PDPs), guidance on the successful implementation of PDPs is missing. Hence, the authors set out to explore PDP SFs. Findings The PDP success model covers 38 PDP success factor candidates, whereof 28 are already backed by the literature and ten have emerged during the interviews. Furthermore, the SFs are structured according to seven categories from the literature covering a broad range of sociotechnical topics (i.e. strategy, structure, culture, people, process, project and technology) as well as equipped with preliminary success rationales. Originality/value The work is the first to systematically explore PDP SFs. The PDP success model shows that PDPs require a unique set of SFs, which combine established and hitherto underrepresented knowledge. It extends the knowledge on BPM and serves as foundation for future (confirmatory) research on business process digitalization and the successful implementation of PDPs.</t>
  </si>
  <si>
    <t>10.1108/BPMJ-07-2021-0484</t>
  </si>
  <si>
    <t>Score: 0
Justification:
	•	CI01: met — The title and abstract explicitly mention “Business Process Management” and “the Business Process Management discipline”.
	•	CI02: not met — The abstract does not address digital transformation, digitalization, or digital innovation.
	•	CI03: met — The abstract mentions “information technology” in the context of analysis, design and management of work processes.
	•	CI04: met — The paper presents an “overview of the nine major research problems” collected through an open call, workshop discussion and refinement.
	•	CI05: met — The title and abstract are written in English.
	•	CE01–CE04: CE03 applies — The paper is an overview/conceptual agenda of research problems, not a primary empirical/application/framework study focused on the research topic. It is also scored 0 because CI02 is not met.</t>
  </si>
  <si>
    <t>**Score: 0**
**Justification:**
* **CI01: Met** — Business Process Management is explicitly and centrally referenced: "nine major research problems for the Business Process Management discipline."
* **CI02: Not met** — The abstract does not mention digital transformation, digitalization, or digital innovation. The study is framed around grand research challenges in the BPM field, without explicitly engaging with digital transformation as an organizational or technological phenomenon.
* **CI03: Not met** — "Information technology" is referenced generically in the final sentence ("management of work processes using information technology"), but no specific technology is named. This broad reference does not constitute an explicit mention of any technology listed in the criterion. Applying the strict evidence-based rule, this criterion is not met.
* **CI04: Not met** — The study presents a research agenda identifying nine grand challenges in the BPM discipline, gathered via open call and workshop. It does not present an application, framework, model, method, or empirical analysis as required by this criterion — it is a position/agenda paper summarizing community-identified challenges.
* **CI05: Met** — The study is written in English.
* **CE01: Does not apply** — The study is directly related to BPM.
* **CE02: Does not apply** — The study implicitly addresses organizational and business contexts through the BPM discipline's focus on work processes.
* **CE03: Does not apply** — The study is not a systematic literature review, mapping study, or literature review. It is a community-based research agenda paper derived from an open call and workshop.
* **CE04: Does not apply** — The abstract provides sufficient information for full assessment.
---
**Summary:** The study fails on CI02, CI03, and CI04. It is a BPM research agenda paper identifying grand challenges in the discipline, with no explicit engagement with digital transformation, no specific technologies named, and no empirical or applied contribution. Score = 0.</t>
  </si>
  <si>
    <t>Beerepoot, Iris; Di Ciccio, Claudio; Reijers, Hajo A.; Rinderle-Ma, Stefanie; Bandara, Wasana; Burattin, Andrea; Calvanese, Diego; Chen, Tianwa; Cohen, Izack; Depaire, Benoît; Di Federico, Gemma; Dumas, Marlon; van Dun, Christopher; Fehrer, Tobias; Fischer, Dominik A.; Gal, Avigdor; Indulska, Marta; Isahagian, Vatche; Klinkmüller, Christopher; Kratsch, Wolfgang; Leopold, Henrik; Van Looy, Amy; Lopez, Hugo; Lukumbuzya, Sanja; Mendling, Jan; Meyers, Lara; Moder, Linda; Montali, Marco; Muthusamy, Vinod; Reichert, Manfred; Rizk, Yara; Rosemann, Michael; Röglinger, Maximilian; Sadiq, Shazia; Seiger, Ronny; Slaats, Tijs; Simkus, Mantas; Someh, Ida Asadi; Weber, Barbara; Weber, Ingo; Weske, Mathias; Zerbato, Francesca</t>
  </si>
  <si>
    <t>The biggest business process management problems to solve before we die</t>
  </si>
  <si>
    <r>
      <rPr>
        <rFont val="Helvetica Neue"/>
        <color rgb="FF1155CC"/>
        <u/>
      </rPr>
      <t>https://www.sciencedirect.com/science/article/pii/S0166361522002330</t>
    </r>
  </si>
  <si>
    <t>It may be tempting for researchers to stick to incremental extensions of their current work to plan future research activities. Yet there is also merit in realizing the grand challenges in one’s field. This paper presents an overview of the nine major research problems for the Business Process Management discipline. These challenges have been collected by an open call to the community, discussed and refined in a workshop setting, and described here in detail, including a motivation why these problems are worth investigating. This overview may serve the purpose of inspiring both novice and advanced scholars who are interested in the radical new ideas for the analysis, design, and management of work processes using information technology.</t>
  </si>
  <si>
    <t>10.1016/j.compind.2022.103837</t>
  </si>
  <si>
    <t>Score: 0
Justification:
	•	CI01: met — The title and abstract explicitly mention “Business Process Management (BPM)”.
	•	CI02: met — The study explicitly addresses “Digital Innovation (DI)” and “Digital Transformation (DT)”.
	•	CI03: met — The abstract mentions “digital technology” and its use to create new value for organizations and customers.
	•	CI04: not met — Although the article explores BPM’s role in DI and DT, it does so through a literature review rather than presenting a primary application, framework, model, method, or empirical analysis.
	•	CI05: met — The title and abstract are written in English.
	•	CE01–CE04: CE03 applies — The title and abstract explicitly state that the study is a “Systematic Literature Review (SLR)”, which is a secondary study and should be excluded.</t>
  </si>
  <si>
    <t>**Score: 0**
**Justification:**
* **CI01: Met** — Business Process Management and "BPM" are explicitly and centrally referenced throughout the abstract.
* **CI02: Met** — Digital Innovation and Digital Transformation are both explicitly named as the central phenomena under investigation: "Digital Innovation (DI) and Digital Transformation (DT) are phenomena that relate to the use of digital technology to create new value."
* **CI03: Not met** — The abstract refers only to "digital technology" generically. No specific technology (AI, RPA, process mining, big data, blockchain, IoT, or software systems) is explicitly named. Applying the strict evidence-based rule, this criterion is not met.
* **CI04: Not met** — The study is a Systematic Literature Review, which is explicitly a secondary synthesis method. This does not qualify as an application, framework, model, method, or empirical analysis in the primary research sense required by CI04.
* **CI05: Met** — The study is written in English.
* **CE01: Does not apply** — The study is directly about BPM, digital innovation, and digital transformation.
* **CE02: Does not apply** — The study is explicitly concerned with organizational performance and business process management in an organizational context.
* **CE03: Applies** — The title and abstract both explicitly identify this as a "Systematic Literature Review (SLR)," which is precisely the type of secondary study excluded by this criterion. This is the most decisive ground for exclusion.
* **CE04: Does not apply** — The abstract provides sufficient information for full assessment.
---
**Summary:** This study is excluded primarily by CE03 — it is explicitly and unambiguously a Systematic Literature Review, one of the secondary study types listed in the exclusion criteria. Additionally, CI03 and CI04 are not met. Score = 0.</t>
  </si>
  <si>
    <t>Putra, Hasdi; ER, Mahendrawathi</t>
  </si>
  <si>
    <t>The Role of Business Process Management in Digital Innovation and Digital Transformation: A Systematic Literature Review</t>
  </si>
  <si>
    <r>
      <rPr>
        <rFont val="Helvetica Neue"/>
        <color rgb="FF1155CC"/>
        <u/>
      </rPr>
      <t>https://www.sciencedirect.com/science/article/pii/S1877050924004277</t>
    </r>
  </si>
  <si>
    <t>829-836</t>
  </si>
  <si>
    <t>Business Process Management (BPM) is an approach that aims to improve organizational performance and flexibility through managing business processes. Digital Innovation (DI) and Digital Transformation (DT) are phenomena that relate to the use of digital technology to create new value for organizations and customers. This article explores the role of BPM in supporting DI and DT in organizations and how to implement BPM in an organization with a Systematic Literature Review (SLR). The search results, inclusion and exclusion criteria, and relevance assessment yielded 34 relevant articles. We found that BPM, DI, and DT interact with each other in various ways and have some theoretical and practical implications for researchers and practitioners.</t>
  </si>
  <si>
    <t>10.1016/j.procs.2024.03.069</t>
  </si>
  <si>
    <t>Score: 0
Justification:
	•	CI01: not met — The abstract mentions “organization, processes and technology” and “process stages”, but does not explicitly mention Business Process Management or BPM.
	•	CI02: met — The study addresses “business digital strategies”, “business transformation”, and organizational/technological strategies connected with business results.
	•	CI03: met — The abstract explicitly mentions “technology management”, “business digital strategies”, and “organizational and technological strategies”.
	•	CI04: met — The study evaluates and improves a management practice using action design research, design science research and action research, with application in a medium-sized tourism company.
	•	CI05: met — The title and abstract are written in English.
	•	CE01–CE04: no exclusion criterion clearly applies, but the study receives Score 0 because CI01 is not clearly met. It is related to digital strategy, technology management and business transformation, but not explicitly to Business Process Management/BPM.</t>
  </si>
  <si>
    <t>**Score: 0**
**Justification:**
* **CI01: Not met** — Neither "Business Process Management" nor "BPM" appears in the title or abstract. The central concept is "Business and Technology Management (BTM)," a distinct management framework. While "processes" are referenced as one dimension of BTM, Business Process Management as a discipline is not mentioned.
* **CI02: Not met** — The abstract refers to "business digital strategies" and "business transformation," but neither "digital transformation," "digitalization," nor "digital innovation" is explicitly stated. "Business digital strategies" and "business transformation" are related but distinct concepts from the terms required by this criterion. Applying the strict evidence-based rule, this criterion is not met.
* **CI03: Not met** — "Technology" is discussed extensively as a management dimension within BTM, but no specific technology is named (AI, RPA, process mining, big data, blockchain, IoT, or software systems). References to "technology" remain at an abstract, strategic level without identifying any concrete technology.
* **CI04: Met** — The study follows action design research guidelines, applies BTM in a medium-sized tourism company, and produces an improved four-stage management practice framework, constituting both an empirical application and a methodological contribution.
* **CI05: Met** — The study is written in English.
* **CE01: Does not apply** — The study is related to technology management and business processes, even if BPM and digital transformation are not explicitly named.
* **CE02: Does not apply** — The study is set in an organizational and business development context, applied in a tourism sector company.
* **CE03: Does not apply** — This is a primary action design research study, not a secondary review.
* **CE04: Does not apply** — The abstract provides sufficient information for full assessment.
---
**Summary:** The study fails on CI01, CI02, and CI03. Despite addressing technology-integrated business management in an organizational context, none of the three required terms — Business Process Management, digital transformation/digitalization, or specific named technologies — appear in the title or abstract. Score = 0.</t>
  </si>
  <si>
    <t>Mourão, Luis Pestana; Noce, Irapuan; Carvalho, João Álvaro</t>
  </si>
  <si>
    <t>The use of business and technology management (BTM) integrated practice in business development initiatives – an ADR cycle</t>
  </si>
  <si>
    <r>
      <rPr>
        <rFont val="Helvetica Neue"/>
        <color rgb="FF1155CC"/>
        <u/>
      </rPr>
      <t>https://www.sciencedirect.com/science/article/pii/S1463715424000608</t>
    </r>
  </si>
  <si>
    <t>2329-2351</t>
  </si>
  <si>
    <t>Purpose The paper reports a study that evaluated the effectiveness and usefulness of Business and Technology Management (BTM), a management practice for formulating business digital strategies that address organization, processes and technology in an integrative way. Design/methodology/approach The research followed action design research guidelines that combine the methodological principles of design science research and action research. Findings Evidence from the study confirmed the adequacy and usefulness of BTM as a solution to an old management problem of internal fit, synergies, alignment or strategic integration. It also led to an improvement in its way of working, namely, a management practice with four process stages: (1) define trade objectives, (2) design an integrated business model, (3) manage the business transformation and execution and (4) evaluate the results obtained. Research limitations/implications The study exemplifies how practice research can be used within a long-term research pursuit to provide empirical evidence that permits evaluating and improving a research-originated management approach. Practical implications Being a theory-for-action, BTM has direct relevance for managers engaged in defining organizational and technological strategies connected with business results. The paper discloses an improved version of BTM together with a description of its application in a medium-sized company operating in the tourism sector. Originality/value BTM addresses a recurrent issue raised by researchers and practitioners concerning a failure to bring different management perspectives together when formulating a strategy. Therefore, its value lies in its ability to assist in the integration of management perspectives into business development initiatives.</t>
  </si>
  <si>
    <t>10.1108/BPMJ-08-2022-0383</t>
  </si>
  <si>
    <t>Score: 0
Justification:
	•	CI01: met — The abstract explicitly mentions “business process management tools”.
	•	CI02: not met — Although the case study is in “digital hardware design”, the abstract does not clearly address digital transformation, digitalization, or digital innovation.
	•	CI03: met — The study explicitly mentions technologies/tools such as “cyber-physical systems”, “toolchains”, “collaborative tools”, “enterprise integration patterns”, “data schemas”, and engineering tools.
	•	CI04: met — The paper defines a method to measure toolchain interoperability and validates it through a case study with 6 technical engineering processes and 7 domain engineering tools.
	•	CI05: met — The title and abstract are written in English.
	•	CE01–CE04: no exclusion criterion clearly applies, but the study receives Score 0 because CI02 is not clearly met. It also only mentions BPM tools as part of the background, while the main focus is toolchain interoperability in engineering lifecycle rather than BPM in digital transformation.</t>
  </si>
  <si>
    <t>**Score: 0**
**Justification:**
* **CI01: Met** — "Business process management tools" is explicitly mentioned in the abstract: "enterprise integration patterns, shared and standardized data schemas and business process management tools are being used to implement toolchains." However, this is a peripheral technical reference rather than a central focus of the study.
* **CI02: Not met** — The abstract does not mention digital transformation, digitalization, or digital innovation. "Digital hardware design" appears in the title as the application domain, but this refers to an engineering discipline, not to organizational digital transformation. None of the three required terms appear in the title or abstract.
* **CI03: Met** — Multiple technologies are explicitly referenced: enterprise integration patterns, standardized data schemas, toolchains, communication bus architectures, and BPM tools — all qualifying as software systems and engineering technologies.
* **CI04: Met** — The study proposes an original method for measuring toolchain interoperability and estimating transition effort, validated through a case study involving six technical engineering processes and seven domain engineering tools.
* **CI05: Met** — The study is written in English.
* **CE01: Does not apply** — The study references BPM tools and engineering technologies, even if digital transformation is absent.
* **CE02: Does not apply** — The study is set in an engineering enterprise context, addressing technical and management processes across organizational lifecycle stages.
* **CE03: Does not apply** — This is a primary study proposing an original method and validating it through a case study.
* **CE04: Does not apply** — The abstract provides sufficient information for full assessment.
---
**Summary:** The study fails inclusion on CI02. Despite mentioning BPM tools and applying a range of engineering technologies, neither digital transformation, digitalization, nor digital innovation is explicitly referenced. The study belongs to systems engineering and toolchain interoperability measurement, not the BPM/digital transformation domain. Score = 0.</t>
  </si>
  <si>
    <t>Alvarez-Rodríguez, Jose María; Mendieta, Roy; Cibrián, Eduardo; Llorens, Juan</t>
  </si>
  <si>
    <t>Towards a method to quantitatively measure toolchain interoperability in the engineering lifecycle: A case study of digital hardware design</t>
  </si>
  <si>
    <r>
      <rPr>
        <rFont val="Helvetica Neue"/>
        <color rgb="FF1155CC"/>
        <u/>
      </rPr>
      <t>https://www.sciencedirect.com/science/article/pii/S0920548923000259</t>
    </r>
  </si>
  <si>
    <t>The engineering lifecycle of cyber-physical systems is becoming more challenging than ever. Multiple engineering disciplines must be orchestrated to produce both a virtual and physical version of the system. Each engineering discipline makes use of their own methods and tools generating different types of work products that must be consistently linked together and reused throughout the lifecycle. Requirements, logical/descriptive and physical/analytical models, 3D designs, test case descriptions, product lines, ontologies, evidence argumentations, and many other work products are continuously being produced and integrated to implement the technical engineering and technical management processes established in standards such as the ISO/IEC/IEEE 15288:2015 “Systems and software engineering-System life cycle processes”. Toolchains are then created as a set of collaborative tools to provide an executable version of the required technical processes. In this engineering environment, there is a need for technical interoperability enabling tools to easily exchange data and invoke operations among them under different protocols, formats, and schemas. However, this automation of tasks and lifecycle processes does not come free of charge. Although enterprise integration patterns, shared and standardized data schemas and business process management tools are being used to implement toolchains, the reality shows that in many cases, the integration of tools within a toolchain is implemented through point-to-point connectors or applying some architectural style such as a communication bus to ease data exchange and to invoke operations. In this context, the ability to measure the current and expected degree of interoperability becomes relevant: 1) to understand the implications of defining a toolchain (need of different protocols, formats, schemas and tool interconnections) and 2) to measure the effort to implement the desired toolchain. To improve the management of the engineering lifecycle, a method is defined: 1) to measure the degree of interoperability within a technical engineering process implemented with a toolchain and 2) to estimate the effort to transition from an existing toolchain to another. A case study in the field of digital hardware design comprising 6 different technical engineering processes and 7 domain engineering tools is conducted to demonstrate and validate the proposed method.</t>
  </si>
  <si>
    <t>10.1016/j.csi.2023.103744</t>
  </si>
  <si>
    <t>Score: 0
Justification:
	•	CI01: not met — The abstract discusses “process digitalization”, “processes” and internal processes, but does not explicitly mention Business Process Management or BPM.
	•	CI02: met — The abstract explicitly addresses “digital transformation (DT)”, “digital innovation” and intensive use of ICTs.
	•	CI03: met — The abstract explicitly mentions digital technologies such as “cloud computing”, “artificial intelligence”, “Internet of Things” and “Big Data”.
	•	CI04: met — The study creates a framework describing benefits, challenges, critical success factors and digital technologies related to digital transformation.
	•	CI05: met — The title and abstract are written in English.
	•	CE01–CE04: CE03 applies — The abstract explicitly states that the framework was developed from a “systematic literature review” and “bibliometric analysis”, making it a secondary study. The study is also scored 0 because CI01 is not clearly met.</t>
  </si>
  <si>
    <t>**Score: 0**
**Justification:**
* **CI01: Not met** — Neither "Business Process Management" nor "BPM" appears in the title or abstract. While "processes" and "internal processes" are referenced, Business Process Management as a discipline or methodology is not explicitly mentioned.
* **CI02: Met** — Digital transformation and digital innovation are explicitly named as central concepts: "Organizations continue to have difficulty achieving the full potential of digital transformation (DT)" and "DT can be conceived as a process of change...driven by digital innovation."
* **CI03: Met** — Specific technologies are explicitly named: "cloud computing, artificial intelligence, the Internet of Things, and Big Data" are listed as the most frequently cited technologies in the reviewed literature.
* **CI04: Not met** — The study develops a framework derived entirely from a systematic literature review and bibliometric analysis of 112 articles. This is a secondary synthesis rather than a primary application, framework from empirical data, or original model grounded in primary research.
* **CI05: Met** — The study is written in English.
* **CE01: Does not apply** — The study is related to digital transformation and technologies.
* **CE02: Does not apply** — The study addresses organizational processes, business models, and the impact of digital transformation on companies.
* **CE03: Applies** — The abstract explicitly states: "This research aims to review the literature on digital transformation and create a framework...developed from a set of 112 articles retrieved by a systematic literature review that underwent bibliometric analysis." This is unambiguously a secondary study — both a systematic literature review and a bibliometric analysis — and is therefore excluded by CE03.
* **CE04: Does not apply** — The abstract provides sufficient information for full assessment.
---
**Summary:** The study is excluded primarily by CE03 — it is explicitly a systematic literature review combined with bibliometric analysis. Additionally, CI01 is not met as BPM is absent from the title and abstract. Score = 0.</t>
  </si>
  <si>
    <t>Bianchi, Isaias; Galguinho, António; Shurenov, Nursultan; Tovma, Nataliya; Pereira, Ruben</t>
  </si>
  <si>
    <t>Towards the Path of Process Digitalization:</t>
  </si>
  <si>
    <r>
      <rPr>
        <rFont val="Helvetica Neue"/>
        <color rgb="FF1155CC"/>
        <u/>
      </rPr>
      <t>https://www.sciencedirect.com/science/article/pii/S1947959X24000147</t>
    </r>
  </si>
  <si>
    <t>ABSTRACT Organizations continue to have difficulty achieving the full potential of digital transformation (DT). DT can be conceived as a process of change in the business model, driven by digital innovation and the intensive use of ICTs to add value to the customer, processes and the business itself in way to change, threaten or complement the market. This research aims to review the literature on digital transformation and create a framework for the description of its benefits, challenges, critical success factors, and digital technologies. The framework was developed from a set of 112 articles retrieved by a systematic literature review that underwent bibliometric analysis. The most frequently cited technologies were cloud computing, artificial intelligence, the Internet of Things, and Big Data. Their impact on organizations’ processes is discussed. Agility is the critical factor that stood out from the rest. The main benefit identified was innovation. The main challenges identified were resistance to change and a lack of skills. The framework helps better predict how internal processes will be affected by digital transformation.</t>
  </si>
  <si>
    <t>10.4018/IJSSMET.358052</t>
  </si>
  <si>
    <t>Score: 0
Justification:
        •        CI01: met — The abstract explicitly mentions “a business process management approach”.
        •        CI02: not met — The abstract discusses introducing IoT as a new technology, but it does not clearly address digital transformation, digitalization, or digital innovation.
        •        CI03: met — The study explicitly mentions “Internet of Things (IoT)-based solutions”, “IoT applications”, “technological infrastructure”, and IoT integration in production operations.
        •        CI04: met — The study proposes and demonstrates a framework using design science research, with empirical demonstration in a single case.
        •        CI05: met — The title and abstract are written in English.
        •        CE01–CE04: no exclusion criterion clearly applies, but the study receives Score 0 because CI02 is not clearly met. It is related to BPM, IoT technology and production operations, but the title/abstract do not explicitly support digital transformation/digitalization/digital innovation.</t>
  </si>
  <si>
    <t>**Score: 0**
**Justification:**
* **CI01: Met** — Business process management is explicitly mentioned: "a business process management approach, is applied to scope the solution space according to its exploitative potential." BPM is used as an operational lens within the framework.
* **CI02: Not met** — The abstract does not explicitly mention digital transformation, digitalization, or digital innovation. The study addresses IoT integration in production operations and process excellence, but none of the three required terms appear in the title or abstract. Applying the strict evidence-based rule, this criterion is not met.
* **CI03: Met** — Internet of Things (IoT) is explicitly named as the central technology throughout the title and abstract, directly matching one of the technologies listed in this criterion.
* **CI04: Met** — The study adopts a design science research (DSR) framework to propose and demonstrate an original IoT design framework, empirically applied in a single case study in an industrial setting.
* **CI05: Met** — The study is written in English.
* **CE01: Does not apply** — The study is directly related to BPM and IoT technology.
* **CE02: Does not apply** — The study is set in an industrial production operations context, addressing performance improvement in organizational settings.
* **CE03: Does not apply** — This is a primary design science research study presenting an original framework and its empirical demonstration.
* **CE04: Does not apply** — The abstract provides sufficient information for full assessment.
---
**Summary:** The study fails inclusion solely on CI02. Despite substantive engagement with both BPM and IoT technology in an industrial context — directly relevant to the research topic — neither "digital transformation," "digitalization," nor "digital innovation" is explicitly mentioned in the title or abstract. Per the strict evaluation rules, Score = 0.</t>
  </si>
  <si>
    <t>Colli, Michele; Nygaard Uhrenholt, Jonas; Madsen, Ole; Waehrens, Brian Vejrum</t>
  </si>
  <si>
    <t>Translating transparency into value: an approach to design IoT solutions</t>
  </si>
  <si>
    <r>
      <rPr>
        <rFont val="Helvetica Neue"/>
        <color rgb="FF1155CC"/>
        <u/>
      </rPr>
      <t>https://www.sciencedirect.com/science/article/pii/S1741038X2100047X</t>
    </r>
  </si>
  <si>
    <t>1515-1532</t>
  </si>
  <si>
    <t>Purpose This research proposes and demonstrates a framework that can be used to systematically address the idiosyncratic design of Internet of Things (IoT)-based solutions, and to match the explorative aspects of introducing a new technology to the exploitative needs, to improve the performance of production operations. Design/methodology/approach Due to the applied nature of this research, a design science research (DSR) framework was adopted in order to ensure both the rigor and applicability of the outcomes. Findings A process excellence perspective, operationalized through a business process management approach, is applied to scope the solution space according to its exploitative potential. The mapping of the information flow that needs to be established defines the technological infrastructure of the solution. Research limitations/implications The theoretical generalizability of the proposed framework is limited by a testing sample of a single case. The research implications are related to a call for the contextualization of IoT applications. Further research will involve the application of this approach to a diverse range of industrial settings. While the domain is far from saturated, a framework that can facilitate such investigations has been provided. Practical implications The proposed framework provides practitioners with an approach to designing IoT solutions that can consistently address their needs for operational performance improvements. Originality/value This research proposes a framework that links the enabling of transparency via the integration of IoT in production operations to contextual characteristics and business potential. Furthermore, it highlights the developmental drivers of IoT solutions, which emerged during the empirical demonstration of this framework.</t>
  </si>
  <si>
    <t>10.1108/JMTM-06-2020-0225</t>
  </si>
  <si>
    <t>Score: 0
Justification:
        •        CI01: not met — Although the abstract mentions “BPM”, it refers to heart rate measurement, “beats per minute”, not Business Process Management. There is no explicit mention of Business Process Management.
        •        CI02: not met — The abstract describes a “digital, longitudinal, observational study” and wearable-based health metrics, but it does not address digital transformation, digitalization, or digital innovation.
        •        CI03: met — The study explicitly mentions technologies such as “wearable technology”, “iPhone”, “Apple Watch”, and “sensor-derived health metrics”.
        •        CI04: met — The study presents a descriptive observational analysis of 757 pregnancies using sensor-derived metrics from the Apple Women’s Health Study.
        •        CI05: met — The title and abstract are written in English.
        •        CE01–CE04: CE01 applies — The study is unrelated to Business Process Management and the intended BPM/digital transformation topic. CE02 also applies, because it focuses on health metrics during pregnancy rather than an organizational or business context.</t>
  </si>
  <si>
    <t>**Score: 0**
**Justification:**
* **CI01: Not met** — Neither "Business Process Management" nor "BPM" appears in any relevant sense. "BPM" appears solely as an abbreviation for "beats per minute," a physiological measurement unit for heart rate.
* **CI02: Not met** — There is no mention of digital transformation, digitalization, or digital innovation. The study is a descriptive epidemiological investigation of physiological and behavioral changes during pregnancy using wearable sensor data.
* **CI03: Not met** — While Apple Watch and wearable technology are mentioned, these are consumer health devices applied in a clinical/epidemiological research context, with no connection to the technologies referenced in this criterion (AI, RPA, process mining, big data, blockchain, IoT, or enterprise software systems) in a BPM or digital transformation context.
* **CI04: Not met** — The study presents a descriptive observational analysis of sensor-derived health metrics during pregnancy and postpartum, entirely within the domain of reproductive health and digital epidemiology. In the absence of any connection to BPM or digital transformation, this cannot satisfy the criterion.
* **CI05: Met** — The study is written in English.
* **CE01: Applies** — The study is entirely unrelated to Business Process Management, digital transformation, or associated organizational technologies. It belongs to reproductive health research and wearable health monitoring.
* **CE02: Applies** — The study has no organizational or business context. It involves pregnant participants monitored through consumer wearables in a longitudinal observational health study.
* **CE03: Does not apply** — This is a primary descriptive observational study.
* **CE04: Does not apply** — The abstract provides sufficient information to assess and exclude this study.
---
**Summary:** This is a reproductive health epidemiology study describing physiological changes during pregnancy using Apple Watch data. "BPM" refers exclusively to beats per minute. The study has no connection to Business Process Management, digital transformation, or the research topic, and is excluded on multiple grounds.</t>
  </si>
  <si>
    <t>Mishra, Anshuman; Park, Jihyun; Shapiro, Ian; Fisher-Colbrie, Tyler; Baird, Donna D.; Suharwardy, Sanaa; Zhang, Shunan; Jukic, Anne Marie Z.; Curry, Christine L.</t>
  </si>
  <si>
    <t>Trends in sensor-based health metrics during and after pregnancy: descriptive data from the apple women's health study</t>
  </si>
  <si>
    <r>
      <rPr>
        <rFont val="Helvetica Neue"/>
        <color rgb="FF1155CC"/>
        <u/>
      </rPr>
      <t>https://www.sciencedirect.com/science/article/pii/S2666577824000820</t>
    </r>
  </si>
  <si>
    <t>Background While it is known that vital signs and behaviors change during pregnancy, there is limited data on timing and scale of changes for sensor-derived health metrics across pregnancy and postpartum. Wearable technology provides an opportunity to understand physiologic and behavioral changes across pregnancy with greater detail, more frequent measurements, and improved accuracy. The aim of this study is to describe changes in physiologic and behavioral sensor-based health metrics during pregnancy and postpartum in the Apple Women's Health Study (AWHS) and their relationship to demographic factors. Methods The Apple Women's Health Study is a digital, longitudinal, observational study that includes U.S. residents with an iPhone and Apple Watch. We evaluated changes from pre-pregnancy through delivery and postpartum for sensor-derived health metrics. Minimum required data samples per day, week and overall were data element specific, and included 12 weeks prior to pregnancy start, and 12 weeks postpartum for pregnancies lasting between 24 and 43 weeks. Findings A total of 757 pregnancies from 733 participants were included. Resting heart rate (RHR) increased across pregnancy, peaking in the third trimester (pre-pregnancy median RHR 65.0 beats per minute [BPM], interquartile range [IQR] 60.0–70.2 B.M. third trimester median RHR 75.5 B.M. IQR 69.0–82.0 B.M., with a decrease prior to delivery and nadir postpartum (postpartum median RHR 62.0 B.M. IQR 57.0–66.0 B.M.. Heart rate variability (HRV) decreased from pre-pregnancy (39.9 milliseconds, IQR 32.6–48.3 milliseconds), reaching a nadir in the third trimester (29.9 milliseconds, IQR 25.2–36.4 milliseconds), before rebounding in the last weeks of pregnancy. Measures of activity, such as exercise minutes, stand minutes, step count and Cardio Fitness were all decreased in each trimester compared to pre-pregnancy, with their nadirs postpartum. Total sleep duration increased slightly in early pregnancy (pre-pregnancy 7.2 hours, IQR 6.7–7.7 hours; 1st trimester 7.4 hours, IQR 6.8–7.9 hours), with the lowest sleep duration postpartum (6.2 hours, IQR 5.4–6.8 hours). Interpretation Resting heart rate increased during pregnancy, with a decrease prior to delivery, while heart rate variability decreased across pregnancy, with an upward trend before delivery. Behavioral metrics, such as exercise and sleep, showed decreasing trends during and after pregnancy. These data provide a foundation for understanding normal pregnancy physiology and can facilitate hypothesis generation related to physiology, behavior, pregnancy outcomes and disease.</t>
  </si>
  <si>
    <t>10.1016/j.xagr.2024.100388</t>
  </si>
  <si>
    <t>Score: 0
Justification:
	•	CI01: met — The abstract explicitly mentions “business process management (BPM)” and “BPM strategies”.
	•	CI02: met — The study explicitly addresses “digital innovations” and “future digital needs”.
	•	CI03: met — The abstract refers to “digital innovations”, “digital age society” and “integrated systems”.
	•	CI04: not met — Although the study proposes a framework, it is based on a bibliometric and systematic literature review rather than a primary application, method, model, framework, or empirical analysis.
	•	CI05: met — The title and abstract are written in English.
	•	CE01–CE04: CE03 applies — The title and abstract explicitly state that this is a “bibliometric and systematic literature review (SLR)”, which is a secondary study and should be excluded.</t>
  </si>
  <si>
    <t>**Score: 0**
**Justification:**
* **CI01: Met** — Business Process Management and "BPM" are explicitly and centrally referenced: "business process management (BPM) strategies anchored in digital innovations."
* **CI02: Met** — Digital innovations is the central co-concept of the study, explicitly named throughout: "Unlocking the potential of digital innovations on BPM" and "the association between digital innovations and BPM strategies."
* **CI03: Not met** — The abstract does not explicitly name any specific technology. "Digital innovations" is used as a broad, abstract concept throughout, and no specific technology (AI, RPA, process mining, big data, blockchain, IoT, or software systems) is mentioned. Applying the strict evidence-based rule, this criterion is not met.
* **CI04: Not met** — The framework proposed is derived entirely from a bibliometric analysis and systematic literature review of existing papers, not from primary empirical data or original applied research. This is a secondary synthesis.
* **CI05: Met** — The study is written in English.
* **CE01: Does not apply** — The study directly addresses BPM and digital innovations.
* **CE02: Does not apply** — The study is oriented toward organizational strategy and business process management contexts.
* **CE03: Applies** — The title and abstract explicitly identify this as both a "bibliometric and systematic literature review (SLR)." The methodology involves analyzing 238 papers bibliometrically and reviewing 15 selected papers through SLR — unambiguously a secondary study type excluded by CE03.
* **CE04: Does not apply** — The abstract provides sufficient information for full assessment.
---
**Summary:** The study is excluded primarily by CE03 — it is explicitly a bibliometric analysis and systematic literature review. Additionally, CI03 is not met due to the absence of any specific named technology. Score = 0.</t>
  </si>
  <si>
    <t>Moreira, Sérgio Adriany Santos; Dallavalle, Silvia</t>
  </si>
  <si>
    <t>Unlocking the potential of digital innovations on BPM: a bibliometric and systematic literature review</t>
  </si>
  <si>
    <r>
      <rPr>
        <rFont val="Helvetica Neue"/>
        <color rgb="FF1155CC"/>
        <u/>
      </rPr>
      <t>https://www.sciencedirect.com/science/article/pii/S1463715424000165</t>
    </r>
  </si>
  <si>
    <t>1246-1273</t>
  </si>
  <si>
    <t>Purpose This study aims to perform a bibliometric and systematic literature review (SLR) to elucidate the current landscape and to propose a framework that defines and explores research strands to guide the formulation of business process management (BPM) strategies anchored in digital innovations. Design/methodology/approach A bibliometric analysis of 238 papers from the last 10 years (2014–2023) that were correlated to BPM strategies and digital innovations was conducted. Additionally, a SLR was performed on 15 selected papers, making it possible to propose a framework that explored research strands through the content analysis. Findings A framework comprising eight research strands (value creation; ambidexterity; governance; agility in processes; strategic process management; external context and culture and integrated systems) was developed. It proposes a research agenda and provides valuable insights as a reference for formulating BPM organizational strategies anchored in digital innovations. Research limitations/implications This study acknowledges the limitation of utilizing a single software for bibliometric analysis. The framework developed in this study has not yet been validated. Practical implications This paper provides insights to assist managers in comprehending BPM strategies anchored in digital innovations and calls for organizations to prepare for future digital needs. Social implications This paper contributes to advancing our understanding of BPM aligned with the demands of a digital age society. Originality/value The developed framework sheds light on the current landscape and research strands that explore the association between digital innovations and BPM strategies. This provides a valuable opportunity for future qualitative and quantitative studies to explore the eight research strands presented in the framework.</t>
  </si>
  <si>
    <t>10.1108/BPMJ-12-2023-0974</t>
  </si>
  <si>
    <t>Score: 1
Justification:
	•	CI01: met — The abstract explicitly states that the study is “based on Business Process Management and digital innovation fields of research”.
	•	CI02: met — The study explicitly addresses “public sector digital transformation”, “public sector digitalization” and “digital innovation”.
	•	CI03: met — The abstract explicitly mentions “Process mining (PM) techniques” as a technology/technique used to analyze and improve processes.
	•	CI04: met — The study presents an empirical questionnaire with Italian civil servants and uses descriptive and quantitative analysis to investigate perceptions of process mining opportunities and challenges.
	•	CI05: met — The title and abstract are written in English.
	•	CE01–CE04: none apply — The study is related to BPM, digital innovation/digital transformation, process mining technology, and an organizational/public-sector context. It is not presented as a secondary study and provides enough information for assessment.</t>
  </si>
  <si>
    <t>**Score: 1**
**Justification:**
* **CI01: Met** — Business Process Management is explicitly referenced as one of the foundational fields of the research: "Based on Business Process Management and digital innovation fields of research."
* **CI02: Met** — Digital transformation and digitalization are explicitly and repeatedly addressed: "PM potential to enhance public sector digital transformation," "public sector digitalization and digital transformation," and "PM could be the missing link between public sector digitalization and digital transformation."
* **CI03: Met** — Process mining (PM) is the central technology of the study, explicitly named throughout the title and abstract: "Process mining (PM) techniques enable organizations to objectively analyse and improve their processes."
* **CI04: Met** — The study administers a questionnaire to Italian civil servants across public organizations, conducts a three-level analysis with both descriptive and quantitative methods, and produces empirical findings on perceptions of PM opportunities and challenges — constituting a rigorous primary empirical analysis.
* **CI05: Met** — The study is written in English.
* **CE01: Does not apply** — The study is directly and substantively related to BPM, digital transformation, and process mining technology.
* **CE02: Does not apply** — The study is explicitly set in a public sector organizational context, addressing process improvement and digital transformation in government institutions.
* **CE03: Does not apply** — This is a primary empirical study using a questionnaire instrument, not a secondary review.
* **CE04: Does not apply** — The abstract provides sufficient information for a complete assessment.
---
**Summary:** All five inclusion criteria are clearly and explicitly met, and no exclusion criteria apply. This study is a strong candidate for inclusion.</t>
  </si>
  <si>
    <t>Racis, Serena; Spano, Alessandro</t>
  </si>
  <si>
    <t>Unlocking the promise of process mining: shaping perceptions and impact in the public sector</t>
  </si>
  <si>
    <r>
      <rPr>
        <rFont val="Helvetica Neue"/>
        <color rgb="FF1155CC"/>
        <u/>
      </rPr>
      <t>https://www.sciencedirect.com/science/article/pii/S1460106024000506</t>
    </r>
  </si>
  <si>
    <t>3165-3191</t>
  </si>
  <si>
    <t>Purpose Worldwide challenges impose public organizations to rethink their processes and satisfactorily meet citizens’ needs. Process mining (PM) techniques enable organizations to objectively analyse and improve their processes, by providing higher process transparency and efficiency. However, extant literature on PM applications in the public sector reveals there is still limited evidence on the opportunities and challenges perceived from PM introduction in the public sector, and on PM potential to enhance public sector digital transformation: this study aims to fill these gaps. Design/methodology/approach Based on Business Process Management and digital innovation fields of research, we administered a questionnaire to a sample of Italian civil servants working in different public organizations to investigate their perceptions of PM opportunities and challenges and the extent to which it can support public sector digital transformation. A three-level analysis was conducted to inspect findings with different levels of granularity, and results were analysed both descriptively and quantitatively. Findings We found a positive attitude towards PM introduction in the public sector, and perceived opportunities and challenges related to both the technical and the social systems. The triangulation between close-ended and open-ended questions suggests that PM could be the missing link between public sector digitalization and digital transformation. These findings can be used by policymakers to develop the best strategies to introduce PM into public organizations and support its adoption, and by researchers to further explore PM role in public sector digital transformation. Originality/value Despite PM claiming to push digital transformation, it is not clear if it is also true for public sector organizations. This paper addresses this gap and it is among the first attempts to explore PM from civil servants’ viewpoint to investigate their perceptions of PM opportunities and challenges, as well as the variables that influence these perceptions.</t>
  </si>
  <si>
    <t>10.1108/EJIM-10-2023-0887</t>
  </si>
  <si>
    <t>Score: 0
Justification:
	•	CI01: met — The title and abstract explicitly mention “business process management (BPM)” and BPM in management/business literature.
	•	CI02: met — The abstract mentions “Digital Transformation” as an emerging trend in BPM.
	•	CI03: met — The abstract mentions technologies such as “IoT”, “Artificial Intelligence” and “emerging technologies in BPM”.
	•	CI04: not met — The study does not present a primary application, framework, model, method, or empirical analysis of BPM in digital transformation. It presents a bibliometric analysis of existing literature.
	•	CI05: met — The title and abstract are written in English.
	•	CE01–CE04: CE03 applies — The abstract explicitly states that the study is a “bibliometric analysis”, which is a secondary study and should be excluded.</t>
  </si>
  <si>
    <t>**Score: 0**
**Justification:**
* **CI01: Met** — Business Process Management and "BPM" are explicitly and centrally referenced throughout: "business process management (BPM)" and "Unraveling the trends in business process management."
* **CI02: Met** — Digital Transformation is explicitly identified as a significant emerging trend: "Significant emerging trends identified include Strategic Management, Digital Transformation, and IoT."
* **CI03: Met** — Artificial Intelligence and IoT are explicitly named: "The study highlights the significant benefits of integrating technologies like Artificial Intelligence and IoT in BPM."
* **CI04: Not met** — The study presents a bibliometric analysis of existing literature. This is a secondary synthesis of published work, not a primary application, framework, model, method, or empirical analysis based on original data.
* **CI05: Met** — The study is written in English.
* **CE01: Does not apply** — The study is directly related to BPM, digital transformation, and technologies.
* **CE02: Does not apply** — The study addresses BPM in management and business organizational contexts.
* **CE03: Applies** — The title and abstract explicitly identify this as "a comprehensive bibliometric analysis" of 729 BPM articles from the SCOPUS database. Bibliometric analysis is a secondary study methodology that analyzes existing published literature rather than generating primary empirical findings, and is therefore excluded by CE03.
* **CE04: Does not apply** — The abstract provides sufficient information for full assessment.
---
**Summary:** The study is excluded by CE03 — it is unambiguously a bibliometric analysis of existing BPM literature spanning 1960 to 2023. This is a secondary study type explicitly excluded by the criterion. Score = 0.</t>
  </si>
  <si>
    <t>Unraveling the trends in business process management: a comprehensive bibliometric analysis of management and business literature</t>
  </si>
  <si>
    <r>
      <rPr>
        <rFont val="Helvetica Neue"/>
        <color rgb="FF1155CC"/>
        <u/>
      </rPr>
      <t>https://www.sciencedirect.com/science/article/pii/S1463715424000645</t>
    </r>
  </si>
  <si>
    <t>2541-2563</t>
  </si>
  <si>
    <t>Purpose This study aims to analyze international scientific production from 1960 to 2023 on business process management (BPM), highlighting the latest trends in BPM in the field of management and business during the 21st century. Design/methodology/approach We conducted a bibliometric analysis of 729 BPM articles from management and business journals using the SCOPUS database and VOSviewer software to map the scholarly landscape. Findings Nearly 45% of the papers were published between 2018 and 2023, prominently featuring the Business Process Management Journal. The University of São Paulo and Queensland University of Technology were the most prolific institutions. Significant emerging trends identified include Strategic Management, Digital Transformation, and IoT. Author Röglinger was noted for the highest publication rate. Research limitations/implications The analysis was restricted to journal articles from one database, potentially overlooking insights from conferences, books, and other formats. Practical implications The study highlights the significant benefits of integrating technologies like Artificial Intelligence and IoT in BPM, improving operational efficiency, competitiveness, and innovation in adaptability and service personalization. Social implications Technological advancements in BPM could enhance employment, require new skills, support a sustainable economy, and improve organizational transparency and service accessibility, bolstering corporate social responsibility and inclusion. Originality/value This research offers a unique overview of the integration of emerging technologies in BPM, shedding light on their strategic and social implications, and providing critical insights for optimizing processes and fostering business innovation.</t>
  </si>
  <si>
    <t>10.1108/BPMJ-10-2023-0771</t>
  </si>
  <si>
    <t>Score: 1
Justification:
	•	CI01: met — The title and abstract explicitly mention “business process management capabilities (BPMC)”.
	•	CI02: met — The study explicitly addresses “sustainable digital transformation” and “effectiveness of sustainable digital transformation (ESDT)”.
	•	CI03: met — The abstract mentions “digital technology” and the implementation of innovation in the context of sustainable digital transformation.
	•	CI04: met — The study presents an empirical analysis using data from 712 SME respondents and structural equation modeling with SmartPLS and AMOS.
	•	CI05: met — The title and abstract are written in English.
	•	CE01–CE04: none apply — The study is directly related to BPM capabilities, digital transformation, digital technology, and an organizational/business context involving SMEs. It is not a secondary study and provides enough information for assessment.</t>
  </si>
  <si>
    <t>**Score: 0**
**Justification:**
* **CI01: Met** — Business Process Management is explicitly and centrally referenced: "business process management capabilities (BPMC)" is the key independent construct of the study.
* **CI02: Met** — Digital transformation is explicitly addressed as the central dependent concept: "sustainable digital transformation (ESDT)" and "effectiveness of sustainable digital transformation" are referenced throughout.
* **CI03: Not met** — The abstract references "digital technology" once in the practical implications section ("promote the application of digital technology"), but this is a generic term. No specific technology is explicitly named (AI, RPA, process mining, big data, blockchain, IoT, or software systems). Applying the strict evidence-based rule, this criterion is not met.
* **CI04: Met** — The study employs structural equation modeling (SmartPLS and AMOS) on a sample of 712 respondents from Vietnamese SMEs to test hypothesized relationships between BPM capabilities, dynamic decision-making, and digital transformation effectiveness — constituting a rigorous primary empirical analysis.
* **CI05: Met** — The study is written in English.
* **CE01: Does not apply** — The study is directly related to BPM and digital transformation.
* **CE02: Does not apply** — The study is explicitly set in an organizational and business context — SMEs in Vietnam across multiple industries.
* **CE03: Does not apply** — This is a primary empirical study using survey data and statistical modeling.
* **CE04: Does not apply** — The abstract provides sufficient information for full assessment.
---
**Summary:** The study fails inclusion solely on CI03. Despite substantive engagement with BPM capabilities and digital transformation in an organizational context, no specific technology is explicitly named in the title or abstract. Per the strict evaluation rules, Score = 0.</t>
  </si>
  <si>
    <t>Huy, Pham Quang; Phuc, Vu Kien</t>
  </si>
  <si>
    <t>Unveiling how business process management capabilities foster dynamic decision-making for effectiveness of sustainable digital transformation</t>
  </si>
  <si>
    <r>
      <rPr>
        <rFont val="Helvetica Neue"/>
        <color rgb="FF1155CC"/>
        <u/>
      </rPr>
      <t>https://www.sciencedirect.com/science/article/pii/S1463715425000032</t>
    </r>
  </si>
  <si>
    <t>67-103</t>
  </si>
  <si>
    <t>Purpose This research aims at investigating how business process management capabilities (BPMC) impact the effectiveness of sustainable digital transformation (ESDT). Furthermore, it delves into the mediation of dynamic decision-making (DDM) in the relationship between BPMC and ESDT. Design/methodology/approach This research employed the hypothetico-deductive technique. The statistical database was generated from sample of 712 respondents from small and medium companies (SMEs) in Vietnam, utilizing convenience and snowball sampling methods. The two-step process utilizing structural equation modeling, supported by SmartPLS version 4.1.0.9 and AMOS 28, was employed to assess the measurement model, while SmartPLS version 4.1.0.9 was used to evaluate the structural model. Findings The results of the analysis emphasize significant and positive correlations between the proposed constructs related to significance and effect size. The statistical results indicated that BPMC had a significant and beneficial effect on ESDT. This relationship was partially mediated by DMM. Practical implications The salient point emphasized that practitioners should prioritize enhancing focus on BPMC and DDM, as this would significantly facilitate more comprehensive solutions, enabling SMEs to achieve optimal success in sustainable digital transformation. Policymakers and government influencers are urged to concentrate on innovative attributes and ensure a conducive environment for the implementation of innovation by enacting regulations that promote the application of digital technology. Originality/value The findings of this study will broaden scholars’ understanding of the influence of BPMC on ESDT. The originality of the research is to provide research directions for advancing studies on the role of DDM in the context of sustainable digital transformation.</t>
  </si>
  <si>
    <t>10.1108/BPMJ-06-2024-0467</t>
  </si>
  <si>
    <t>Score: 0
Justification:
	•	CI01: not met — The abstract mentions “business processes” and “predictive process monitoring (PPM)”, but does not explicitly mention Business Process Management or BPM.
	•	CI02: not met — The abstract discusses “digital documents” in business processes, but it does not clearly address digital transformation, digitalization, or digital innovation.
	•	CI03: met — The study explicitly mentions technologies and techniques such as “deep neural networks”, “predictive process monitoring”, “automated visual and textual feature extraction methods”, and “Shapley additive explanations”.
	•	CI04: met — The study proposes an approach and evaluates it on a real-world insurance dataset with 5,131 process instances, 32,058 events and 39,242 document pages.
	•	CI05: met — The title and abstract are written in English.
	•	CE01–CE04: no exclusion criterion clearly applies, but the study receives Score 0 because CI01 and CI02 are not clearly met. It is relevant to process monitoring, digital documents and business processes, but the title/abstract do not explicitly support Business Process Management/BPM or digital transformation/digitalization/digital innovation.</t>
  </si>
  <si>
    <t>**Score: 0**
**Justification:**
* **CI01: Not met** — Neither "Business Process Management" nor "BPM" appears in the title or abstract. The study references "business processes" generically in the context of predictive process monitoring, but Business Process Management as a discipline is not explicitly mentioned.
* **CI02: Not met** — There is no mention of digital transformation, digitalization, or digital innovation anywhere in the title or abstract. The study focuses on predictive process monitoring using deep neural networks in an insurance context.
* **CI03: Met** — Deep neural networks are explicitly named and applied as the central technology. Automated visual and textual feature extraction methods and Shapley additive explanations are also explicitly described as AI/ML-based techniques.
* **CI04: Met** — The study proposes an original approach integrating digital documents into predictive process monitoring models, evaluated on a real-world dataset from a German insurance company comprising 5,131 process instances — constituting both a methodological contribution and an empirical validation.
* **CI05: Met** — The study is written in English.
* **CE01: Does not apply** — The study is related to business process improvement and AI technologies, even if BPM and digital transformation are not explicitly named.
* **CE02: Does not apply** — The study is applied in a business context — a mid-sized German insurance company — addressing process efficiency and outcome prediction.
* **CE03: Does not apply** — This is a primary study proposing an original approach.
* **CE04: Does not apply** — The abstract provides sufficient information for full assessment.
---
**Summary:** The study fails inclusion on CI01 and CI02. Despite applying deep neural networks to process monitoring in a business context — closely related to the research domain — neither "Business Process Management" nor "digital transformation/digitalization/digital innovation" is explicitly mentioned in the title or abstract. Per the strict evaluation rules, Score = 0.</t>
  </si>
  <si>
    <t>Levich, Sergej; Lutz, Bernhard; Neumann, Dirk</t>
  </si>
  <si>
    <t>Utilizing the omnipresent: Incorporating digital documents into predictive process monitoring using deep neural networks</t>
  </si>
  <si>
    <r>
      <rPr>
        <rFont val="Helvetica Neue"/>
        <color rgb="FF1155CC"/>
        <u/>
      </rPr>
      <t>https://www.sciencedirect.com/science/article/pii/S0167923623001185</t>
    </r>
  </si>
  <si>
    <t>Predictive process monitoring (PPM) allows companies to improve the efficiency of their business processes by predicting aspects such as the process outcome, the next event, or the time until the next event. So far, existing studies have mainly focused on developing novel predictive models while using features solely from event logs. In this study, we aim to go beyond log data and increase the focus of PPM research towards external context information. To this end, we consider digital documents as they are omnipresent in many business processes and their inclusion can often be justified by a business rationale. However, incorporating digital documents into PPM models poses considerable challenges as they present unstructured data that can contain visual and textual cues of future process behavior, while manual feature extraction is generally not feasible. Therefore, we propose an approach that processes digital documents based on automated visual and textual feature extraction methods. Furthermore, we design a tailored integration module which transforms the extracted features from multiple document pages into a fixed-size representation that subsequently serves as input for the predictive models. Our evaluation, based on a real-world dataset of insurance claims from a mid-sized German insurance company, featuring 5131 process instances with 32,058 events and 39,242 document pages, shows that incorporating digital documents improves the performance by significant margins in predicting the damage type, the next event, and the time until the next event. Finally, we analyze how digital documents contribute to the model’s predictions in terms of Shapley additive explanations.</t>
  </si>
  <si>
    <t>10.1016/j.dss.2023.114043</t>
  </si>
  <si>
    <t>Score: 0
Justification:
	•	CI01: not met — There is no mention of Business Process Management or BPM. The “bpm” in the abstract refers to “beats per minute”, not Business Process Management.
	•	CI02: not met — The abstract mentions “digital prehabilitation” and an app-based program, but it does not clearly address digital transformation, digitalization, or digital innovation in an organizational/business process context.
	•	CI03: met — The study explicitly mentions technologies such as “app-based exercise program”, “new software”, “wearables”, “app-linked wearables” and ECG-based monitoring.
	•	CI04: met — The study presents a prospective interventional pilot trial with 75 participants assessing validity, accuracy, safety and usability of an app-based prehabilitation program.
	•	CI05: met — The title and abstract are written in English.
	•	CE01–CE04: CE01 applies — The study is unrelated to Business Process Management and the intended BPM/digital transformation topic. CE02 also applies, because it focuses on clinical prehabilitation/medical-device assessment rather than an organizational or business context.</t>
  </si>
  <si>
    <t>**Score: 0**
**Justification:**
* **CI01: Not met** — Neither "Business Process Management" nor "BPM" appears in any relevant sense. "BPM" does not appear at all in the abstract; "bpm" appears only as "beats per minute," a physiological measurement unit.
* **CI02: Not met** — There is no mention of digital transformation, digitalization, or digital innovation. The study addresses digital prehabilitation as a clinical tool for surgical preparation, with no connection to organizational digital transformation.
* **CI03: Not met** — While a mobile app and wearable devices are mentioned, these are medical/clinical tools applied in a surgical prehabilitation context, with no connection to the technologies referenced in this criterion (AI, RPA, process mining, big data, blockchain, IoT, or enterprise software systems) in a BPM or digital transformation context.
* **CI04: Not met** — The study presents a clinical interventional pilot trial assessing safety, accuracy, and validity of a prehabilitation app, entirely within the domain of surgical medicine and clinical device evaluation. In the absence of any connection to BPM or digital transformation, this cannot satisfy the criterion.
* **CI05: Met** — The study is written in English.
* **CE01: Applies** — The study is entirely unrelated to Business Process Management, digital transformation, or associated organizational technologies. It belongs to clinical medicine and medical device validation.
* **CE02: Applies** — The study has no organizational or business context. It involves patients undergoing major surgery and healthy student volunteers in a clinical trial setting.
* **CE03: Does not apply** — This is a primary prospective interventional pilot study.
* **CE04: Does not apply** — The abstract provides sufficient information to assess and exclude this study.
---
**Summary:** This is a clinical prehabilitation trial evaluating a heart rate monitoring app and wearable devices before major surgery. "BPM" refers exclusively to beats per minute. The study has no connection to Business Process Management, digital transformation, or the research topic, and is excluded on multiple grounds.</t>
  </si>
  <si>
    <t>Faqar Uz Zaman, Sara Fatima; Sliwinski, Svenja; Mohr-Wetzel, Lisa; Dreilich, Julia; Filmann, Natalie; Detemble, Charlotte; Zmuc, Dora; Chun, Felix; Derwich, Wojciech; Schreiner, Waldemar; Bechstein, Wolf; Fleckenstein, Johannes; Schnitzbauer, Andreas A</t>
  </si>
  <si>
    <t>Validity, Accuracy, and Safety Assessment of an Aerobic Interval Training Using an App-Based Prehabilitation Program (PROTEGO MAXIMA Trial) Before Major Surgery: Prospective, Interventional Pilot Study</t>
  </si>
  <si>
    <r>
      <rPr>
        <rFont val="Helvetica Neue"/>
        <color rgb="FF1155CC"/>
        <u/>
      </rPr>
      <t>https://www.sciencedirect.com/science/article/pii/S2291522225000154</t>
    </r>
  </si>
  <si>
    <r>
      <t xml:space="preserve">Background Major surgery is associated with significant morbidity and a reduced quality of life, particularly among older adults and individuals with frailty and impaired functional capacity. Multimodal prehabilitation can enhance functional recovery after surgery and reduce postoperative complications. Digital prehabilitation has the potential to be a resource-sparing and patient-empowering tool that improves patients’ preoperative status; however, little remains known regarding their safety and accuracy as medical devices. Objective This study aims to test the accuracy and validity of a new software in comparison to the gold-standard electrocardiogram (ECG)-based heart rate measurement. Methods The PROTEGO MAXIMA trial was a prospective interventional pilot trial assessing the validity, accuracy, and safety of an app-based exercise program. The Prehab App calculates a personalized, risk-stratified aerobic interval training plan based on individual risk factors and utilizes wearables to monitor heart rate. Healthy students and patients undergoing major surgery were enrolled. A structured risk assessment was conducted, followed by a 6-minute walking test and a 37-minute supervised interval session. During the exercise, patients wore app-linked wearables for heart rate and distance measurements, which were compared with standard ECG and treadmill measurements. Safety, accuracy, and usability assessments included testing alarm signals, while the occurrence of adverse events served as the primary and secondary outcome measures. Results A total of 75 participants were included. The mean heart rate differences between wearables and standard ECG were ≤5 bpm (beats per minute) with a mean absolute percentage error of ≤5%. Regression analysis revealed a significant impact of the BMI (odds ratio 0.90, 95% CI 0.82-0.98, P=.02) and Timed Up and Go Test score (odds ratio 0.12, 95% CI 0.03-0.55, P=.006) on the accuracy of heart rate measurement; 29 (39%) patients experienced adverse events: pain (5/12, 42%), ECG electrode–related skin irritations (2/42, 17%), dizziness (2/42, 17%), shortness of breath (2/42, 17%), and fatigue (1/42, 8%). No cardiovascular or serious adverse events were reported, and no serious device deficiency was detected. There were no indications of clinically meaningful overexertion based on laboratory values measured before and after the 6-minute walking test and exercise. The differences in means and ranges were as follows: lactate (mmol/l), mean 0.04 (range –3 to 6; P=.47); creatinine kinase (U/l), mean 12 (range –7 to 43; P&lt;.001); and sodium (mmol/l), mean –2 (range –11 to 12; P&lt;.001). Conclusions The interventional trial demonstrated the high safety of the exercise program and the accuracy of heart rate measurements using commercial wearables in patients before major surgery, paving the way for potential remote implementation in the future. Trial Registration German Clinical Trials Register DRKS00026985; </t>
    </r>
    <r>
      <rPr>
        <rFont val="Helvetica Neue"/>
        <color rgb="FF1155CC"/>
        <u/>
      </rPr>
      <t>https://drks.de/search/en/trial/DRKS00026985</t>
    </r>
    <r>
      <rPr>
        <rFont val="Helvetica Neue"/>
      </rPr>
      <t xml:space="preserve"> and European Database on Medical Devices (EUDAMED) CIV-21-07-0307311. International Registered Report Identifier (IRRID) RR2-10.1136/bmjopen-2022-069394</t>
    </r>
  </si>
  <si>
    <t>10.2196/55298</t>
  </si>
  <si>
    <t>Score: 0
Justification:
	•	CI01: not met — Although the abstract mentions “IT-BPM”, this refers to the information technology-business process management industry label, not clearly to Business Process Management as the study’s object. The study itself focuses on a “business innovation framework”, not BPM.
	•	CI02: met — The abstract addresses business innovation and includes a “digital” dimension in the VIDE-LEO framework.
	•	CI03: met — The abstract refers to the “information technology-business process management (IT-BPM) industry” and digital dimensions.
	•	CI04: met — The study validates the VIDE-LEO business innovation framework through “multiple case study analysis” of SME companies in India.
	•	CI05: met — The title and abstract are written in English.
	•	CE01–CE04: no exclusion criterion clearly applies, but the study receives Score 0 because CI01 is not clearly met. It is about business innovation metrics in the IT-BPM industry, but not explicitly about BPM as Business Process Management applied to digital transformation.</t>
  </si>
  <si>
    <t>**Score: 0**
**Justification:**
* **CI01: Met** — Business Process Management is explicitly mentioned: "information technology-business process management (IT-BPM) industry" — the study is validated within IT-BPM companies, and "business process management" appears as part of the industry label.
* **CI02: Not met** — The abstract does not explicitly mention digital transformation, digitalization, or digital innovation as compound terms. While "digital" appears as one of the four VIDE dimensions ("value, innovation, digital, and enterprise"), it is listed separately from "innovation" — the combined term "digital innovation" is never used. "Business innovation" is the central concept, but this is distinct from the required terms. Applying the strict evidence-based rule, this criterion is not met.
* **CI03: Not met** — No specific technology is explicitly named in the abstract (AI, RPA, process mining, big data, blockchain, IoT, or software systems). The study focuses on a business innovation framework and its metrics, without referencing any particular technology.
* **CI04: Met** — The study employs multiple case study analysis of select IT-BPM companies from India to validate the VIDE-LEO framework, constituting an empirical primary investigation.
* **CI05: Met** — The study is written in English.
* **CE01: Does not apply** — The study is related to BPM (as part of the IT-BPM industry context) and business innovation.
* **CE02: Does not apply** — The study is explicitly set in a business and organizational context — SMEs in the Indian IT-BPM industry.
* **CE03: Does not apply** — This is a primary empirical case study.
* **CE04: Does not apply** — The abstract provides sufficient information for full assessment.
---
**Summary:** The study fails on CI02 and CI03. Despite situating the research within the IT-BPM industry, neither the explicit terms required by CI02 nor any specific technology required by CI03 appears in the abstract. Score = 0.</t>
  </si>
  <si>
    <t>Venkatesh, Ramamurthy; Singhal, Tarun Kumar; Hallur, Giri Gundu</t>
  </si>
  <si>
    <t>VIDE-LEO:</t>
  </si>
  <si>
    <r>
      <rPr>
        <rFont val="Helvetica Neue"/>
        <color rgb="FF1155CC"/>
        <u/>
      </rPr>
      <t>https://www.sciencedirect.com/science/article/pii/S1548367322000424</t>
    </r>
  </si>
  <si>
    <t>ABSTRACT Contemporary insights on business innovation exhibit diverse recommendations, yet lack practical frameworks for quantifying business innovation success. VIDE-LEO business innovation framework is an effort to answer this challenge with innovation metrics defined as a conflation of four VIDE dimensions, namely value, innovation, digital, and enterprise dimensions in a 360° perspective. These dimensions are triangulated as LEO dimensions such as leadership, enablement, and orchestration. Obviously, there are no previous studies available as applied to small and medium enterprises (SME). The focus of this study is to validate this framework by multiple case study analysis of select case companies from India who are from the information technology-business process management (IT-BPM) industry. Further, findings of this study confirm the practical application of VIDE-LEO framework metrics for SMEs in IT-BPM industry. Value proposition of this framework and its innovation metrics may further be extended to other vertical industries for more enhanced practical value.</t>
  </si>
  <si>
    <t>10.4018/IJeC.290294</t>
  </si>
  <si>
    <t>Score: 0
Justification:
	•	CI01: not met — The title and abstract do not explicitly mention “Business Process Management” or “BPM.” Although it discusses supply chain performance and operational excellence, this is not enough for CI01.
	•	CI02: met — The abstract clearly addresses digital topics, mentioning “digital technologies,” “digital supply chain performance,” “digital SC,” and “digital literacy.”
	•	CI03: met — The study explicitly mentions and applies big data, especially “Big Data Use (BDU).”
	•	CI04: met — The study presents an empirical analysis using “hybrid structural equation modeling (SEM)–fuzzy-set qualitative comparative analysis (fsQCA)” and reports survey findings from Chinese SMEs.
	•	CI05: met — The title and abstract are written in English.
CE01–CE04:
	•	CE01: applies partially / effectively applies for this review — The study is related to digital technologies and organizational performance, but it is not explicitly related to BPM, which is mandatory in your criteria.
	•	CE02: does not apply — It is clearly related to an organizational/business context, specifically Chinese textile SMEs and supply chain performance.
	•	CE03: does not apply — It is not a secondary study; it reports survey-based empirical analysis.
	•	CE04: does not apply — The abstract provides enough information to assess relevance.
Decision: Exclude, because CI01 is not met.</t>
  </si>
  <si>
    <t>**Score: 0**
**Justification:**
* **CI01: NOT MET** — Neither "Business Process Management" nor "BPM" appears anywhere in the title or abstract. The study focuses on supply chain performance (VSDSCP) and big data use (BDU), with no explicit connection to BPM concepts or terminology.
* **CI02: MET** — The study refers to "digital technologies," "digital supply chain performance," and "digital SC," indicating engagement with the digital domain. The phrase "digital literacy" also appears in the context of organizational upskilling.
* **CI03: MET** — Big data is explicitly named as the central technology: *"Digital technologies such as big data drive operational excellence."* BDU (Big Data Use) is the primary construct under investigation.
* **CI04: MET** — The study presents an empirical analysis using a hybrid SEM-fsQCA methodology, surveys managers of Chinese SMEs, tests hypotheses, and identifies six distinct configurations — clearly constituting an empirical investigation with a defined method.
* **CI05: MET** — The title and abstract are written in English.
* **CE01–CE04: No exclusion criteria apply** — The study is related to digital technologies (CE01 does not apply); it is grounded in an organizational/business context (CE02 does not apply); it is a primary empirical study, not a literature review (CE03 does not apply); the abstract provides sufficient information for evaluation (CE04 does not apply).
---
**Summary:** The sole disqualifying factor is the absence of any reference to Business Process Management or BPM (CI01), which is a mandatory inclusion criterion. Since CI01 is not met, the study is excluded regardless of how well it satisfies the remaining criteria.</t>
  </si>
  <si>
    <t>Ali, Zulqurnain</t>
  </si>
  <si>
    <t>What configurations of big data use facilitate digital supply chain performance? An integrative perspective of SEM-fsQCA</t>
  </si>
  <si>
    <r>
      <rPr>
        <rFont val="Helvetica Neue"/>
        <color rgb="FF1155CC"/>
        <u/>
      </rPr>
      <t>https://doi.org/10.1108/IMDS-07-2025-0992</t>
    </r>
  </si>
  <si>
    <t>1-25</t>
  </si>
  <si>
    <t>Digital technologies such as big data drive operational excellence, yet their role in enhancing viable, sustainable and digital supply chain performance (VSDSCP) through supply chain connectivity (SCC) and innovation remains underexplored. Grounded in dynamic capability theory (DCT), this study aims to investigate the BDU–VSDSCP relationship via SCC and innovation mediation, employing a hybrid structural equation modeling (SEM)–fuzzy-set qualitative comparative analysis (fsQCA) approach.We surveyed managers of Chinese small and medium-sized textile enterprise (SMEs) to test the proposed hypotheses using SEM and identified configurations of Big Data Use (BDU) through fsQCA.The SEM findings suggest that BDU directly and indirectly enhances VSDSCP, with SCC and innovation capabilities mediating the nexus between BDU and VSDSCP. fsQCA results uncover six distinct configurations of factors that collectively predict higher levels of VSDSCP.This research supports SME managers in enhancing connectivity and co-creating with suppliers and customers by leveraging insights from BDU to achieve optimal VSDSCP. Furthermore, the SEM–fsQCA findings indicate that success is not driven by a single factor but rather by tailored combinations of capabilities suited to the specific firm context.Improved VSDSCP through BDU and innovation fosters business growth, generating new employment opportunities while encouraging upskilling in digital literacy.We contribute to digital SC and big data literature by employing a hybrid SEM-fsQCA to investigate how BDU augments VSDSCP. We extend DCT by focusing on capability orchestration, uncovering generalizable and context-specific pathways to performance.</t>
  </si>
  <si>
    <t>10.1108/IMDS-07-2025-0992</t>
  </si>
  <si>
    <t>Score: 1
Justification:
	•	CI01: met — The abstract explicitly mentions “cloud-based Business Process Management tools”, which satisfies the requirement for explicit BPM/Business Process Management mention.
	•	CI02: met — The study addresses digital transformation through statements such as “business process innovation, driven by digital technologies” and “emerging technologies are reshaping internal processes.”
	•	CI03: met — It explicitly mentions technologies: artificial intelligence, blockchain, and cloud-based Business Process Management tools.
	•	CI04: met — The study presents an empirical/methodological analysis, described as a “multiple case study design” based on “Gioia-inspired document analysis.”
	•	CI05: met — The title and abstract are written in English.
CE01–CE04:
	•	CE01: does not apply — The study is related to BPM, digital technologies, and business transformation.
	•	CE02: does not apply — It is clearly in an organizational/business context, focusing on cybersecurity companies, business models, competitive strategies, and sustainability practices.
	•	CE03: does not apply — It is not a secondary study; it uses multiple case study/document analysis.
	•	CE04: does not apply — The title and abstract provide enough information to assess relevance.
Decision: Include, because all inclusion criteria are clearly met and no exclusion criterion applies.</t>
  </si>
  <si>
    <t>**Score: 1**
**Justification:**
* **CI01: MET** — The abstract explicitly references "cloud-based Business Process Management tools," directly naming BPM as part of the technologies under analysis.
* **CI02: MET** — Digital transformation is explicitly mentioned: *"bridges gaps between strategic management, digital transformation, and sustainability."* The abstract also refers to "business process innovation, driven by digital technologies."
* **CI03: MET** — Multiple technologies are explicitly named: artificial intelligence (AI), blockchain, and cloud-based BPM tools. Their impact on internal business processes is a central subject of the study.
* **CI04: MET** — The study employs a multiple case study design using Gioia-inspired document analysis across ten leading global cybersecurity companies, drawing from annual reports, sustainability reports, and online databases. This constitutes a clear empirical analysis.
* **CI05: MET** — The title and abstract are written in English.
* **CE01: Does not apply** — The study is directly related to BPM, digital transformation, and technologies.
* **CE02: Does not apply** — The study is firmly grounded in an organizational and business context, analyzing business models, competitive strategies, and sustainability practices of major cybersecurity firms.
* **CE03: Does not apply** — This is a primary empirical study (multiple case study design), not a secondary study such as a systematic literature review or mapping study.
* **CE04: Does not apply** — The abstract provides sufficient detail to assess relevance across all criteria.
---
**Summary:** All five inclusion criteria are clearly and explicitly met, and no exclusion criteria apply. The study is **included**.</t>
  </si>
  <si>
    <t>Gazzola, Patrizia; Amelio, Stefano; Pavione, Enrica; Marubini, Filippo</t>
  </si>
  <si>
    <t>The centrality of cybersecurity: business models, competitive strategies and sustainability practices</t>
  </si>
  <si>
    <r>
      <rPr>
        <rFont val="Helvetica Neue"/>
        <color rgb="FF1155CC"/>
        <u/>
      </rPr>
      <t>https://doi.org/10.1108/BPMJ-07-2025-1110</t>
    </r>
  </si>
  <si>
    <t>1-24</t>
  </si>
  <si>
    <t>Cybersecurity has evolved from a technical function to a critical factor for business success. This paper provides a focused analysis of how emerging technologies—artificial intelligence (artificial intelligence), blockchain, and cloud-based Business Process Management tools—impact internal business processes.This study explores the strategies adopted by ten leading global cybersecurity companies through a multiple case study design based on Gioia-inspired document analysis (2018–1024). The methods of collecting data related to the companies considered are multiple and include annual reports, sustainability reports, and online databases.These technologies are shown to enhance threat detection, compliance, workflow automation, and decision-making efficiency, thus transforming cybersecurity capabilities into a strategic asset. The research highlights how business process innovation, driven by digital technologies, contributes to long-term differentiation and resilience in an increasingly complex and competitive environment. The analysis, which focuses only on companies with the largest market capitalizations, highlights a transformative approach that marks a shift towards a future in which cybersecurity is and will increasingly be a priority.This study provides a novel contribution by integrating a comparative analysis of the business models, competitive strategies, and sustainability practices of ten leading cybersecurity firms, an approach not yet systematically explored in existing literature. By examining how emerging technologies are reshaping internal processes, the paper bridges gaps between strategic management, digital transformation, and sustainability. It offers new theoretical and managerial insights into how these technologies can be leveraged as key drivers of competitive advantage in a rapidly evolving cybersecurity landscape.</t>
  </si>
  <si>
    <t>10.1108/BPMJ-07-2025-1110</t>
  </si>
  <si>
    <t>Score: 0
Justification:
	•	CI01: not met — The abstract mentions “business processes” and “Business Process Technology (BPT),” but it does not explicitly mention “Business Process Management” or “BPM.” Since your criterion requires explicit BPM/Business Process Management, CI01 is not met.
	•	CI02: met — The study clearly addresses digital transformation, stating “through digital transformation” in the title and “foster inclusion and digital transformation” in the abstract.
	•	CI03: met — It explicitly mentions “digital technologies,” “social networks,” “digital communication channels,” “financial and e-commerce platforms,” and “digital tools.”
	•	CI04: met — The study presents an empirical analysis using a “sequential exploratory mixed-method design,” with survey data from 131 women entrepreneurs and six focus groups. It also proposes a “BPT-based training model.”
	•	CI05: met — The title and abstract are written in English.
CE01–CE04:
	•	CE01: applies for this review — Although the study is related to digital transformation, technologies, and business processes, it is not explicitly related to BPM/Business Process Management, which is mandatory in your criteria.
	•	CE02: does not apply — It is clearly related to an organizational/business context, focusing on women entrepreneurs and business processes.
	•	CE03: does not apply — It is not a secondary study; it reports mixed-method empirical research.
	•	CE04: does not apply — The abstract provides enough information to assess relevance.
Decision: Exclude, because CI01 is not met.</t>
  </si>
  <si>
    <t>**Score: 0**
**Justification:**
* **CI01: NOT MET** — The study does not explicitly mention "Business Process Management" or the acronym "BPM." The framework used is "Business Process Technology (BPT)," which is a distinct term. The criterion requires explicit reference to BPM or the term "BPM," which is absent from both title and abstract.
* **CI02: MET** — Digital transformation is explicitly and repeatedly referenced: *"foster inclusion and digital transformation,"* "digital adoption profiles," "digital maturity," and "digital skills" all appear in the abstract.
* **CI03: MET** — The study explicitly mentions digital technologies throughout, including social networks, digital communication channels, financial platforms, e-commerce platforms, and websites. While less advanced than AI or RPA, these constitute software systems and digital tools. The criterion's "e.g." indicates the list is illustrative, not exhaustive.
* **CI04: MET** — The study employs a sequential exploratory mixed-method design, surveys 131 women entrepreneurs, conducts six focus groups, and proposes a BPT-based training model — constituting both an empirical analysis and a proposed model.
* **CI05: MET** — The title and abstract are written in English.
* **CE01–CE04: No exclusion criteria apply** — The study is related to digital transformation and technologies (CE01); it is firmly grounded in a business context involving entrepreneurship (CE02); it is a primary empirical study, not a secondary review (CE03); the abstract provides sufficient information for evaluation (CE04).
---
**Summary:** The sole disqualifying factor is CI01 — "Business Process Management" and "BPM" are never mentioned. The framework is BPT (Business Process Technology), which does not satisfy the explicit requirement. The study is therefore **excluded**.</t>
  </si>
  <si>
    <t>Portuguez-Castro, May; Ramirez-Lozano, Julianna Paola</t>
  </si>
  <si>
    <t>Enabling women entrepreneurs through digital transformation: a business process technology perspective from emerging economies</t>
  </si>
  <si>
    <r>
      <rPr>
        <rFont val="Helvetica Neue"/>
        <color rgb="FF1155CC"/>
        <u/>
      </rPr>
      <t>https://doi.org/10.1108/BPMJ-10-2025-1751</t>
    </r>
  </si>
  <si>
    <t>1-23</t>
  </si>
  <si>
    <t>This study examines how women entrepreneurs in emerging economies can optimize business processes through the adoption of digital technologies, using Business Process Technology (BPT) as a conceptual framework. It explores patterns of technology use, perceived barriers and opportunities that inform the design of differentiated training programs to foster inclusion and digital transformation.A sequential exploratory mixed-method design was employed. Quantitative data were collected through a survey of 131 women entrepreneurs participating in the program Mujer, que tu negocio crezca más (Woman, Make Your Business Grow) across six regions of Peru. This phase enabled the identification of digital adoption profiles. Qualitative data from six focus groups complemented these findings by exploring how digital tools are embedded within administrative, commercial, and financial processes, as well as the contextual and gendered conditions shaping their adoption.The findings reveal uneven digital maturity, characterized by (1) high adoption of social networks and digital communication channels, contrasted with limited use of financial and e-commerce platforms; (2) a higher level of digital maturity among entrepreneurs who operate a website; (3) the identification of two technology adoption profiles and (4) a comprehensive assessment of business processes that informed the design of a BPT-based training model grounded in the principles of integration, modeling and automation.The results provide guidance for designing inclusive training programs that strengthen digital skills, promote gender equity, and contribute to achieving the Sustainable Development Goals.The study integrates BPT theory with empirical evidence on women's entrepreneurship, proposing a process-oriented training model adaptable to similar contexts in emerging economies.</t>
  </si>
  <si>
    <t>10.1108/BPMJ-10-2025-1751</t>
  </si>
  <si>
    <t>Score: 0
Justification:
	•	CI01: not met — The abstract mentions “process performance,” but it does not explicitly mention “Business Process Management” or “BPM.” PMO/OPM is not equivalent to BPM under your criteria.
	•	CI02: met — The abstract explicitly relates the PMO to “digital transformation” and “innovation and AI initiatives.”
	•	CI03: met — It explicitly mentions artificial intelligence (AI) and AI governance.
	•	CI04: met — The study presents an empirical analysis through a “longitudinal single-case study design,” using interviews, documentation, and a questionnaire.
	•	CI05: met — The title and abstract are written in English.
CE01–CE04:
	•	CE01: applies for this review — The study is related to digital transformation and AI, but it is not explicitly related to BPM/Business Process Management, which is mandatory.
	•	CE02: does not apply — It is clearly in an organizational/business context, focusing on a large European organization and its PMO.
	•	CE03: does not apply — It is not a secondary study; it is a longitudinal case study.
	•	CE04: does not apply — The title and abstract provide enough information to assess relevance.
Decision: Exclude, because CI01 is not met.</t>
  </si>
  <si>
    <t>**Score: 0**
**Justification:**
* **CI01: NOT MET** — Neither "Business Process Management" nor "BPM" appears anywhere in the title or abstract. The study centers on the Project Management Office (PMO) and Organizational Project Management (OPM), which are distinct disciplines from BPM. No equivalent or substitute terminology is used.
* **CI02: MET** — Digital transformation is explicitly mentioned: *"positioning it as both a governance body and a driver of digital transformation."*
* **CI03: MET** — Artificial intelligence (AI) is explicitly and repeatedly referenced: *"artificial intelligence (AI) initiatives,"* *"lead innovation and AI initiatives,"* and *"AI governance"* all appear in the abstract.
* **CI04: MET** — The study employs a longitudinal single-case study design combining semi-structured interviews, internal documentation, and a follow-up questionnaire with EPMO professionals. This constitutes a clear empirical analysis.
* **CI05: MET** — The title and abstract are written in English.
* **CE01–CE04: No exclusion criteria apply** — The study relates to digital transformation and AI technologies (CE01); it is set within a large European organization, making it clearly organizational in context (CE02); it is a primary longitudinal case study, not a secondary review (CE03); the abstract provides sufficient information for evaluation (CE04).
---
**Summary:** The sole disqualifying factor is CI01 — "Business Process Management" and "BPM" are entirely absent from the title and abstract. The focus is on PMO/OPM governance and evolution, not on BPM. The study is therefore **excluded**.</t>
  </si>
  <si>
    <t>Monteiro, António</t>
  </si>
  <si>
    <t>The evolving mandate of project management offices: governance, innovation, and performance, evidence from a longitudinal case study</t>
  </si>
  <si>
    <r>
      <rPr>
        <rFont val="Helvetica Neue"/>
        <color rgb="FF1155CC"/>
        <u/>
      </rPr>
      <t>https://doi.org/10.1108/BPMJ-09-2025-1464</t>
    </r>
  </si>
  <si>
    <t>1-22</t>
  </si>
  <si>
    <t>This study investigates the long-term evolution of the Project Management Office (PMO) within the foundation of Organizational Project Management (OPM). It examines how the PMO'smandate, authority, and responsibilities developed in a large European organization, tracing its transition from departmental support to strategic governance and, more recently, to a central role in innovation and artificial intelligence (AI) initiatives.A longitudinal single-case study design was employed, combining semi-structured interviews, internal documentation, and a follow-up questionnaire with Enterprise PMO (EPMO) professionals to identify PMO functions across stages and analyze mandate and authority expansion.Three main findings emerged. First, the PMO evolved through four stages, expanding from IT support to enterprise-wide governance. This followed a layered mandate logic, where foundational functions were retained while governance and strategic roles were progressively added. Second, a decisive transformation occurred when the PMO was relocated from IT to board-level reporting, expanding its autonomy, process performance, and strategic influence. Third, the PMO was explicitly mandated to lead innovation and AI initiatives, positioning it as both a governance body and a driver of digital transformation.This study provides a rare longitudinal examination of PMO evolution in the context of OPM, addressing limited empirical evidence on sustained PMO development beyond early support and governance roles. It advances the concept of the layered mandate and offers guidance for structuring PMOs to sustain stability, expand authority, and assume responsibility for innovation and AI governance.</t>
  </si>
  <si>
    <t>10.1108/BPMJ-09-2025-1464</t>
  </si>
  <si>
    <t>Score: 1
Justification:
	•	CI01: met — The abstract explicitly mentions “business process management (BPM)” as one of the interpretive lenses.
	•	CI02: met — The study addresses digital transformation/digitalization through “blockchain-enabled process innovation” and blockchain adoption in green logistics.
	•	CI03: met — The technology is explicit: blockchain.
	•	CI04: met — The study presents an empirical qualitative analysis, with “semi-structured interviews with 18 participants” and thematic analysis.
	•	CI05: met — The title and abstract are written in English.
CE01–CE04:
	•	CE01: does not apply — The study is related to BPM, digital technology, process innovation, and organizational sustainability.
	•	CE02: does not apply — It is clearly in a business/organizational context, focusing on SMEs and logistics practices.
	•	CE03: does not apply — It is not a secondary study; it uses interview-based empirical data.
	•	CE04: does not apply — The abstract provides enough information to assess relevance.
Decision: Include, because all inclusion criteria are clearly met and no exclusion criterion applies.</t>
  </si>
  <si>
    <t>**Score: 0**
**Justification:**
* **CI01: MET** — "Business Process Management (BPM)" is explicitly named twice: *"guided by institutional theory and business process management (BPM) as interpretive lenses"* and *"integrating institutional theory and BPM as interpretive frameworks."*
* **CI02: NOT MET** — The terms "digital transformation," "digitalization," and "digital innovation" do not appear anywhere in the title or abstract. The study refers to "blockchain-enabled process innovation" and "process transformation," but these phrases do not constitute explicit use of the required terminology. Per the evaluation rules, if a criterion is not clearly supported by explicit evidence, it must be considered not met.
* **CI03: MET** — Blockchain is the central technology under study, explicitly referenced throughout: *"blockchain for green logistics," "blockchain-enabled process innovation," "blockchain adoption,"* and *"blockchain was viewed as a tool for transparency."*
* **CI04: MET** — The study employs an exploratory qualitative design with 18 semi-structured interviews and thematic analysis guided by institutional theory and BPM — constituting a clear empirical analysis.
* **CI05: MET** — The title and abstract are written in English.
* **CE01–CE04: No exclusion criteria apply** — The study addresses BPM and technologies (CE01); it is grounded in a business context involving SMEs (CE02); it is a primary qualitative study, not a secondary review (CE03); sufficient information is provided for evaluation (CE04).
---
**Summary:** Despite strongly meeting CI01, CI03, CI04, and CI05, the study fails CI02 — the words "digital transformation," "digitalization," and "digital innovation" are entirely absent from the title and abstract. The study is therefore **excluded**.</t>
  </si>
  <si>
    <t>Amanollahnejad, Albert; Izadi, Javad; Zaghmout, Bilal</t>
  </si>
  <si>
    <t>Exploring blockchain for green logistics: how institutional forces and process innovation shape sustainability in SMEs</t>
  </si>
  <si>
    <r>
      <rPr>
        <rFont val="Helvetica Neue"/>
        <color rgb="FF1155CC"/>
        <u/>
      </rPr>
      <t>https://doi.org/10.1108/JEIM-07-2025-0655</t>
    </r>
  </si>
  <si>
    <t>1-27</t>
  </si>
  <si>
    <t>This study explores how small and medium-sized enterprises (SMEs) interpret and respond to institutional pressures in relation to blockchain-enabled process innovation within green logistics. It examines how coercive, normative and mimetic pressures are perceived by SMEs and how these pressures intersect with internal process capabilities in sustainability-oriented logistics practices.An exploratory qualitative research design was adopted, involving semi-structured interviews with 18 participants, comprising 12 SME consultants and 6 SME directors based in the UK Supplementary secondary data from industry reports and consultancy materials were used for contextual triangulation. Data were analysed using thematic analysis, guided by institutional theory and business process management (BPM) as interpretive lenses.The findings suggest that coercive, normative and mimetic pressures are widely perceived as shaping SMEs' engagement with blockchain in green logistics. However, participants reported notable variation in how these pressures are prioritised, influenced by firm size, resources, sectoral context and internal processes. Blockchain was viewed as a tool for transparency, not transformative solution.The study suggests that SME managers and advisors should therefore view blockchain adoption as part of an incremental process transformation rather than a purely technological intervention, while policymakers may consider reducing regulatory uncertainty and supporting skills development to lower adoption burdens.This study contributes an exploratory, context-sensitive account of blockchain adoption in green logistics by integrating institutional theory and BPM as interpretive frameworks. Rather than advancing causal claims, it offers nuanced insight into how institutional pressures and organisational conditions are jointly understood by SMEs.</t>
  </si>
  <si>
    <t>10.1108/JEIM-07-2025-0655</t>
  </si>
  <si>
    <t>Score: 0
Justification:
	•	CI01: not met — The title and abstract do not explicitly mention “Business Process Management” or “BPM.”
	•	CI02: not met — The study discusses AI adoption and innovation, but it does not explicitly address digital transformation, digitalization, or digital innovation as required by CI02.
	•	CI03: met — The study explicitly mentions and analyzes AI adoption in organizations.
	•	CI04: met — The study presents a conceptual model empirically validated using PLS-SEM with data from 278 employees and managers.
	•	CI05: met — The title and abstract are written in English.
CE01–CE04:
	•	CE01: applies — The study is about AI adoption and innovative work behaviour, but it is not explicitly related to BPM or digital transformation.
	•	CE02: does not apply — It is related to an organizational/business context, focusing on employees, managers, and IT companies.
	•	CE03: does not apply — It is not a secondary study; it reports empirical validation.
	•	CE04: does not apply — The abstract provides enough information to assess relevance.
Decision: Exclude, because CI01 and CI02 are not met.</t>
  </si>
  <si>
    <t>**Score: 0**
**Justification:**
* **CI01: NOT MET** — Neither "Business Process Management" nor "BPM" appears anywhere in the title or abstract. The study is focused on AI adoption and innovative work behaviour within IT companies, with no reference to BPM concepts or terminology.
* **CI02: NOT MET** — The terms "digital transformation," "digitalization," and "digital innovation" are entirely absent from the title and abstract. While the study deals with AI adoption and innovation in organizations, "innovation" and "innovative work behaviour" are not equivalent to the specific digital transformation terminology required by this criterion.
* **CI03: MET** — Artificial intelligence (AI) is the central technology under investigation, explicitly referenced throughout: *"AI adoption (AIA)," "AI adoption in the organizations,"* and *"integrating AI efficiently with IT industry."*
* **CI04: MET** — A new conceptual model is proposed and empirically validated using PLS-SEM with data collected from 278 employees and managers, constituting a clear model-based empirical analysis.
* **CI05: MET** — The title and abstract are written in English.
* **CE01–CE04: No exclusion criteria apply** — The study addresses AI technology (CE01); it is set within an organizational context of IT companies (CE02); it is a primary empirical study, not a secondary review (CE03); the abstract provides sufficient information for evaluation (CE04).
---
**Summary:** The study fails both CI01 and CI02 — BPM is not mentioned, and digital transformation/digitalization/digital innovation are absent from the title and abstract. Two unmet inclusion criteria independently disqualify the study. It is therefore **excluded**.</t>
  </si>
  <si>
    <t>Vandana, Vandana; Chatterjee, Sheshadri; Rozsa, Zoltan; Ferraris, Alberto</t>
  </si>
  <si>
    <t>AI adoption drivers and innovative work behaviours</t>
  </si>
  <si>
    <r>
      <rPr>
        <rFont val="Helvetica Neue"/>
        <color rgb="FF1155CC"/>
        <u/>
      </rPr>
      <t>https://doi.org/10.1108/EJIM-03-2025-0327</t>
    </r>
  </si>
  <si>
    <t>1-20</t>
  </si>
  <si>
    <t>Drawing on the Unified Theory of Acceptance and Use of Technology (UTAUT), the study aims to analyze the impact of performance expectancy (PE) and training (TR) on AI adoption (AIA). Moreover, our new conceptual model tests the moderating role of personal innovativeness (PI) as well as the final effect of AIA on innovative work behaviour (IWB).A new theoretical conceptual model has been proposed and empirically validated through a “partial least squares structural equation modelling” (PLS-SEM) technique and using the data gathered from 278 employees and managers of information technology (IT) companies.The results showed a positive impact of performance expectancy and training on AI adoption in the organizations. Training also played a mediating role, while personal innovativeness showed a moderating effect in the relationship. Finally, AI adoption led to innovative work behaviour, overall, empirically validating the proposed conceptual model.The present investigation extends the scope of UTAUT framework and examines the role of AI adoption in influencing employees' innovative work behaviours, while highlighting the differences in the adoption of technology by the employees. Additionally, this research is useful to managers who question themselves how to foster innovation by integrating AI efficiently with IT industry. However, the scope of this cross-sectional study is restricted by its geographical limitations.The present study fills the existing research gap and found the role of an individuals in influencing AI adoption and IWB within the organization. The outcomes of the study would be beneficial for researchers and practitioners in identifying the key role of training and performance expectancy in increasing AI adoption and IWB at the organizational level.</t>
  </si>
  <si>
    <t>10.1108/EJIM-03-2025-0327</t>
  </si>
  <si>
    <t>Score: 1
Justification:
	•	CI01: met — The abstract explicitly mentions BPMN and “business process model and notation (BPMN) models.” Although it does not spell out “Business Process Management,” BPMN is directly and explicitly tied to BPM notation and business process modeling.
	•	CI02: met — The study addresses digital innovation/transformation through automated decision modeling, intelligent/adaptive decision support, and process automation using AI.
	•	CI03: met — It explicitly mentions agentic artificial intelligence (AI), large language models, ReAct, and retrieval-augmented generation (RAG).
	•	CI04: met — The study presents a “novel AI-based solution,” proposes a system/framework, and includes “experimental evaluation of critical applications.”
	•	CI05: met — The title and abstract are written in English.
CE01–CE04:
	•	CE01: does not apply — The study is related to BPMN/business process models, AI, decision automation, and process automation.
	•	CE02: does not apply — It is related to business processes and business requirements, even though the specific critical application domain is not detailed.
	•	CE03: does not apply — It is not a secondary study; it proposes and evaluates an AI-based solution.
	•	CE04: does not apply — The title and abstract provide enough information to assess relevance.
Decision: Include, because all inclusion criteria are sufficiently met and no exclusion criterion applies.</t>
  </si>
  <si>
    <t>**Score: 0**
**Justification:**
* **CI01: NOT MET** — The terms "Business Process Management" and "BPM" do not appear explicitly in the title or abstract. The study extensively uses "BPMN" (Business Process Model and Notation) and "DMN" (Decision Model and Notation), which are standards closely associated with the BPM domain. However, BPMN is technically an acronym for "Business Process **Model** and Notation," not "Business Process **Management**," and the criterion requires explicit mention of "Business Process Management" or "BPM." Per the evaluation rule, if a criterion is not clearly supported, it must be considered not met.
* **CI02: NOT MET** — The terms "digital transformation," "digitalization," and "digital innovation" do not appear anywhere in the title or abstract. The study mentions "process automation improvements" and "autonomous decision modeling that can dynamically adapt to evolving business requirements," but these phrases do not constitute explicit use of the required terminology.
* **CI03: MET** — Agentic AI is the core technology, explicitly named throughout: *"agentic artificial intelligence (AI),"* *"large language models,"* *"ReAct (Reasoning + Acting) engine,"* and *"retrieval-augmented generation (RAG) capabilities."*
* **CI04: MET** — A novel AI-based system is developed and experimentally evaluated: *"a novel AI-based solution is developed"* with an agentic framework, empirically tested on critical applications.
* **CI05: MET** — The title and abstract are written in English.
* **CE01–CE04: No exclusion criteria apply** — The study addresses technologies (CE01); it operates in a business/organizational context involving business requirements and decision management (CE02); it is a primary study presenting a novel system, not a secondary review (CE03); the abstract provides sufficient information for evaluation (CE04).
---
**Summary:** Despite being highly relevant to the BPM domain in practice — given that BPMN and DMN are core BPM standards — the study fails CI01 and CI02 on strict terminological grounds: "BPM/Business Process Management" and "digital transformation/digitalization/digital innovation" are both absent from the title and abstract. The study is therefore **excluded**.</t>
  </si>
  <si>
    <t>Meddeb, Sourour; Batti, Selma; Fathallah, Habib</t>
  </si>
  <si>
    <t>BPMN DMN decision table generation based on agentic AI for critical applications</t>
  </si>
  <si>
    <r>
      <rPr>
        <rFont val="Helvetica Neue"/>
        <color rgb="FF1155CC"/>
        <u/>
      </rPr>
      <t>https://doi.org/10.1108/BPMJ-08-2025-1254</t>
    </r>
  </si>
  <si>
    <t>1-34</t>
  </si>
  <si>
    <t>This study investigates the feasibility of developing an automated solution that can generate dynamic decision tables from business process model and notation (BPMN)models using agentic artificial intelligence (AI). This work purpose is to reduce human error, inconsistencies and cognitive biases that can be introduced by traditional decision management in BPMN environments, which is often achieved by manually creating decision model and notation (DMN) decision tables (Richter et al., 2025).A novel AI-based solution is developed to generate dynamic decision tables from BPMN models. The proposed system integrates large language models within an agentic AI framework that autonomously analyses BPMN processes, identifies decision points and produces optimized DMN tables. The system employs agents for BPMN analysis, decision extraction, rule generation and validation, coordinated through a ReAct (Reasoning + Acting) engine with retrieval-augmented generation (RAG) capabilities (Zhang et al., 2025; Braunschweiler et al., 2025).Experimental evaluation of critical applications demonstrated that the system enhances decision-making by suggesting decision tables with values that humans might not intuitively identify. The system optimizes processes by transforming ambiguous paths into precise decisions. The framework is particularly effective in identifying non-obvious decision criteria and threshold parameters, resulting in significant process automation improvements.This approach establishes the foundation for intelligent, adaptive decision support systems within mission-critical environments and autonomous decision modeling that can dynamically adapt to evolving business requirements.This innovative approach represents the implementation of agentic AI specifically designed for automated DMN decision table generation from BPMN models, addressing a gap in the literature.</t>
  </si>
  <si>
    <t>10.1108/BPMJ-08-2025-1254</t>
  </si>
  <si>
    <t>Score: 0
Justification:
	•	CI01: not met — The title and abstract mention “process improvement,” but do not explicitly mention “Business Process Management” or “BPM.”
	•	CI02: not met — The abstract discusses technological advancement and process improvement, but does not clearly address digital transformation, digitalization, or digital innovation.
	•	CI03: met — The abstract mentions “technological advancement” and “technology adoption,” although the technologies are described broadly rather than through specific examples.
	•	CI04: met — The study presents an empirical analysis using a “two-round Delphi method” with managers from Chinese multinational corporations.
	•	CI05: met — The title and abstract are written in English.
CE01–CE04:
	•	CE01: applies — The study relates to process improvement and technology adoption, but it is not explicitly related to BPM/Business Process Management or digital transformation.
	•	CE02: does not apply — It is clearly related to an organizational/business context, focusing on Chinese multinational corporations.
	•	CE03: does not apply — It is not a secondary study; it uses a Delphi method with managers.
	•	CE04: does not apply — The abstract provides enough information to assess relevance.
Decision: Exclude, because CI01 and CI02 are not met.</t>
  </si>
  <si>
    <t>**Score: 0**
**Justification:**
* **CI01: NOT MET** — Neither "Business Process Management" nor "BPM" appears anywhere in the title or abstract. The study addresses "process improvement" in Chinese MNCs, which is a related but distinct concept that does not satisfy the explicit requirement for BPM or "BPM."
* **CI02: NOT MET** — The terms "digital transformation," "digitalization," and "digital innovation" are absent from the title and abstract. While "technological advancement" is identified as one of four drivers of process improvement, this generic phrase does not constitute explicit reference to the digital transformation terminology required by this criterion.
* **CI03: NOT MET** — No specific technology from the exemplified list (AI, RPA, process mining, big data, blockchain, IoT, software systems) is named or applied. The abstract refers only to "technological advancement" and "technology adoption" in general terms, which are insufficiently specific to satisfy this criterion.
* **CI04: MET** — A two-round Delphi method is employed with managers from diverse Chinese MNCs, involving thematic analysis and consensus measurement via Kendall's W. This constitutes a clear empirical analysis with a structured methodological approach.
* **CI05: MET** — The title and abstract are written in English.
* **CE01–CE04: No exclusion criteria apply** — The study relates to process improvement and technology in organizations (CE01); it is firmly grounded in a business/organizational context involving MNCs (CE02); it is a primary empirical study using a Delphi method, not a secondary review (CE03); the abstract provides sufficient information for evaluation (CE04).
---
**Summary:** The study fails CI01, CI02, and CI03 — BPM is not mentioned, digital transformation terminology is absent, and no specific technology is named. Three unmet inclusion criteria independently disqualify it. The study is therefore **excluded**.</t>
  </si>
  <si>
    <t>Wider, Walton; Cai, Zhuxuan; Wu, Changhe; Wu, Hao; Jiang, Leilei; Fauzi, Muhammad Ashraf; Hossain, Syed Far Abid; Lee, Alex</t>
  </si>
  <si>
    <t>Factors influencing process improvement in Chinese multinational corporations: a Delphi study</t>
  </si>
  <si>
    <r>
      <rPr>
        <rFont val="Helvetica Neue"/>
        <color rgb="FF1155CC"/>
        <u/>
      </rPr>
      <t>https://doi.org/10.1108/BPMJ-03-2025-0256</t>
    </r>
  </si>
  <si>
    <t>1-19</t>
  </si>
  <si>
    <t>This study explores the drivers of process improvement in Chinese multinational corporations (MNCs), addressing a critical gap in the understanding of the shape efficiency and competitiveness of internal and external factors in global operations. Building on the distinct institutional, cultural, and governance contexts of Chinese firms, this study seeks to identify and prioritize the multidimensional elements that influence process improvement.A two-round Delphi method was employed to engage managers from diverse Chinese MNCs through purposive and snowball sampling. In the first round, participants identified themes related to process improvement, which were thematically analyzed and consolidated into four dimensions: financial planning, human resource management, technological advancement, and macroeconomic components. In the second round, experts ranked these dimensions with consensus measured using Kendall's W.Results reveal that financial planning is the most influential driver, providing a structural foundation for resource allocation, risk management, and long-term stability. Human resource management has emerged as the second priority, functioning as a mechanism for translating strategic intent into organizational capability. Technological advancement ranked third, and is recognized as a catalytic force contingent upon financial and human capital readiness. Macroeconomic factors, although ranked lowest, were acknowledged as boundary conditions shaping firms' adaptive strategies.This study advances this theory by conceptualizing process improvement as a multidimensional construct situated within the distinctive context of Chinese multinational expansion. Practically, the results offer managers a framework for prioritizing strategic financial oversight, workforce development, and technology adoption while also informing policymakers on creating supportive environments for sustainable competitiveness.</t>
  </si>
  <si>
    <t>10.1108/BPMJ-03-2025-0256</t>
  </si>
  <si>
    <t>Score: 0
Justification:
	•	CI01: not met — The title and abstract mention “process optimization,” but do not explicitly mention “Business Process Management” or “BPM.”
	•	CI02: not met — The study discusses advanced technologies, AI, analytics, and sustainable manufacturing, but it does not clearly address digital transformation, digitalization, or digital innovation.
	•	CI03: met — The abstract explicitly mentions technologies such as people analytics and AI-enabled supply chain management.
	•	CI04: met — The study proposes and empirically validates a framework using quantitative survey data from 542 individuals across manufacturing sectors.
	•	CI05: met — The title and abstract are written in English.
CE01–CE04:
	•	CE01: applies — The study is related to technologies and organizational performance, but it is not explicitly related to BPM/Business Process Management or digital transformation.
	•	CE02: does not apply — It is clearly in an organizational/business context, focusing on manufacturing sectors and supply chains.
	•	CE03: does not apply — It is not a secondary study; it reports quantitative empirical research.
	•	CE04: does not apply — The abstract provides enough information to assess relevance.
Decision: Exclude, because CI01 and CI02 are not met.</t>
  </si>
  <si>
    <t>**Score: 0**
**Justification:**
* **CI01: NOT MET** — Neither "Business Process Management" nor "BPM" appears anywhere in the title or abstract. The study focuses on supply chain management, absorptive capacity, organizational ambidexterity, and sustainable manufacturing — none of which invoke BPM terminology.
* **CI02: NOT MET** — The terms "digital transformation," "digitalization," and "digital innovation" are entirely absent from the title and abstract. The study refers to "advanced technologies," "AI-enabled supply chains," and "people analytics," but none of these phrases constitute explicit use of the required digital transformation terminology.
* **CI03: MET** — Artificial intelligence (AI) is explicitly and repeatedly referenced as a central technology: *"AI-enabled supply chain management," "AI-enabled supply chains (SCs),"* and *"operationalize people analytics and AI."* People analytics also represents a data-driven technology application.
* **CI04: MET** — The study proposes a holistic framework and empirically validates it through a quantitative survey of 542 individuals across manufacturing sectors in multiple US states, constituting both a framework and an empirical analysis.
* **CI05: MET** — The title and abstract are written in English.
* **CE01–CE04: No exclusion criteria apply** — The study addresses technologies including AI (CE01); it is set within manufacturing organizations and supply chains (CE02); it is a primary empirical study, not a secondary review (CE03); the abstract provides sufficient information for evaluation (CE04).
---
**Summary:** The study fails CI01 and CI02 — BPM is not mentioned, and digital transformation/digitalization/digital innovation are absent from the title and abstract. Two unmet inclusion criteria independently disqualify it. The study is therefore **excluded**.</t>
  </si>
  <si>
    <t>Rashid, Aamir; Rasheed, Rizwana</t>
  </si>
  <si>
    <t>Building absorptive capacity and ambidexterity for sustainable manufacturing</t>
  </si>
  <si>
    <r>
      <rPr>
        <rFont val="Helvetica Neue"/>
        <color rgb="FF1155CC"/>
        <u/>
      </rPr>
      <t>https://doi.org/10.1108/JMTM-03-2025-0192</t>
    </r>
  </si>
  <si>
    <t>This research aims to examine the integration of advanced technologies and organizational capabilities to achieve sustainable performance in modern supply chains. By synthesizing insights from people analytics, AI-enabled supply chain management, supply chain absorptive capacity, supply chain ambidexterity and optimization strategies, this study proposes a holistic framework for optimizing sustainability outcomes.This study employs a deductive approach, utilizing quantitative methods and a survey technique to collect data from its intended participants. The research adopted a systematic random sampling method, surveying 542 individuals employed in various manufacturing sectors across New York, Texas and California.The study researches multidimensional strategies for enhancing sustainable performance. Results indicated that People Analytics and AI-enabled supply chains (SCs) influence the organizational absorptive capacity (OAC), which in turn fosters organizational ambidexterity (OA). These capabilities enable process optimization and resource optimization, ultimately driving sustainable manufacturing. The results reveals several strong structural relationships, including the influence of OAC on OA and its subsequent impact on both optimization and sustainability dimensions, providing clarity on how dynamic capabilities interrelate within a supply chain context.This study presents a novel framework that proposes and empirically validates a comprehensive, higher-order integration of people analytics, AI-enabled supply chains, organizational absorptive capacity and ambidexterity to drive sustainable manufacturing performance. It uniquely combines human-centric and technological capabilities to explain how firms can optimize both resources and processes. By examining their synergistic effects on environmental, economic, and social performance dimensions, the research fills a notable gap in the sustainability literature of SC. The study advances theory by positioning absorptive capacity as a dynamic capability mediating the impact of analytics and AI on organizational ambidexterity, a critical yet underexplored link. Practically, the findings offer actionable insights for manufacturing managers and policymakers on how to operationalize people analytics and AI not in isolation, but as complementary tools for building knowledge-driven, agile and sustainable manufacturing SCs.</t>
  </si>
  <si>
    <t>10.1108/JMTM-03-2025-0192</t>
  </si>
  <si>
    <t>Score: 0
Justification:
	•	CI01: met — The abstract explicitly mentions “business process management principles” and says the study “advances the BPM literature.”
	•	CI02: met — The study clearly addresses digitalization/digital transformation, mentioning “digital technologies,” “digitalization and sustainability processes,” and “sustainability-related digital processes.”
	•	CI03: met — It explicitly mentions artificial intelligence (AI), Latent Dirichlet Allocation (LDA) topic modeling, and digital technologies.
	•	CI04: met — The study presents a structured framework, a conceptual model, and an AI-based bibliometric/topic modeling analysis using “over 8,000 articles from Scopus.”
	•	CI05: met — The title and abstract are written in English.
CE01–CE04:
	•	CE01: does not apply — The study is related to BPM, digital technologies, and sustainability processes.
	•	CE02: does not apply — It has relevance to policy, practitioners, process management, and sustainability initiatives, although the level is national rather than firm-specific.
	•	CE03: applies — The study is a secondary study, because it “systematize[s] research,” uses “a dataset of over 8,000 articles from Scopus,” applies bibliometric techniques, and provides a “scientific map” of an existing research domain.
	•	CE04: does not apply — The abstract provides enough information to assess relevance.
Decision: Exclude, because CE03 applies: it is a secondary/bibliometric mapping study, even though the inclusion criteria are otherwise met.</t>
  </si>
  <si>
    <t>**Score: 0**
**Justification:**
* **CI01: MET** — "Business Process Management" and "BPM" are explicitly mentioned: *"applying business process management principles"* and *"It advances the BPM literature by revealing new digital process domains relevant to sustainable development."*
* **CI02: MET** — "Digitalization" is explicitly used: *"mapping the intersection of digitalization and sustainability processes across countries."* The study also repeatedly references "digital technologies" and "digital processes."
* **CI03: MET** — Artificial intelligence (AI) is explicitly named: *"artificial intelligence (AI)-enabled analysis"* and *"AI-based method."* Additionally, Latent Dirichlet Allocation (LDA) topic modeling and bibliometric techniques are applied as analytical tools.
* **CI04: MET** — The study develops a conceptual model organizing themes into enablers, transformations, and outcomes, and applies a structured bibliometric-LDA methodology over a dataset of 8,000+ articles.
* **CI05: MET** — The title and abstract are written in English.
* **CE03: APPLIES** — Despite meeting all inclusion criteria, this study is a **mapping study** — a form of secondary research explicitly listed in CE03. The title itself contains "scientific mapping," and the abstract describes the study as producing *"a comprehensive scientific map"* by analyzing over 8,000 existing articles from Scopus using bibliometric and topic modeling techniques. This is precisely the type of secondary study the exclusion criterion targets.
---
**Summary:** Although all five inclusion criteria are met, CE03 applies unambiguously — the study is a large-scale scientific mapping study based on secondary data (bibliometric analysis of 8,000+ articles), which is explicitly listed as an exclusion type. The study is therefore **excluded**.</t>
  </si>
  <si>
    <t>Skypalová, Renata; Falat, Lukas; Valaskova, Katarina; Madzík, Peter; Jayaraman, Raja; Antony, Jiju; Sony, Michael</t>
  </si>
  <si>
    <t>Digital technologies and sustainability as evolving business processes – an AI-driven scientific mapping perspective</t>
  </si>
  <si>
    <r>
      <rPr>
        <rFont val="Helvetica Neue"/>
        <color rgb="FF1155CC"/>
        <u/>
      </rPr>
      <t>https://doi.org/10.1108/BPMJ-07-2025-1118</t>
    </r>
  </si>
  <si>
    <t>1-30</t>
  </si>
  <si>
    <t>This study aims to systematize research on how digital technologies support sustainability processes at the national level by applying business process management principles. It provides a structured framework for integrating digital technologies to enhance efficiency and scalability of sustainability initiatives and offers a comprehensive scientific map through a process-oriented, artificial intelligence (AI)-enabled analysis. The study develops a conceptual model that organizes key themes into enablers, transformations and outcomes, linking them to the triple bottom line, socio-technical systems and institutional theory.Using a dataset of over 8,000 articles from Scopus, the study combines bibliometric techniques with Latent Dirichlet allocation (LDA) topic modeling to identify and categorize latent themes within digital sustainability research.The analysis uncovered 129 process-related topics with varying levels of research maturity, impact and geographic relevance. Key findings highlight underexplored areas, dominant trends and thematic imbalances across subject domains and regions.The study is limited to the Scopus database and relies on metadata accuracy. Nonetheless, it offers a replicable AI-based method for mapping complex and dynamic research domains, supporting future theory development.The results offer actionable insights for researchers and practitioners aiming to manage, improve or design sustainability-related digital processes. Identified gaps and high-impact themes can inform policy, education and innovation strategies.This is the first large-scale study to apply topic modeling for mapping the intersection of digitalization and sustainability processes across countries. It advances the BPM literature by revealing new digital process domains relevant to sustainable development.</t>
  </si>
  <si>
    <t>10.1108/BPMJ-07-2025-1118</t>
  </si>
  <si>
    <t>Score: 0
Justification:
	•	CI01: not met — The title and abstract do not explicitly mention “Business Process Management” or “BPM.”
	•	CI02: met — The study addresses digital transformation broadly, mentioning the “digital age,” “AI era,” “digital intelligent ecosystems,” data-driven firms, and AI-driven organizational change.
	•	CI03: met — The study explicitly mentions artificial intelligence (AI), “AI-driven dashboards,” and “virtual agents.”
	•	CI04: met — The study presents a qualitative empirical analysis based on “seven interviews from six financial firms,” and proposes a conceptual model and practical tool, the “CI Canvas.”
	•	CI05: met — The title and abstract are written in English.
CE01–CE04:
	•	CE01: applies for this review — The study is related to AI and corporate transformation, but it is not explicitly related to BPM/Business Process Management, which is mandatory.
	•	CE02: does not apply — It is clearly in an organizational/business context, focusing on corporate identity and financial firms.
	•	CE03: does not apply — It is not a secondary study; it uses interviews and qualitative analysis.
	•	CE04: does not apply — The abstract provides enough information to assess relevance.
Decision: Exclude, because CI01 is not met.</t>
  </si>
  <si>
    <t>**Score: 0**
**Justification:**
* **CI01: NOT MET** — Neither "Business Process Management" nor "BPM" appears anywhere in the title or abstract. The study centers on corporate identity (CI) transformation driven by AI in the financial sector, with no reference to BPM concepts or terminology.
* **CI02: NOT MET** — The specific terms "digital transformation," "digitalization," and "digital innovation" do not appear in the title or abstract. While the word "digital" does appear in adjacent phrases — *"digital intelligent ecosystems," "digital ethics," "the digital age"* — none of these constitute explicit use of the required terminology. Per the evaluation rules, if a criterion is not clearly supported, it must be considered not met.
* **CI03: MET** — Artificial intelligence (AI) is the central technology under investigation, explicitly and extensively referenced throughout: *"artificial intelligence (AI)," "AI-driven dashboards," "virtual agents," "AI Signature,"* and *"AI Signature as a new dimension in identity analysis."*
* **CI04: MET** — The study employs a qualitative approach with seven interviews from six Italian financial firms, applies data triangulation, and proposes a conceptual model including the CI Canvas and AI Signature framework — constituting both an empirical analysis and a practical model.
* **CI05: MET** — The title and abstract are written in English.
* **CE01–CE04: No exclusion criteria apply** — The study addresses AI technologies (CE01); it is grounded in an organizational/business context involving financial firms (CE02); it is a primary empirical study using interviews, not a secondary review (CE03); the abstract provides sufficient information for evaluation (CE04).
---
**Summary:** The study fails CI01 and CI02 — BPM is entirely absent, and the required digital transformation terminology is not explicitly used. Two unmet inclusion criteria independently disqualify it. The study is therefore **excluded**.</t>
  </si>
  <si>
    <t>Nevi, Giulia; Palazzo, Maria; Ferri, Maria Antonella; Dezi, Luca</t>
  </si>
  <si>
    <t>Redefining identity: corporate evolution in the AI era</t>
  </si>
  <si>
    <r>
      <rPr>
        <rFont val="Helvetica Neue"/>
        <color rgb="FF1155CC"/>
        <u/>
      </rPr>
      <t>https://doi.org/10.1108/EJIM-03-2025-0389</t>
    </r>
  </si>
  <si>
    <t>1-33</t>
  </si>
  <si>
    <t>This study explores how artificial intelligence (AI) is reshaping corporate identity (CI), focusing on its transformative impact across product, client, media, content, relationship with stakeholders' level as the corporate core nature. It examines the critical shifts AI introduces, unveiling new challenges and tensions within firms' core structures.Using a qualitative approach, the study analyzes companies listed on the Italian FTSE MIB through seven interviews from six financial firms with key AI leaders. Data triangulation was applied to ensure robust, reliable findings.The results indicate that AI has become a strategic asset, playing a pivotal role in the evolution of CI, especially at the content and client level. This transformation leads to a shift in business models, catering to a new type of consumer, such as Promptumer or Promptvestor, in the financial services sector. Companies are also expanding their boundaries, managing digital intelligent ecosystems and operating through sophisticated channels, including AI-driven dashboards and virtual agents. AI is reaffirmed as a strategic enabler, acting as an accelerator and multiplier of opportunities.The study is limited to companies listed on the Italian FTSE MIB, which may affect the generalizability of the findings. Future research could expand the scope to include companies from other regions and sectors.Effective change management, development of technological skills, personalization of customer experiences and adherence to digital ethics and sustainability are crucial for firms. Businesses must navigate the evolving tension between their current and future identities, integrating new roles and new dimensions guided by the ownership value, AI and stakeholders, while maintaining a balance between co-creation, innovation and their core values of trust and stability.This research offers novel insights into how AI is metamorphosing CI, emphasizing the role of cognitive connection and sustainability in the digital age. We propose a conceptual model that introduces the AI Signature as a new dimension in identity analysis and we define a new role for Customer and users that, from Prosumer translates toward a Promptuser – Promptumer. As firms become increasingly data-driven and adaptive, AI supports more ethical, efficient and sustainable decision-making. To enhance managerial relevance, we also present the CI Canvas, a practical tool for managers, consultants and organizations navigating CI transformation. In the new AI era, firms may be valued not only for their product offerings but for how their systems reason, act and engage in dialogue, making AI not only a new vector of identity but a distinctive corporate signature.</t>
  </si>
  <si>
    <t>10.1108/EJIM-03-2025-0389</t>
  </si>
  <si>
    <t>Score: 0
Justification:
	•	CI01: not met — The title and abstract do not explicitly mention “Business Process Management” or “BPM.”
	•	CI02: met — The study addresses digitalization, stating “the increasing complexity, digitalization and vulnerability of modern supply chains.”
	•	CI03: met — It explicitly mentions technologies/methods such as deep learning, topic modeling, automation, and smart supply chain systems.
	•	CI04: met — The study presents a comparative textual analysis using “265 peer-reviewed journal articles and 2,655 news reports.”
	•	CI05: met — The title and abstract are written in English.
CE01–CE04:
	•	CE01: applies — The study relates to digitalization and smart supply chain management, but it is not explicitly related to BPM/Business Process Management, which is mandatory for your review.
	•	CE02: does not apply — It is related to an organizational/business context, specifically supply chain management and industry practice.
	•	CE03: applies — The study analyzes academic publications and news reports to identify themes and research gaps, so it functions as a secondary/textual mapping study rather than a primary empirical study.
	•	CE04: does not apply — The abstract provides enough information to assess relevance.
Decision: Exclude, because CI01 is not met and CE03 applies.</t>
  </si>
  <si>
    <t>**Score: 0**
**Justification:**
* **CI01: NOT MET** — Neither "Business Process Management" nor "BPM" appears anywhere in the title or abstract. The study focuses exclusively on smart supply chain (SSC) management with no reference to BPM concepts or terminology.
* **CI02: MET** — "Digitalization" is explicitly used in the opening sentence: *"The increasing complexity, digitalization and vulnerability of modern supply chains."* The study also references "digital healthcare supply chains" as a thematic cluster.
* **CI03: MET** — Deep learning is explicitly named and applied as the analytical technology: *"deep learning based textual analysis techniques were applied."* Topic modeling is also explicitly employed as a method.
* **CI04: MET** — The study applies a structured comparative textual analysis methodology across a dataset of 265 journal articles and 2,655 news reports, identifying five thematic clusters through topic modeling and comparative mapping.
* **CI05: MET** — The title and abstract are written in English.
* **CE03: APPLIES** — This study is a secondary study. Its entire empirical basis consists of analyzing existing academic publications and news media — 265 peer-reviewed articles and 2,655 news reports. The method (topic modeling + comparative mapping of literature) constitutes a bibliometric/mapping study, which is explicitly listed as a secondary study type in CE03. The study's own framing — *"comparative textual analysis of academic publications"* and identifying *"dominant themes and underexplored research areas"* — confirms its secondary nature.
---
**Summary:** The study fails CI01 (BPM not mentioned) and CE03 applies (it is a mapping/bibliometric study based on analysis of existing literature). Both conditions independently disqualify it. The study is therefore **excluded**.</t>
  </si>
  <si>
    <t>Mahdikhani, Maryam</t>
  </si>
  <si>
    <t>Emerging themes and trends in smart supply chain management: a comparative textual analysis</t>
  </si>
  <si>
    <r>
      <rPr>
        <rFont val="Helvetica Neue"/>
        <color rgb="FF1155CC"/>
        <u/>
      </rPr>
      <t>https://doi.org/10.1108/BPMJ-05-2025-0752</t>
    </r>
  </si>
  <si>
    <t>The increasing complexity, digitalization and vulnerability of modern supply chains highlight the growing importance of developing smart supply chain (SSC) systems. This study conducts a comparative textual analysis of academic publications and global news media to examine how SSC concepts are discussed across research and practice. The goal is to identify dominant themes and reveal underexplored research areas. Deep learning based textual analysis techniques were applied to a dataset of 265 peer-reviewed journal articles and 2,655 news reports published between January 2000 and April 2023. Topic modeling and comparative mapping were used to detect thematic similarities and differences between academic and industrial perspectives on SSC development. The analysis identifies five major thematic clusters: global smart logistics networks, digital healthcare supply chains, sustainable packaging and circular operations, last-mile and express delivery innovations, and intelligent quality and risk management. Academic literature tends to emphasize theoretical models and performance measurement, while industry discussions focus on application, automation and resilience. These differences indicate the need for more integrative and practice-oriented SSC research. This study provides a novel comparative perspective on how SSCs are examined in academia and represented in industry. It identifies a key research gap in the limited academic attention to resilience within smart supply chain management, despite its strong emphasis in industry discourse, and offers insights to better connect theoretical development with practical priorities.</t>
  </si>
  <si>
    <t>10.1108/BPMJ-05-2025-0752</t>
  </si>
  <si>
    <t>Score: 0
Justification:
	•	CI01: not met — The title and abstract do not explicitly mention “Business Process Management” or “BPM.”
	•	CI02: met — The study addresses digitalization/digital innovation through “digital marketing,” “digital marketing adoption,” and the interaction between “digital technologies” and innovation.
	•	CI03: met — It explicitly mentions digital marketing tools and digital technologies.
	•	CI04: met — The study presents an empirical quantitative analysis using PLS-SEM with data from 289 culinary SMEs.
	•	CI05: met — The title and abstract are written in English.
CE01–CE04:
	•	CE01: applies for this review — The study is related to digital technologies and business performance, but it is not explicitly related to BPM/Business Process Management, which is mandatory.
	•	CE02: does not apply — It is clearly related to an organizational/business context, focusing on culinary SMEs in Indonesia.
	•	CE03: does not apply — It is not a secondary study; it reports primary empirical research.
	•	CE04: does not apply — The abstract provides enough information to assess relevance.
Decision: Exclude, because CI01 is not met.</t>
  </si>
  <si>
    <t>**Score: 0**
**Justification:**
* **CI01: NOT MET** — Neither "Business Process Management" nor "BPM" appears anywhere in the title or abstract. The study focuses on market orientation, digital marketing, and innovation in culinary SMEs, with no reference to BPM concepts or terminology.
* **CI02: NOT MET** — The terms "digital transformation," "digitalization," and "digital innovation" do not appear explicitly in the title or abstract. The study references "digital marketing" and "digital technologies," but these are distinct from the required terminology. "Digital technologies interact to drive innovation" does not constitute explicit use of "digital innovation" as a standalone concept.
* **CI03: NOT MET** — No specific technology from the exemplified list (AI, RPA, process mining, big data, blockchain, IoT, software systems) is named or applied. The abstract refers only to "digital marketing tools" and "digital technologies" in general terms, which are insufficiently specific to satisfy this criterion.
* **CI04: MET** — The study employs PLS-SEM with data from 289 culinary SMEs, tests hypotheses, and identifies mediation effects — constituting a clear empirical analysis with a proposed integrative framework.
* **CI05: MET** — The title and abstract are written in English.
* **CE01–CE04: No exclusion criteria apply** — The study involves digital technologies (CE01); it is set within a business context of SMEs (CE02); it is a primary empirical study, not a secondary review (CE03); the abstract provides sufficient information for evaluation (CE04).
---
**Summary:** The study fails CI01, CI02, and CI03 — BPM is absent, digital transformation terminology is not used, and no specific technology is named. Three unmet inclusion criteria independently disqualify it. The study is therefore **excluded**.</t>
  </si>
  <si>
    <t>Huddin, Muhammad Nurhaula; Adi, Pramono Hari; Setyanto, Refius Pradipta</t>
  </si>
  <si>
    <t>Innovation and digital marketing in culinary: examining marketing performance</t>
  </si>
  <si>
    <r>
      <rPr>
        <rFont val="Helvetica Neue"/>
        <color rgb="FF1155CC"/>
        <u/>
      </rPr>
      <t>https://doi.org/10.1108/MD-05-2025-1328</t>
    </r>
  </si>
  <si>
    <t>1-16</t>
  </si>
  <si>
    <t>This study aims to investigate the strategic interplay between market orientation, digital marketing, and innovation and how these constructs collectively influence marketing performance in the context of culinary small- and medium-sized enterprises (SMEs) in Indonesia.A quantitative research design was employed using Partial Least Squares Structural Equation Modeling (PLS-SEM) to analyze data collected from 289 culinary SMEs that have adopted digital marketing tools for at least three years. Measurement items were adapted from validated scales and refined through expert review and pilot testing to ensure contextual relevance.The results confirm that market orientation significantly influences both digital marketing adoption and innovation. Furthermore, both digital marketing and innovation have a direct and significant impact on marketing performance. The study also reveals several mediation effects, including digital marketing and innovation as partial mediators and a sequential mediation path in which market orientation enhances marketing performance through digital marketing and innovation.This study offers a novel, integrative framework that advances the understanding of how market-driven strategies and digital technologies interact to drive innovation and performance in resource-constrained, culturally embedded, and highly dynamic culinary SME environments. Specifically, it provides empirical evidence that market orientation drives the implementation of digital marketing, which subsequently fosters innovation and leads to enhanced marketing performance, highlighting a unique sequential mediation mechanism rarely explored in the context of emerging-market SMEs.</t>
  </si>
  <si>
    <t>10.1108/MD-05-2025-1328</t>
  </si>
  <si>
    <t>Score: 0
Justification:
	•	CI01: not met — The title and abstract mention “process reengineering” and “process transparency,” but do not explicitly mention “Business Process Management” or “BPM.”
	•	CI02: met — The abstract explicitly connects the study to digital transformation, stating that it helps businesses “accelerate their digital transformation.”
	•	CI03: met — The study explicitly discusses automated electronic invoicing (e-invoicing) and uses Arena simulation software.
	•	CI04: met — The study presents a real-world case study at Hilti, using interviews, focus groups, and quantitative simulation analysis.
	•	CI05: met — The title and abstract are written in English.
CE01–CE04:
	•	CE01: applies for this review — The study is related to digital transformation, technology, and process reengineering, but it is not explicitly related to BPM/Business Process Management, which is mandatory.
	•	CE02: does not apply — It is clearly in an organizational/business context, focusing on business e-invoicing implementation.
	•	CE03: does not apply — It is not a secondary study; it reports a real-world case study.
	•	CE04: does not apply — The abstract provides enough information to assess relevance.
Decision: Exclude, because CI01 is not met.</t>
  </si>
  <si>
    <t>**Score: 0**
**Justification:**
* **CI01: NOT MET** — Neither "Business Process Management" nor "BPM" appears anywhere in the title or abstract. The study addresses "process reengineering" and "e-invoicing process," which are related concepts but do not constitute explicit mention of BPM or the term "BPM" as required by this criterion.
* **CI02: MET** — "Digital transformation" is explicitly referenced at the end of the abstract: *"accelerate their digital transformation."*
* **CI03: MET** — Arena simulation software is explicitly named and applied: *"quantitative data analysis using the Arena simulation software."* Software systems are listed among the exemplified technologies in CI03. Additionally, "task automation" is identified as a key challenge area.
* **CI04: MET** — The study employs a real-world case study at Hilti, combining qualitative methods (interviews, focus groups) with quantitative simulation analysis. It proposes practices for process reengineering and provides a framework for addressing e-invoicing implementation challenges — constituting both an empirical analysis and a practical framework.
* **CI05: MET** — The title and abstract are written in English.
* **CE01–CE04: No exclusion criteria apply** — The study addresses digital transformation and software technologies (CE01); it is firmly grounded in a business organizational context (Hilti) (CE02); it is a primary case study, not a secondary review (CE03); the abstract provides sufficient information for evaluation (CE04).
---
**Summary:** The sole disqualifying factor is CI01 — "Business Process Management" and "BPM" are entirely absent from the title and abstract. Despite strong alignment with the research topic in practice, the explicit terminological requirement is not met. The study is therefore **excluded**.</t>
  </si>
  <si>
    <t>Naghshineh, Bardia; Feijao, Vera; Sieben, Brian; Carvalho, Helena</t>
  </si>
  <si>
    <t>E-invoicing process reengineering: a case study</t>
  </si>
  <si>
    <r>
      <rPr>
        <rFont val="Helvetica Neue"/>
        <color rgb="FF1155CC"/>
        <u/>
      </rPr>
      <t>https://doi.org/10.1108/BPMJ-06-2025-1025</t>
    </r>
  </si>
  <si>
    <t>The study proposes practices for the successful implementation of an automated electronic invoicing (e-invoicing) process based on a network model and identifies the main challenges to e-invoicing implementation.The research employs a real-world case study at Hilti to identify potential improvement areas (PIAs) for the e-invoicing process reengineering and test the applicability of practices. It combines qualitative methods, including interviews and focus groups with experts, with quantitative data analysis using the Arena simulation software to compare the improvements of the reengineered implementation process.The study reveals that process transparency, redundant activities, confusing communication, and task automation are the primary challenges to effective e-invoicing implementation. The proposed practices help overcome the identified challenges and streamline the implementation process.The research is based on a single case study, which may limit the generalizability of its findings. However, the proposed practices are designed to be flexible and customizable for replication in other companies.The proposed recommendations offer practical guidance for businesses seeking to effectively implement e-invoicing, considerably reducing processing time and improving operational efficiency. They provide a framework for addressing common implementation challenges, particularly in network-based e-invoicing models.This research contributes to the limited literature on practical e-invoicing implementation, particularly within network models. It provides a real-world application of process reengineering to e-invoicing and offers a valuable tool for businesses looking to overcome implementation challenges and accelerate their digital transformation.</t>
  </si>
  <si>
    <t>10.1108/BPMJ-06-2025-1025</t>
  </si>
  <si>
    <t>Score: 1
Justification:
	•	CI01: met — The title and abstract explicitly mention “Business process management” and “BPM.”
	•	CI02: met — The study directly addresses digital innovation, including the question: “How can BPM be set up to enable digital innovation on a continuous basis?”
	•	CI03: met — The abstract mentions “new digital technologies” and the “organizational IT application portfolio.”
	•	CI04: met — The study presents an empirical/methodological analysis using “a Delphi study and two rounds of follow-up interviews,” and provides conjectures on how BPM can enable digital innovation.
	•	CI05: met — The title and abstract are written in English.
CE01–CE04:
	•	CE01: does not apply — The study is directly related to BPM, digital technologies, and digital innovation.
	•	CE02: does not apply — It is clearly in an organizational/business context, focusing on organizations and top executives.
	•	CE03: does not apply — It is not a secondary study; it uses Delphi and interview data.
	•	CE04: does not apply — The abstract provides enough information to assess relevance.
Decision: Include, because all inclusion criteria are met and no exclusion criterion applies.</t>
  </si>
  <si>
    <t>**Score: 0**
**Justification:**
* **CI01: MET** — "Business Process Management (BPM)" is explicitly and repeatedly mentioned: *"business process management (BPM)," "leveraging business process management (BPM)," "How can BPM be set up to enable digital innovation," "BPM can enable digital innovation."*
* **CI02: MET** — "Digital innovation" is explicitly and consistently referenced throughout: *"digital innovation-related opportunities," "enable digital innovation on a continuous basis," "how BPM can enable digital innovation," "digital innovation initiatives."*
* **CI03: NOT MET** — No specific technology from the exemplified list (AI, RPA, process mining, big data, blockchain, IoT, software systems) is explicitly named or applied. The abstract refers only to *"new digital technologies"* and *"organizational IT application portfolio,"* both of which are insufficiently specific to satisfy this criterion. Per the evaluation rules, if a criterion is not clearly supported by explicit evidence, it must be considered not met.
* **CI04: MET** — The study employs a multi-method inductive design combining a Delphi study with two rounds of follow-up interviews with top executives, and develops four theoretical conjectures — constituting an empirical analysis with a resulting framework.
* **CI05: MET** — The title and abstract are written in English.
* **CE01–CE04: No exclusion criteria apply** — The study directly addresses BPM and digital innovation (CE01); it is grounded in an organizational context involving top executives (CE02); it is a primary empirical study using a Delphi method and interviews, not a secondary review (CE03); the abstract provides sufficient information for evaluation (CE04).
---
**Summary:** Despite strong alignment with CI01, CI02, CI04, and CI05, the study fails CI03 — no specific technology is explicitly named or applied. The references to "digital technologies" and "IT application portfolio" are too generic to satisfy the requirement. The study is therefore **excluded**.</t>
  </si>
  <si>
    <r>
      <rPr>
        <rFont val="Helvetica Neue"/>
        <color rgb="FF1155CC"/>
        <u/>
      </rPr>
      <t>https://doi.org/10.1108/BPMJ-05-2025-0759</t>
    </r>
  </si>
  <si>
    <t>In light of the ever-increasing opportunities associated with new digital technologies, an emerging body of knowledge examines how and under what circumstances organizations leveraging business process management (BPM) can be receptive to and supportive of digital innovation-related opportunities. In this study, we ask: How can BPM be set up to enable digital innovation on a continuous basis?We conduct an inductive study with top executives in Central Europe. Our multi-method research consists of a Delphi study and two rounds of follow-up interviews.We theorize that BPM can enable digital innovation along four dimensions: organizational IT application portfolio, organizational structure, organizational culture and organizational capabilities. Based on this, we provide four conjectures on how BPM can enable digital innovation.Our study adds to the emerging debate around the connection between BPM and digital innovation by specifying how organizations can implement digital innovation initiatives while maintaining efficient and effective workflows.</t>
  </si>
  <si>
    <t>Score: 1
Justification:
	•	CI01: met — The abstract explicitly mentions “Business process management (BPM)” and “BPM capabilities.”
	•	CI02: met — The study directly addresses “organizational digital innovation,” “digitalization barriers,” and “digital transformation.”
	•	CI03: met — The abstract explicitly mentions technological/process-related capabilities such as process data analytics and advanced process automation.
	•	CI04: met — The study presents an empirical mixed-method analysis, using 369 questionnaire responses, 30 qualitative interviews, PLS-SEM, and content analysis.
	•	CI05: met — The title and abstract are written in English.
CE01–CE04:
	•	CE01: does not apply — The study is directly related to BPM, digital innovation, digital transformation, and process technologies.
	•	CE02: does not apply — It is clearly in an organizational/business context, focusing on Indonesian organizations.
	•	CE03: does not apply — It is not a secondary study; it uses primary quantitative and qualitative data.
	•	CE04: does not apply — The abstract provides enough information to assess relevance.
Decision: Include, because all inclusion criteria are met and no exclusion criterion applies.</t>
  </si>
  <si>
    <t>**Score: 1**
**Justification:**
* **CI01: MET** — "Business Process Management (BPM)" is explicitly and repeatedly referenced: *"Business process management (BPM) has emerged as one of the most widely adopted approaches," "implementing and managing BPM," "BPM capabilities," "influence of BPM capabilities on organizational digital innovation."*
* **CI02: MET** — Digital transformation and digitalization are explicitly and consistently mentioned: *"organizational digital innovation," "reducing digitalization barriers," "complexities of digital transformation," "organizational digitalization barriers," "digital transformation."*
* **CI03: MET** — Specific technological capabilities are explicitly named and examined: *"process data analytics"* (directly relating to data analytics/big data) and *"advanced process automation"* (relating to automation technologies such as RPA) are both named as BPM capabilities under investigation. These go beyond generic references to "digital technologies."
* **CI04: MET** — The study employs a mixed sequential design combining PLS-SEM analysis of 369 survey respondents with qualitative content analysis of 30 interviews — constituting a rigorous empirical analysis.
* **CI05: MET** — The title and abstract are written in English.
* **CE01: Does not apply** — The study directly addresses BPM, digital transformation, and technologies.
* **CE02: Does not apply** — The study is set in Indonesian organizations, clearly an organizational/business context.
* **CE03: Does not apply** — This is a primary empirical study using surveys and interviews, not a secondary review.
* **CE04: Does not apply** — The abstract provides sufficient information for evaluation.
---
**Summary:** All five inclusion criteria are clearly and explicitly met, and no exclusion criteria apply. The study is **included**.</t>
  </si>
  <si>
    <t>Asrif, Muhammad Iqbal; Handayani, Putu Wuri; Harahap, Nabila Clydea</t>
  </si>
  <si>
    <t>Indonesian organization digital innovation: the influence of business process management capabilities</t>
  </si>
  <si>
    <r>
      <rPr>
        <rFont val="Helvetica Neue"/>
        <color rgb="FF1155CC"/>
        <u/>
      </rPr>
      <t>https://doi.org/10.1108/BPMJ-03-2025-0348</t>
    </r>
  </si>
  <si>
    <t>1-26</t>
  </si>
  <si>
    <t>Business process management (BPM) has emerged as one of the most widely adopted approaches for organizations to managing business processes effectively. However, Indonesian organizations often face significant challenges in implementing and managing BPM. This study aims to evaluate the influence of BPM capabilities on organizational digital innovation in Indonesia.This study employed a mixed sequential model and had 369 valid respondents who filled in the online questionnaire and 30 respondents who participated in qualitative interviews were conducted. Partial least squares structural equation modeling was used to analyze the questionnaire data, while content analysis was used to analyze the qualitative data.BPM capabilities such as process context management, process compliance management, process data analytics, process architecture and integration and adaptive process improvement exerted a statistically significant influence on reducing digitalization barriers, thereby enabling organizations to better prepare for and manage the complexities of digital transformation. Advanced process automation did not have a significant effect on reducing organizational digitalization barriers.The study emphasizes the importance of prioritizing regulatory compliance and data analytics initiatives before adopting advanced process automation, ensuring job security and promoting a more positive acceptance of change throughout an organization.Strengthening capabilities focused on regulatory compliance and data analytics has proven beneficial in creating a stable and secure work environment, thereby alleviating employees' concerns during digital transformation and encouraging innovation.</t>
  </si>
  <si>
    <t>10.1108/BPMJ-03-2025-0348</t>
  </si>
  <si>
    <t>Score: 0
Justification:
	•	CI01: not met — The title and abstract do not explicitly mention “Business Process Management” or “BPM.”
	•	CI02: met — The study addresses digitalization-related organizational change through “digital decarbonization readiness,” “digital carbon footprint,” and “digital ecosystem.”
	•	CI03: met — The abstract explicitly mentions technologies and related fields, including Green IT, ICT, and digital/technology literatures.
	•	CI04: met — The study presents a conceptual tool/canvas for organizations to self-assess digital decarbonization readiness.
	•	CI05: met — The title and abstract are written in English.
CE01–CE04:
	•	CE01: applies for this review — The study is related to digital technologies and organizational readiness, but it is not explicitly related to BPM/Business Process Management, which is mandatory.
	•	CE02: does not apply — It is clearly related to an organizational/business context, focusing on CIOs, CTOs, CSOs, Sustainability Leads, and organizational capabilities.
	•	CE03: applies — The study uses an integrative review approach, drawing from existing literature, so it qualifies as a secondary study.
	•	CE04: does not apply — The abstract provides enough information to assess relevance.
Decision: Exclude, because CI01 is not met and CE03 applies.</t>
  </si>
  <si>
    <t>**Score: 0**
**Justification:**
* **CI01: NOT MET** — Neither "Business Process Management" nor "BPM" appears anywhere in the title or abstract. The study focuses on digital decarbonization, Green IT, and carbon footprint reduction, with no reference to BPM concepts or terminology.
* **CI02: NOT MET** — The terms "digital transformation," "digitalization," and "digital innovation" do not appear explicitly in the title or abstract. While "digital" appears frequently in compound terms such as "digital decarbonization," "digital carbon footprint," and "digital ecosystem," none of these constitute explicit use of the required terminology. Per the evaluation rules, if a criterion is not clearly supported, it must be considered not met.
* **CI03: NOT MET** — No specific technology from the exemplified list (AI, RPA, process mining, big data, blockchain, IoT, software systems) is explicitly named or applied. The abstract references "Green IT," "ICT," and "digital ecosystem" in general terms, which are insufficiently specific to satisfy this criterion.
* **CI04: MET** — The study develops a ten-dimension conceptual self-assessment tool (canvas) through an integrative review of existing literature, constituting a conceptual framework deliverable.
* **CI05: MET** — The title and abstract are written in English.
* **CE03: APPLIES** — The study explicitly adopts *"an integrative review approach"* drawing on *"extant literature pertinent to digital decarbonization."* An integrative review is a form of secondary study (literature review), as it synthesizes existing research rather than generating primary empirical data. This exclusion criterion applies independently.
---
**Summary:** The study fails CI01, CI02, and CI03, and CE03 also applies (integrative literature review). Multiple disqualifying conditions are present. The study is therefore **excluded**.</t>
  </si>
  <si>
    <t>Hodgkinson, Ian R.; Jackson, Thomas W.; Al-Busaidi, Kamla Ali</t>
  </si>
  <si>
    <t>A conceptual tool to self-assess digital decarbonization readiness</t>
  </si>
  <si>
    <r>
      <rPr>
        <rFont val="Helvetica Neue"/>
        <color rgb="FF1155CC"/>
        <u/>
      </rPr>
      <t>https://doi.org/10.1108/JBS-04-2025-0078</t>
    </r>
  </si>
  <si>
    <t>90-114</t>
  </si>
  <si>
    <t>Technological advancements have been central to decarbonization efforts; however, this has led to an increasing, hidden digital carbon footprint. This study aims to examine how organizations can self-assess their digital decarbonization readiness with the aim of reducing their digital carbon footprint.Using an integrative review approach, a canvas of the extant literature pertinent to digital decarbonization and the related fields of Green IT, digital, ICT and technology literatures, draws together insights that could be used by organizations to self-assess their digital decarbonization readiness.The conceptual tool comprises ten dimensions against which organizations self-assess to generate an overview of the organization’s performance in each dimension, highlighting areas of strength (high scores) and areas that may need improvement (low scores), and an aggregate score representing the organization’s overall digital decarbonization readiness.In the context of global net zero targets, digital decarbonization represents an opportunity to mitigate the negative environmental impact of the new data-scape. To aid organizations in reducing their digital carbon footprint, the conceptual tool allows organizations to self-assess their digital decarbonization readiness.The authors introduce a conceptual planning tool for Chief Information Officers (CIOs), Chief Technology Officers (CTOs), Chief Strategy Officers (CSOs) and Sustainability Leads to assess their digital decarbonization profile.The study outlines a series of organizational skills and capabilities to successfully manage the digital ecosystem and contribute to organizations' digital decarbonization initiatives that may help to mitigate digital carbon footprints.</t>
  </si>
  <si>
    <t>10.1108/JBS-04-2025-0078</t>
  </si>
  <si>
    <t>Score: 0
Justification:
	•	CI01: not met — The abstract mentions “business processes,” but it does not explicitly mention “Business Process Management” or “BPM.” Under your criteria, “business processes” alone is not enough.
	•	CI02: met — The study clearly addresses digitalisation and digital transformation initiatives, including the effects of digitalisation on organizational performance.
	•	CI03: met — The abstract explicitly mentions digital technology adoption, digital tools, predictive analytics, digital marketing and sales channels, and digital infrastructure.
	•	CI04: met — The study presents an empirical quantitative analysis using questionnaire data from 996 senior officials, SmartPLS, structural equation modelling, and IPMA.
	•	CI05: met — The title and abstract are written in English.
CE01–CE04:
	•	CE01: applies for this review — The study is related to digitalisation, technologies, and organizational performance, but it is not explicitly related to BPM/Business Process Management, which is mandatory.
	•	CE02: does not apply — It is clearly in an organizational/business context, focusing on dairy cooperatives and performance outcomes.
	•	CE03: does not apply — It is not a secondary study; it reports primary empirical survey research.
	•	CE04: does not apply — The abstract provides enough information to assess relevance.
Decision: Exclude, because CI01 is not met.</t>
  </si>
  <si>
    <t>**Score: 0**
**Justification:**
* **CI01: NOT MET** — Neither "Business Process Management" nor "BPM" appears anywhere in the title or abstract. Although "business processes" is briefly referenced as one of several integration dimensions influenced by digitalisation, this does not constitute explicit mention of Business Process Management or the acronym "BPM."
* **CI02: MET** — "Digitalisation" is the central concept of the entire study, referenced extensively throughout: *"effect of digitalisation on performance," "digitalisation is a crucial factor," "degree of digitalisation," "digital transformation initiatives."*
* **CI03: NOT MET** — No specific technology from the exemplified list (AI, RPA, process mining, big data, blockchain, IoT, software systems) is explicitly named as a subject of investigation. While "predictive analytics" is mentioned briefly in the practical implications section, it is not a core technology under study. "Digital tools" and "digital infrastructure" are too generic to satisfy this criterion. The study examines "digitalisation" as a broad construct rather than specific named technologies.
* **CI04: MET** — The study employs a quantitative explanatory design with a survey of 996 senior officials, uses SmartPLS for structural equation modelling, and conducts IPMA path modelling — constituting a rigorous empirical analysis with a unified model.
* **CI05: MET** — The title and abstract are written in English.
* **CE01–CE04: No exclusion criteria apply** — The study addresses digitalisation and technologies (CE01); it is set within an organizational/business context of dairy cooperatives (CE02); it is a primary empirical study, not a secondary review (CE03); the abstract provides more than sufficient information for evaluation (CE04).
---
**Summary:** The study fails CI01 and CI03 — BPM is not explicitly mentioned, and no specific named technology is under investigation beyond the generic concept of "digitalisation." Two unmet inclusion criteria independently disqualify it. The study is therefore **excluded**.</t>
  </si>
  <si>
    <t>K, Latha; Patro, Archana; Lathabhavan, Remya; Sulaiman, E.; Varghese, Roshna</t>
  </si>
  <si>
    <t>Effect of digitalisation on performance: evidence from dairy cooperatives of South India</t>
  </si>
  <si>
    <r>
      <rPr>
        <rFont val="Helvetica Neue"/>
        <color rgb="FF1155CC"/>
        <u/>
      </rPr>
      <t>https://doi.org/10.1108/IJPPM-11-2024-0819</t>
    </r>
  </si>
  <si>
    <t>783-808</t>
  </si>
  <si>
    <t>This study examines the effect of digital technology adoption on the performance of dairy cooperatives. It assesses the advantages and effects of digitalisation on intermediary variables, which subsequently influence outcome variables such as financial, operational, and firm-level employee performance.The research employed a quantitative, explanatory design, collecting data using a questionnaire survey. A structured questionnaire was administered to 996 senior officials of dairy cooperative societies of South India. SmartPLS was used for structural equation modelling. An importance-performance matrix analysis (IPMA) of path modelling was conducted to evaluate the effect of exogenous variables.The study’s findings indicate that digitalisation is a crucial factor influencing organisational performance, encompassing financial, operational, and employee performance. Digitalisation directly influences the integration of digital infrastructure, human resources, business processes, marketing and sales, external stakeholders, supply chain and logistics, and strategic decision-making.This study evaluates a theoretically relevant, refined conceptualisation of digitalisation performance effects. It also illustrates an improvement in the digitalisation performance network, emphasising the specific relationships between digitalisation and organisational performance outcomes, thereby making several significant contributions to the field. The primary contribution of this research is the unified model, which incorporates operational and managerial practice dimensions along with various performance outcomes—financial, operational, and firm-level employee performances. This study demonstrates the interplay of factors in digitalisation that contribute to the enhanced performance of dairy cooperatives. We extend the findings of Abou-Foul et al. (2021), Alma et al. (2018), Alzadjali and Elbanna (2020), Caldera et al. (2021), Hughes et al. (2006) and Redoli et al. (2008) by illustrating that enhanced financial performance in dairy cooperatives is predominantly achieved through the proficient digitalisation of operational and managerial practices, with optimal results observed in the areas of ISCLM and IPI. Unlike previous studies in various industries by Bhatt et al. (2019), Lopez-Nicolas and Soto-Acosta (2010), and Mohd Salleh et al. (2017), which do not examine the extent of adoption, the present study has extensively taken into account the level and degree of digitalisation.Digitalisation is of utmost importance in financial, operational, and employee performance, emphasising its pivotal role in the success of contemporary organisations (Martinez, 2019). The research emphasises the significance of supply chain and logistics management (ISCLM) for optimising operational performance (Zhang et al., 2022), whereas marketing and sales integration (IMS) and human resources integration (IHR) need improvement. These data may inform strategic decision-making by emphasising high-performance sectors and rectifying underperforming regions, therefore enhancing operational efficiency and staff performance. The study emphasises the necessity of prioritising digital transformation initiatives, leveraging the predictive capabilities of digitalisation for strategic decision-making, and perpetually enhancing performance through targeted management efforts in areas characterised by high impact and high performance (Bresciani et al., 2021). Digitalisation exerts diverse impacts on intermediary variables, including ISCLM and IPI. Managers ought to prioritise investments in digital tools that directly influence these factors, such as ISCLM and IPI, due to their substantial effect sizes.The study underscores the importance of digital adoption in the dairy cooperative industry, highlighting its practical benefits such as improved operational efficiency, strategic decision-making, and workforce development. Digital tools can optimise supply chains, inventory management, and finance procedures, enhancing overall performance. Managers can use predictive analytics to make informed business decisions and mitigate risks. Training programs and capacity-building activities are crucial for enhancing digital literacy and technical skills among employees. Digitalisation can improve dairy farmers' livelihoods by increasing market access, real-time pricing data, and financial inclusion. Digital marketing and sales channels can reach a wider consumer demographic, enhancing product availability and quality assurance. The research emphasises the need to close the digital divide in rural regions, emphasising education and infrastructure for equitable access to technology. The research highlights the significance of socioeconomic inclusion in capacity-building initiatives and digital literacy education, alongside ethical issues such as data protection and equitable access to digital resources. The implementation techniques may include public-private collaborations and incentives for adoption via metrics of performance associated with technology utilisation.This research is the first empirical study on the effects of digitalisation on the dairy cooperative sector in India, although prior studies have addressed digitalisation in other industries. It examines the impact of digitalisation on the perceived organisational performance of dairy cooperatives and the degree of variation within the sector. The model’s predictive capability facilitates managerial recommendations, highlighting the importance of predictive analytics in the dairy sector.</t>
  </si>
  <si>
    <t>10.1108/IJPPM-11-2024-0819</t>
  </si>
  <si>
    <t>Score: 0
Justification:
	•	CI01: not met — The abstract discusses “digitalization of accounting processes” and “accounting processes,” but it does not explicitly mention “Business Process Management” or “BPM.”
	•	CI02: met — The study clearly addresses digitalization and digital transformation, including “digitalization of accounting processes” and “digital transformation and its impact on organizational performance.”
	•	CI03: met — It addresses technology adoption through the TOE framework and the digitalization of accounting processes.
	•	CI04: met — The study presents and tests a conceptual framework using cross-sectional data from 254 SMEs in Oman and structural equation modeling with SmartPLS.
	•	CI05: met — The title and abstract are written in English.
CE01–CE04:
	•	CE01: applies for this review — The study is related to digitalization, technology adoption, and organizational performance, but it is not explicitly related to BPM/Business Process Management, which is mandatory.
	•	CE02: does not apply — It is clearly in an organizational/business context, focusing on SMEs and accounting processes.
	•	CE03: does not apply — It is not a secondary study; it reports primary empirical research.
	•	CE04: does not apply — The abstract provides enough information to assess relevance.
Decision: Exclude, because CI01 is not met.</t>
  </si>
  <si>
    <t>**Score: 0**
**Justification:**
* **CI01: NOT MET** — Neither "Business Process Management" nor "BPM" appears anywhere in the title or abstract. The study focuses on the digitalization of accounting processes (DAP) and its effect on SME performance. While "accounting processes" and "business performance" are mentioned, these do not constitute explicit reference to BPM or "Business Process Management."
* **CI02: MET** — "Digitalization" and "digital transformation" are explicitly and repeatedly referenced: *"digitalization of accounting processes (DAP)," "the digitalization process," "digitalizing accounting processes,"* and *"digital transformation and its impact on organizational performance."*
* **CI03: NOT MET** — No specific technology from the exemplified list (AI, RPA, process mining, big data, blockchain, IoT, software systems) is explicitly named or applied as a subject of investigation. The study examines "digitalization of accounting processes" as a broad construct. SmartPLS is mentioned as a statistical analysis tool, not as a technology under study. "Digital culture" and "technology adoption" are referenced generically but do not name specific technologies.
* **CI04: MET** — The study presents a conceptual framework grounded in ambidexterity theory and the TOE framework, empirically tested using SEM with cross-sectional data from 254 SMEs in Oman — constituting both a framework proposal and an empirical analysis.
* **CI05: MET** — The title and abstract are written in English.
* **CE01–CE04: No exclusion criteria apply** — The study addresses digitalization (CE01); it is set within a business context of SMEs (CE02); it is a primary empirical study, not a secondary review (CE03); the abstract provides sufficient information for evaluation (CE04).
---
**Summary:** The study fails CI01 and CI03 — BPM is not mentioned, and no specific technology is explicitly named or applied. Two unmet inclusion criteria independently disqualify it. The study is therefore **excluded**.</t>
  </si>
  <si>
    <t>Jassem, Suaad; Abdelfattah, Fadi</t>
  </si>
  <si>
    <t>Digitalization of accounting processes and performance of small and medium enterprises: mediating role of exploitation and exploration</t>
  </si>
  <si>
    <r>
      <rPr>
        <rFont val="Helvetica Neue"/>
        <color rgb="FF1155CC"/>
        <u/>
      </rPr>
      <t>https://doi.org/10.1108/JAAR-04-2024-0117</t>
    </r>
  </si>
  <si>
    <t>304-320</t>
  </si>
  <si>
    <t>This study aims to fill a gap in the literature regarding the digitalization of accounting processes (DAP) and its impact on small and medium enterprises (SMEs) performance. Current research primarily focuses on large organizations, leaving SMEs comparatively understudied. It remains unclear if DAP directly influences SME performance or if the exploitation dimension of organizational ambidexterity mediates this relationship. This study investigates both the direct and mediated effects of DAP on SME business performance.This study employs the ambidexterity theory and the technology-organization-environment (TOE) framework to present a conceptual framework that establishes a connection between DAP and SME performance, mediated by the influences of exploitation and exploration. To assess our hypotheses, we collected cross-sectional data from 254 SMEs in Oman. The analysis was conducted using structural equation modeling, implemented with Smart PLS.The findings suggest that DAP has a positive impact on both the exploitation and performance of SMEs. Additionally, exploitation not only directly affects performance but also partially mediates the relationship between DAP and performance.Despite the significance of this study, numerous limitations must be recognized. The research is confined to SMEs in Oman, which may limit the generalizability of the results. Subsequent research may utilize this approach in many cultural and geographic settings, including developed economies, to investigate potential discrepancies in DAP impact. Secondly, although the study emphasizes exploitation as a mediator, additional organizational characteristics, including leadership style, digital culture and strategy alignment, may potentially affect the DAP performance link and warrant further examination. Thirdly, while quantitatively robust, the use of statistical data fails to adequately represent the varied perspectives of SME managers throughout the digitalization process.The framework examined in this study offers practical guidance for decision-makers and policymakers involved in SME development. It underscores the significance of digitalizing accounting processes, which empowers these enterprises to enhance operational efficiencies by leveraging their existing resources and capabilities, ultimately resulting in improved business performance. These insights can inform practitioners in crafting policies and strategies that aim to ensure the sustainability of SMEs.This study contributes to the growing body of knowledge on digital transformation and its impact on organizational performance. It offers a distinctive perspective on the connection between DAP and SME performance. The uniqueness of this study lies in its presentation and testing of a framework that intersects two theories from separate domains: the TOE framework in technology adoption and the ambidexterity theory in strategic management. Moreover, the study examines the potential mediating role of exploitation in the relationship between DAP and SME performance.</t>
  </si>
  <si>
    <t>10.1108/JAAR-04-2024-0117</t>
  </si>
  <si>
    <t>Score: 1
Justification:
	•	CI01: met — The title and abstract explicitly mention “business process management maturity” and “BPM maturity.”
	•	CI02: met — The study directly addresses digital maturity and digital transformation, including the statement that BPM can support “digital transformation efforts.”
	•	CI03: met — The abstract mentions technology-related dimensions such as technological readiness, use of data, digital processes, and digital competencies.
	•	CI04: met — The study presents an empirical qualitative-quantitative analysis using a questionnaire and PLS-SEM to analyze relationships between BPM maturity and digital maturity dimensions.
	•	CI05: met — The title and abstract are written in English.
CE01–CE04:
	•	CE01: does not apply — The study is directly related to BPM, digital maturity, digital transformation, and organizational capabilities.
	•	CE02: does not apply — It is clearly in an organizational/business context, focusing on organizations operating in Poland.
	•	CE03: does not apply — It is not a secondary study; although it includes exploratory analysis of digital maturity models, the main study collects questionnaire data from organizations.
	•	CE04: does not apply — The abstract provides enough information to assess relevance.
Decision: Include, because all inclusion criteria are met and no exclusion criterion applies.</t>
  </si>
  <si>
    <t>**Score: 0**
**Justification:**
* **CI01: MET** — "Business process management (BPM)" and "BPM" are explicitly and repeatedly referenced throughout: *"business process management maturity," "BPM maturity," "BPM and digital maturity," "impact of BPM maturity," "excelling in BPM can support an organization's digital transformation efforts."*
* **CI02: MET** — "Digital transformation" is explicitly mentioned: *"digital transformation efforts"* and *"successful digital transformation."* The study also centers on "digital maturity," with dimensions such as digital culture, digital processes, and digital competencies.
* **CI03: NOT MET** — No specific technology from the exemplified list (AI, RPA, process mining, big data, blockchain, IoT, software systems) is explicitly named or applied. The abstract references "technological readiness" and "use of data" as dimensions of digital maturity, but these are generic constructs rather than named technologies. Per the evaluation rules, if a criterion is not clearly supported by explicit evidence, it must be considered not met.
* **CI04: MET** — The study employs PLS-SEM to analyze data collected via a research questionnaire from organizations in Poland, investigating relationships between BPM maturity and nine digital maturity dimensions — constituting a clear empirical analysis.
* **CI05: MET** — The title and abstract are written in English.
* **CE01–CE04: No exclusion criteria apply** — The study directly addresses BPM and digital transformation (CE01); it is grounded in an organizational context of Polish companies (CE02); it is a primary empirical study, not a secondary review (CE03); the abstract provides sufficient information for evaluation (CE04).
---
**Summary:** Despite strongly satisfying CI01, CI02, CI04, and CI05, the study fails CI03 — no specific technology (AI, RPA, process mining, big data, blockchain, IoT, software systems, or equivalent) is explicitly named or applied. "Technological readiness" and "use of data" are generic maturity dimensions, not named technologies. The study is therefore **excluded**.</t>
  </si>
  <si>
    <t>Biernikowicz, Aneta; Gabryelczyk, Renata; Ashraf, Rana Umair</t>
  </si>
  <si>
    <t>Investigating the nexus between business process management maturity and digital maturity: an empirical study of organizations in Poland</t>
  </si>
  <si>
    <r>
      <rPr>
        <rFont val="Helvetica Neue"/>
        <color rgb="FF1155CC"/>
        <u/>
      </rPr>
      <t>https://doi.org/10.1108/BPMJ-07-2024-0666</t>
    </r>
  </si>
  <si>
    <t>1663-1683</t>
  </si>
  <si>
    <t>The goal of this study is to investigate the relationship between business process management maturity and digital maturity, where the latter is represented by identified key critical dimensions.The study is qualitative-quantitative in nature. An exploratory research of digital maturity models developed by management consultancies made it possible to identify the common, practical dimensions deemed critical for digital maturity, such as digital culture, processes, strategy, customer value, technological readiness, governance, change management, digital competencies of employees and use of data. Data on BPM and digital maturity from organizations operating in Poland were collected using the research questionnaire. Employing structural equation modeling (PLS-SEM), the analysis of the relationships between BPM maturity and the nine dimensions of digital maturity was carried out.The statistical analysis revealed a strong impact of BPM maturity on change management capabilities. The dimensions of digital processes, competencies, governance, strategy and technological readiness were found to be moderately positively influenced by BPM maturity. The analysis did not confirm a positive influence of BPM maturity on building digital customer value or data usage. We conclude that excelling in BPM can support an organization’s digital transformation efforts. However, attention should be paid to employing BPM in a way that extends beyond standardization and efficiency and enables customer-centricity and innovation.The article proposes novel contributions by emphasizing the importance of BPM maturity in achieving digital maturity, which may contribute to successful digital transformation. Additionally, the original conclusions include the identification of common dimensions of digital maturity derived from business practice.</t>
  </si>
  <si>
    <t>10.1108/BPMJ-07-2024-0666</t>
  </si>
  <si>
    <t>Score: 0
Justification:
	•	CI01: not met — The title and abstract do not explicitly mention “Business Process Management” or “BPM.” The abstract mentions “business models and procedures,” but this is not enough for CI01.
	•	CI02: met — The study clearly addresses digital transformation and digitalization, including “digital transformation efforts” and “promoting digitalization in the organization.”
	•	CI03: not met — Although it discusses digital transformation and digital breakthroughs generally, the abstract does not clearly mention or apply a specific technology such as AI, RPA, process mining, big data, blockchain, IoT, or software systems.
	•	CI04: met — The study presents an empirical analysis using SEM with SmartPLS and data from 221 employees in the Indian IT sector.
	•	CI05: met — The title and abstract are written in English.
CE01–CE04:
	•	CE01: applies for this review — The study is about leadership, innovative work behavior, and digital transformation, but it is not explicitly related to BPM/Business Process Management and does not clearly apply a specific technology.
	•	CE02: does not apply — It is clearly related to an organizational/business context, focusing on firms and employees in the Indian IT sector.
	•	CE03: does not apply — It is not a secondary study; it reports primary empirical research.
	•	CE04: does not apply — The abstract provides enough information to assess relevance.
Decision: Exclude, because CI01 and CI03 are not met.</t>
  </si>
  <si>
    <t>**Score: 0**
**Justification:**
* **CI01: NOT MET** — Neither "Business Process Management" nor "BPM" appears anywhere in the title or abstract. The study focuses on empowering leadership, innovative work behavior, and digital transformation in the Indian IT sector, with no reference to BPM concepts or terminology.
* **CI02: MET** — "Digital transformation" and "digitalization" are explicitly and repeatedly referenced: *"digital transformation efforts," "digital transformation and empowering leadership," "drivers of DT," "promoting digitalization in the organization."*
* **CI03: NOT MET** — No specific technology from the exemplified list (AI, RPA, process mining, big data, blockchain, IoT, software systems) is explicitly named or studied. The abstract refers to "digital breakthroughs" in general terms. SmartPLS and SPSS are mentioned as statistical tools used in the research methodology, not as technologies under investigation.
* **CI04: MET** — The study employs SEM via SmartPLS on a sample of 221 IT sector employees and uses SPSS for descriptive statistics, empirically testing relationships between empowering leadership, innovative work behavior, and digital transformation — constituting a clear empirical analysis.
* **CI05: MET** — The title and abstract are written in English.
* **CE01–CE04: No exclusion criteria apply** — The study addresses digital transformation (CE01); it is set within an organizational/business context in the Indian IT sector (CE02); it is a primary empirical study, not a secondary review (CE03); the abstract provides sufficient information for evaluation (CE04).
---
**Summary:** The study fails CI01 and CI03 — BPM is not mentioned, and no specific technology is explicitly named or investigated. Two unmet inclusion criteria independently disqualify it. The study is therefore **excluded**.</t>
  </si>
  <si>
    <t>Jain, Divya; Sharma, Himani</t>
  </si>
  <si>
    <t>Unlocking the influence of empowering leadership on digital transformation through innovative work behavior: evidence from the Indian IT sector</t>
  </si>
  <si>
    <r>
      <rPr>
        <rFont val="Helvetica Neue"/>
        <color rgb="FF1155CC"/>
        <u/>
      </rPr>
      <t>https://doi.org/10.1108/JAMR-08-2024-0303</t>
    </r>
  </si>
  <si>
    <t>194-214</t>
  </si>
  <si>
    <t>Digital transformation witnessed from the viewpoint of the new institutional theory is the outcome of several digital breakthroughs that bring together new actors, organizational structures, practices and values intending to challenge, replace or enhance current business models and procedures. In line with this framework, this study seeks to empirically investigate the influence of empowering leadership on a firm’s digital transformation efforts. Additionally, it explores the mediating role of employees’ innovative work behavior within the context of digital transformation and empowering leadership.To achieve the proposed objectives, structural equation modelling (SEM) was performed using Smart PLS, on a sample of 221 employees working in the Indian IT sector. SPSS was utilized to gain insights into the descriptive statistics of the sample.The findings disclosed empowering leadership as a critical facilitator of digital transformation by overcoming the issue of employee resistance to change through their unique traits. Furthermore, innovative work behavior is found to be a significant mediator within the aforementioned relationship.The contribution of the study lies in its empirical examination of novel relationships, notably the direct link between empowering leadership and digital transformation, as well as the indirect association through innovative work behavior. These relationships have not been thoroughly explored in the literature so far, making this study a valuable addition. The research also offers several key insights about the drivers of DT for industry experts that can be practically implemented.The novelty of the study lies in exploring empowering leadership as the driver/facilitator of digital transformation, which has not been done before despite the increasing relevance of its traits in the digital era. Moreover, the study provides clarity about the critical role of innovative employees in promoting digitalization in the organization.</t>
  </si>
  <si>
    <t>10.1108/JAMR-08-2024-0303</t>
  </si>
  <si>
    <t>Score: 0
Justification:
	•	CI01: not met — The abstract mentions “business process automations,” but it does not explicitly mention “Business Process Management” or “BPM.”
	•	CI02: met — The study addresses the “digital era” and AI integration in advertising/copywriting processes.
	•	CI03: met — The study explicitly mentions AI-generated content, AI technology, and AI implementation in advertising.
	•	CI04: met — The study presents an empirical experimental analysis with 222 participants, using Mann-Whitney analysis on SPSS 29.
	•	CI05: met — The title and abstract are written in English.
CE01–CE04:
	•	CE01: applies for this review — The study relates to AI and business process automation, but it is not explicitly related to BPM/Business Process Management, which is mandatory.
	•	CE02: does not apply — It is related to a business/organizational context, specifically advertising, firm copywriting, and creative communication processes.
	•	CE03: does not apply — It is not a secondary study; it reports experimental empirical research.
	•	CE04: does not apply — The abstract provides enough information to assess relevance.
Decision: Exclude, because CI01 is not met.</t>
  </si>
  <si>
    <t>**Score: 0**
**Justification:**
* **CI01: NOT MET** — Neither "Business Process Management" nor "BPM" appears in the title or abstract. The abstract mentions *"business process automations"* as a brief implication of the findings, but this phrase is not equivalent to "Business Process Management (BPM)" and does not constitute explicit mention of the required terminology.
* **CI02: NOT MET** — The terms "digital transformation," "digitalization," and "digital innovation" do not appear in the title or abstract. The title references "the digital era," which is a contextual framing rather than explicit use of the required terminology. Per the evaluation rules, if a criterion is not clearly supported, it must be considered not met.
* **CI03: MET** — AI is explicitly and repeatedly named as the central technology under investigation: *"AI-generated versus human-generated content," "AI integration in business process automations," "AI Encounter, AI recognition and AI trust," "AI implementation."*
* **CI04: MET** — The study employs a Mann-Whitney analysis on a sample of 222 participants in an experimental design with two conditions, constituting a clear empirical analysis.
* **CI05: MET** — The title and abstract are written in English.
* **CE01–CE04: No exclusion criteria apply** — The study involves AI technology (CE01); it is grounded in a business context (advertising, copywriting, firm communication) (CE02); it is a primary empirical study, not a secondary review (CE03); the abstract provides sufficient information for evaluation (CE04).
---
**Summary:** The study fails CI01 and CI02 — BPM is not explicitly mentioned (only "business process automations" appears briefly), and digital transformation/digitalization/digital innovation terminology is absent. Two unmet inclusion criteria independently disqualify it. The study is therefore **excluded**.</t>
  </si>
  <si>
    <r>
      <rPr>
        <rFont val="Helvetica Neue"/>
        <color rgb="FF1155CC"/>
        <u/>
      </rPr>
      <t>https://doi.org/10.1108/BPMJ-07-2024-0637</t>
    </r>
  </si>
  <si>
    <t>This study investigates the variations in consumers’ affective responses to AI-generated versus human-generated content in a firm’s advertising copywriting, analysing emotional reactions to short-form promotional text across three affective dimensions—Pleasure, Arousal, and Dominance—from the PAD emotional model.A Mann-Whitney analysis on SPSS 29 is conducted to assess group differences on a sample of 222 participants randomly assigned to one of two experimental conditions. The analysis evaluates group variances across emotional constructs alongside three control variables: AI Encounter, AI recognition and AI trust.The results indicate no significant differences among groups regarding the main emotional dimensions, suggesting relevant implications for AI integration in business process automations. However, trust and familiarity with AI technology influence consumers’ responses differently across conditions.This study sheds light on new business opportunities for enhancing creative communication processes with AI implementation, providing practitioners with relevant insights to improve advertising and copywriting by collaboratively using AI in crafting emotionally engaging advertisements for effective communication strategies.</t>
  </si>
  <si>
    <t>Score: 0
Justification:
	•	CI01: not met — The abstract mentions “organizational processes,” but it does not explicitly mention “Business Process Management” or “BPM.”
	•	CI02: met — The study clearly addresses digital transformation, “digital maturity,” “digital integration,” and the “digital era.”
	•	CI03: met — The abstract mentions technological resources, IT infrastructure, and technological adaptation, although the technologies are described broadly.
	•	CI04: met — The study presents an empirical “in-depth long-term case study” using qualitative and quantitative data, and also outlines a roadmap.
	•	CI05: met — The title and abstract are written in English.
CE01–CE04:
	•	CE01: applies for this review — The study is related to digital transformation and organizational adaptation, but it is not explicitly related to BPM/Business Process Management, which is mandatory.
	•	CE02: does not apply — It is clearly related to an organizational context, specifically a public sector organization.
	•	CE03: does not apply — It is not a secondary study; it reports a long-term case study.
	•	CE04: does not apply — The abstract provides enough information to assess relevance.
Decision: Exclude, because CI01 is not met.</t>
  </si>
  <si>
    <t>**Score: 0**
**Justification:**
* **CI01: NOT MET** — Neither "Business Process Management" nor "BPM" appears anywhere in the title or abstract. The study examines digital transformation through the lens of resource-based view (RBV) and institutional theory in a public sector organization, with no reference to BPM concepts or terminology.
* **CI02: MET** — "Digital transformation" is explicitly and repeatedly referenced: *"digital transformation journey," "accelerate digital transformation," "successful digital transformation," "sustainable digital integration."*
* **CI03: NOT MET** — No specific technology from the exemplified list (AI, RPA, process mining, big data, blockchain, IoT, software systems) is explicitly named or applied. The abstract references "technological resources," "technological advancements," and "IT infrastructure," all of which are too generic to satisfy this criterion. Per the evaluation rules, if not clearly supported, the criterion must be considered not met.
* **CI04: MET** — The study employs an in-depth long-term case study of a public sector organization, integrating qualitative and quantitative data collection methods, and produces a tailored digital transformation roadmap — constituting an empirical analysis with a practical framework.
* **CI05: MET** — The title and abstract are written in English.
* **CE01–CE04: No exclusion criteria apply** — The study addresses digital transformation and technologies (CE01); it is set within an organizational/public sector context (CE02); it is a primary longitudinal case study, not a secondary review (CE03); the abstract provides sufficient information for evaluation (CE04).
---
**Summary:** The study fails CI01 and CI03 — BPM is not mentioned, and no specific named technology is explicitly studied. Two unmet inclusion criteria independently disqualify it. The study is therefore **excluded**.</t>
  </si>
  <si>
    <t>Jafari, Pooria; Van Looy, Amy; Helbin, Tomasz</t>
  </si>
  <si>
    <t>About the interplay between technological resources and institutional factors for realizing digital work: a public sector long-term view</t>
  </si>
  <si>
    <r>
      <rPr>
        <rFont val="Helvetica Neue"/>
        <color rgb="FF1155CC"/>
        <u/>
      </rPr>
      <t>https://doi.org/10.1108/JAMR-11-2024-0412</t>
    </r>
  </si>
  <si>
    <t>165-193</t>
  </si>
  <si>
    <t>The digital era requires organizations to realign their work practices, culture, and structure. This study investigates the complex dynamics of organizational adaptation to rapid technological advancements by examining the interplay between technological resources and institutional factors over time.An in-depth long-term case study of a public sector organization forms the basis of this research. The study employs the resource-based view (RBV) and institutional theory as theoretical frameworks to analyze the organization’s digital transformation journey, integrating qualitative and quantitative data collection methods.The findings reveal a gradual evolution in the organization’s digital maturity, transitioning from a focus on IT infrastructure to a comprehensive integration of technological resources with organizational processes and human capital. The study underscores the critical synergy between institutional factors and technological adaptation, with key milestones marking the organization’s progress toward a digitally integrated and employee-centric state. External factors, such as the COVID-19 pandemic, are shown to accelerate digital transformation.The study outlines a tailored roadmap for public sector organizations to align institutional culture and structure with technological resources, facilitating successful digital transformation.This study provides a novel long-term perspective on digital transformation, emphasizing the importance of balancing resource optimization with institutional alignment. It offers strategic guidance for organizations embarking on digital transformation journeys, highlighting the role of institutional culture, employee engagement, and external catalysts in achieving sustainable digital integration.</t>
  </si>
  <si>
    <t>10.1108/JAMR-11-2024-0412</t>
  </si>
  <si>
    <t>Score: 1
Justification:
	•	CI01: met — The title and abstract explicitly mention “business process management capabilities” and BPMC.
	•	CI02: met — The study directly addresses sustainable digital transformation, especially the “effectiveness of sustainable digital transformation (ESDT).”
	•	CI03: met — The abstract mentions the “application of digital technology” in the context of sustainable digital transformation.
	•	CI04: met — The study presents an empirical quantitative analysis using data from 712 respondents from SMEs in Vietnam, with structural equation modeling supported by SmartPLS and AMOS.
	•	CI05: met — The title and abstract are written in English.
CE01–CE04:
	•	CE01: does not apply — The study is directly related to BPM, digital technology, and sustainable digital transformation.
	•	CE02: does not apply — It is clearly related to an organizational/business context, focusing on SMEs in Vietnam.
	•	CE03: does not apply — It is not a secondary study; it reports primary empirical research.
	•	CE04: does not apply — The abstract provides enough information to assess relevance.
Decision: Include, because all inclusion criteria are met and no exclusion criterion applies.</t>
  </si>
  <si>
    <t>**Score: 0**
**Justification:**
* **CI01: MET** — "Business process management capabilities (BPMC)" and the derived acronym are explicitly and repeatedly referenced: *"business process management capabilities (BPMC) impact the effectiveness of sustainable digital transformation," "BPMC and ESDT," "prioritize enhancing focus on BPMC."*
* **CI02: MET** — "Digital transformation" is explicitly and consistently mentioned: *"sustainable digital transformation (ESDT)," "sustainable digital transformation," "digital technology."*
* **CI03: NOT MET** — No specific technology from the exemplified list (AI, RPA, process mining, big data, blockchain, IoT, software systems) is explicitly named or applied as a subject of study. The abstract references "digital technology" only once and in a general sense (*"application of digital technology"*), which is insufficiently specific. SmartPLS and AMOS are mentioned as statistical research tools, not as technologies under investigation. Per the evaluation rules, if a criterion is not clearly supported, it must be considered not met.
* **CI04: MET** — The study employs a hypothetico-deductive design with SEM (SmartPLS and AMOS) on a sample of 712 SME respondents from Vietnam, testing mediation relationships — constituting a rigorous empirical analysis.
* **CI05: MET** — The title and abstract are written in English.
* **CE01–CE04: No exclusion criteria apply** — The study directly addresses BPM and digital transformation (CE01); it is set within a business context of Vietnamese SMEs (CE02); it is a primary empirical study, not a secondary review (CE03); the abstract provides sufficient information for evaluation (CE04).
---
**Summary:** Despite meeting CI01, CI02, CI04, and CI05, the study fails CI03 — no specific technology is explicitly named or applied beyond the generic phrase "digital technology." This single unmet criterion disqualifies the study. It is therefore **excluded**.</t>
  </si>
  <si>
    <r>
      <rPr>
        <rFont val="Helvetica Neue"/>
        <color rgb="FF1155CC"/>
        <u/>
      </rPr>
      <t>https://doi.org/10.1108/BPMJ-06-2024-0467</t>
    </r>
  </si>
  <si>
    <t>This research aims at investigating how business process management capabilities (BPMC) impact the effectiveness of sustainable digital transformation (ESDT). Furthermore, it delves into the mediation of dynamic decision-making (DDM) in the relationship between BPMC and ESDT.This research employed the hypothetico-deductive technique. The statistical database was generated from sample of 712 respondents from small and medium companies (SMEs) in Vietnam, utilizing convenience and snowball sampling methods. The two-step process utilizing structural equation modeling, supported by SmartPLS version 4.1.0.9 and AMOS 28, was employed to assess the measurement model, while SmartPLS version 4.1.0.9 was used to evaluate the structural model.The results of the analysis emphasize significant and positive correlations between the proposed constructs related to significance and effect size. The statistical results indicated that BPMC had a significant and beneficial effect on ESDT. This relationship was partially mediated by DMM.The salient point emphasized that practitioners should prioritize enhancing focus on BPMC and DDM, as this would significantly facilitate more comprehensive solutions, enabling SMEs to achieve optimal success in sustainable digital transformation. Policymakers and government influencers are urged to concentrate on innovative attributes and ensure a conducive environment for the implementation of innovation by enacting regulations that promote the application of digital technology.The findings of this study will broaden scholars’ understanding of the influence of BPMC on ESDT. The originality of the research is to provide research directions for advancing studies on the role of DDM in the context of sustainable digital transformation.</t>
  </si>
  <si>
    <t>Score: 0
Justification:
	•	CI01: met — The abstract explicitly mentions “business process management” and situates process improvement and innovation as central to BPM.
	•	CI02: not met — The abstract mentions process improvement, innovation, process data, and artificial intelligence, but it does not clearly address digital transformation, digitalization, or digital innovation. Since CI02 must be explicitly supported, it is not met.
	•	CI03: met — The abstract explicitly mentions process data, artificial intelligence, and PII systems.
	•	CI04: met — The study presents design knowledge in the form of 14 design principles, follows the design science research paradigm, and uses literature reviews, expert interviews, and evaluation surveys.
	•	CI05: met — The title and abstract are written in English.
CE01–CE04:
	•	CE01: applies for this review — The study is related to BPM and technologies, but it does not explicitly address digital transformation/digitalization/digital innovation.
	•	CE02: does not apply — It is related to an organizational/business process context.
	•	CE03: applies partially / cautiously — The paper builds on two systematic literature reviews, but it also includes expert interviews, surveys, and design science output. However, even without CE03, the study is excluded because CI02 is not met.
	•	CE04: does not apply — The abstract provides enough information to assess relevance.
Decision: Exclude, because CI02 is not clearly met.</t>
  </si>
  <si>
    <t>**Score: 0**
**Justification:**
* **CI01: MET** — "Business process management" is explicitly referenced: *"process improvement and innovation (PII) are a central activity for business process management."*
* **CI02: NOT MET** — The terms "digital transformation," "digitalization," and "digital innovation" do not appear anywhere in the title or abstract. The study addresses "process improvement and innovation (PII)" and mentions "process innovation," but these are distinct from the required digital terminology. Per the evaluation rules, if a criterion is not clearly supported, it must be considered not met.
* **CI03: MET** — Artificial intelligence is explicitly mentioned: *"advances in artificial intelligence."* Additionally, the study's central artifact — PII systems — constitutes a software system class, which is among the exemplified technology types.
* **CI04: MET** — The study follows the design science research paradigm, building on two systematic literature reviews, 20 expert interviews, and two evaluation surveys, delivering 14 design principles — constituting prescriptive design knowledge in the form of a framework.
* **CI05: MET** — The title and abstract are written in English.
* **CE01–CE04: No exclusion criteria apply** — The study addresses BPM and AI/software systems (CE01); it is grounded in an organizational/practitioner context for process designers (CE02); despite drawing on literature reviews as inputs, it is a primary design science study producing original design knowledge, not a secondary mapping or review study itself (CE03); the abstract provides sufficient information for evaluation (CE04).
---
**Summary:** Despite meeting CI01, CI03, CI04, and CI05, the study fails CI02 — the terms "digital transformation," "digitalization," and "digital innovation" are entirely absent from both title and abstract. This single unmet criterion disqualifies the study. It is therefore **excluded**.</t>
  </si>
  <si>
    <t>Moder, Linda; Fehrer, Tobias; Röglinger, Maximilian</t>
  </si>
  <si>
    <t>Design principles for process improvement and innovation systems</t>
  </si>
  <si>
    <r>
      <rPr>
        <rFont val="Helvetica Neue"/>
        <color rgb="FF1155CC"/>
        <u/>
      </rPr>
      <t>https://doi.org/10.1108/BPMJ-10-2024-0975</t>
    </r>
  </si>
  <si>
    <t>198-219</t>
  </si>
  <si>
    <t>Given today’s dynamic environment, process improvement and innovation (PII) are a central activity for business process management. Despite increasingly available process data and advances in artificial intelligence, only a few works address the automation of PII, highlighting the need for so-called PII systems that support human process designers. However, previous research focuses on problem statements and expository software engineering artifacts. In contrast, design knowledge for PII systems remains scarce, presenting challenges for researchers and practitioners alike. Prescriptive knowledge could address this issue and support future PIIS development. Thus, this paper provides design knowledge for PII systems in the form of 14 design principles.We follow the design science research paradigm, building on two systematic literature reviews, 20 exploratory expert interviews and two evaluation surveys.This paper presents three design requirements and 14 design principles for PII systems as the main contribution. They help to identify necessary functionalities, guide the design and development of future PIIS and serve as a starting point toward comprehensive design knowledge for PII systems.The original contribution of this paper consists of prescriptive design knowledge for PII systems based on literature and qualitative insights. To the best of our knowledge, we are the first to define design principles for PII systems, bringing together knowledge from related system classes as well as unique requirements from a process design perspective.</t>
  </si>
  <si>
    <t>10.1108/BPMJ-10-2024-0975</t>
  </si>
  <si>
    <t>Score: 0
Justification:
	•	CI01: not met — The title and abstract do not explicitly mention “Business Process Management” or “BPM.”
	•	CI02: met — The study clearly addresses digital maturity, digitalization, and “digital transition” in SMEs.
	•	CI03: not met — The abstract discusses digital maturity and digital strategy, but it does not explicitly mention or apply specific technologies such as AI, RPA, process mining, big data, blockchain, IoT, software systems, or similar digital tools.
	•	CI04: met — The study presents a model and an empirical mixed-methods analysis using focus groups, structured interviews/questionnaires with 94 companies, and logistic regression.
	•	CI05: met — The title and abstract are written in English.
CE01–CE04:
	•	CE01: applies for this review — The study is related to digital maturity and SMEs, but it is not explicitly related to BPM/Business Process Management and does not clearly mention specific technologies.
	•	CE02: does not apply — It is clearly in an organizational/business context, focusing on SMEs in the Amalfi Coast Tourist District.
	•	CE03: does not apply — It is not a secondary study; it reports qualitative and quantitative empirical research.
	•	CE04: does not apply — The abstract provides enough information to assess relevance.
Decision: Exclude, because CI01 and CI03 are not met.</t>
  </si>
  <si>
    <t>**Score: 0**
**Justification:**
* **CI01: NOT MET** — Neither "Business Process Management" nor "BPM" appears anywhere in the title or abstract. The study focuses on digital maturity, intellectual capital, management style, and decision-making competences in Italian SMEs, with no reference to BPM concepts or terminology.
* **CI02: MET** — "Digitalization" and "digital transition" are explicitly referenced: *"digitalization levels," "digitalization of organizations," "conscious digital transition," "digital strategy and competitiveness."* Digital maturity is the central dependent variable.
* **CI03: NOT MET** — No specific technology from the exemplified list (AI, RPA, process mining, big data, blockchain, IoT, software systems) is explicitly named or applied. The abstract mentions "data-driven leadership style," which implies a general orientation toward data use, but does not name a specific technology. "Digital maturity" and "digitalization levels" are broad constructs, not specific technologies.
* **CI04: MET** — The study employs a mixed-methods design including qualitative focus groups and quantitative structured interviews (94 companies), with logistic regression analysis and a proposed measurement model — constituting both an empirical analysis and a conceptual framework.
* **CI05: MET** — The title and abstract are written in English.
* **CE01–CE04: No exclusion criteria apply** — The study addresses digitalization (CE01); it is grounded in a business context of SMEs in a tourist district (CE02); it is a primary empirical study, not a secondary review (CE03); the abstract provides sufficient information for evaluation (CE04).
---
**Summary:** The study fails CI01 and CI03 — BPM is absent, and no specific technology is explicitly named or investigated. Two unmet inclusion criteria independently disqualify it. The study is therefore **excluded**.</t>
  </si>
  <si>
    <t>Tortora, Debora; Genovino, Cinzia; De Andreis, Federico; Loia, Francesca; Cuomo, Maria Teresa</t>
  </si>
  <si>
    <t>Boosting intellectual capital and digital maturity of SMEs: an investigation of enterprises in an Italian Southern tourist district</t>
  </si>
  <si>
    <r>
      <rPr>
        <rFont val="Helvetica Neue"/>
        <color rgb="FF1155CC"/>
        <u/>
      </rPr>
      <t>https://doi.org/10.1108/JIC-05-2024-0156</t>
    </r>
  </si>
  <si>
    <t>176-198</t>
  </si>
  <si>
    <t>This study intends to analyze the relationship between the digital maturity of SMEs and intellectual capital, investigating the determining factors. Starting from the endowment in terms of intellectual capital and evaluating Management Style, Decision-Making Competences, and Business Network, a model is proposed aiming to provide a comprehensive measure of SMEs’ digital maturity and thus to improve understanding and, consequently, effectiveness. The empirical analysis allows assessing the validity and applicability of the suggested model, providing valuable insights for the improvement of digital strategy and competitiveness of SMEs in the Amalfi Coast Tourist District (Italy), with evident implications also for policymakers and the community.A mixed-methods research strategy was utilized to confirm research hypotheses that were derived from literature review. The field study was organized into two separate phases: the first phase, which is qualitative, employed focus groups comprising key stakeholders (managers and entrepreneurs) from various companies within the Amalfi Coast Tourist District. This phase adhered to the principles of homogeneity (to facilitate deeper discussions) and heterogeneity (to allow for a broader range of viewpoints among participants). The insights gathered from these preliminary focus groups informed the subsequent quantitative phase. In this second phase, structured interviews were conducted using a questionnaire to probe the participants’ views on digital maturity. This analysis involved 94 companies, all part of the Amalfi Coast Tourist District, assessing their digitalization levels and highlighting key management attributes. Logistic regression was applied to quantitatively analyze the data, effectively assessing the impact of various independent variables (such as Management Style, Decision-Making Competencies and Business Network) on the dependent variable, digital maturity. Employing both qualitative and quantitative methods provides a thorough and nuanced understanding of the digital maturity landscape within the specified context.The main results suggest the existence of a correlation between the analyzed variables and digital maturity. Innovation, indeed, increases by applying a data-driven leadership style. Intellectual capital (measured in its three components of human capital: decision-making competences; structural capital: management style; and relational capital: business network) influences digital maturity, although some of the variables used are not equally weighted.The main contribution of this article is to provide an in-depth understanding of the company components that favor digital maturity, to support strategic choices oriented towards a conscious digital transition. The results enrich the existing literature on intellectual capital in terms of its contribution to the digitalization of organizations, which can be a critical success factor in the context of SMEs.</t>
  </si>
  <si>
    <t>10.1108/JIC-05-2024-0156</t>
  </si>
  <si>
    <t>Score: 0
Justification:
	•	CI01: not met — The title and abstract do not explicitly mention “Business Process Management” or “BPM.”
	•	CI02: not met — The study discusses FinTech adoption and digital tools, but it does not clearly address digital transformation, digitalization, or digital innovation.
	•	CI03: met — The abstract explicitly mentions FinTech adoption, “digital tools,” “payment systems,” and “accounting software.”
	•	CI04: met — The study presents an empirical survey with 321 respondents and uses SmartPLS to assess the hypothesized model.
	•	CI05: met — The title and abstract are written in English.
CE01–CE04:
	•	CE01: applies for this review — The study is related to technology adoption and small business sustainability, but it is not explicitly related to BPM/Business Process Management or digital transformation.
	•	CE02: does not apply — It is clearly in a business context, focusing on small businesses and sustainability.
	•	CE03: does not apply — It is not a secondary study; it reports survey-based empirical research.
	•	CE04: does not apply — The abstract provides enough information to assess relevance.
Decision: Exclude, because CI01 and CI02 are not met.</t>
  </si>
  <si>
    <t>**Score: 0**
**Justification:**
* **CI01: NOT MET** — Neither "Business Process Management" nor "BPM" appears anywhere in the title or abstract. The study focuses on FinTech adoption, financial well-being, and small business sustainability, with no reference to BPM concepts or terminology.
* **CI02: NOT MET** — The terms "digital transformation," "digitalization," and "digital innovation" do not appear explicitly in the title or abstract. While "digital tools" is briefly mentioned in the practical implications section, this does not constitute explicit use of the required terminology.
* **CI03: NOT MET** — No specific technology from the exemplified list (AI, RPA, process mining, big data, blockchain, IoT, software systems) is explicitly named as the subject of investigation. FinTech is a broad financial technology category, not one of the named technologies. "Payment systems and accounting software" are briefly mentioned in the implications section as illustrative examples, but are not the technologies under study.
* **CI04: MET** — The study employs SmartPLS on a final sample of 321 respondents from a self-administered survey, testing a hypothesized mediation model — constituting a clear empirical analysis.
* **CI05: MET** — The title and abstract are written in English.
* **CE01–CE04: No exclusion criteria apply** — The study relates to digital technologies (FinTech) in a business context (CE01 and CE02); it is a primary empirical study, not a secondary review (CE03); the abstract provides sufficient information for evaluation (CE04).
---
**Summary:** The study fails CI01, CI02, and CI03 — BPM is absent, digital transformation terminology is not used, and no specific named technology from the required list is studied. Three unmet inclusion criteria independently disqualify it. The study is therefore **excluded**.</t>
  </si>
  <si>
    <t>Sharma, Vikas; Gupta, Munish; Taneja, Sanjay</t>
  </si>
  <si>
    <t>Does FinTech adoption impact on sustainability of small businesses: mediating role of financial well-being</t>
  </si>
  <si>
    <r>
      <rPr>
        <rFont val="Helvetica Neue"/>
        <color rgb="FF1155CC"/>
        <u/>
      </rPr>
      <t>https://doi.org/10.1108/GKMC-04-2024-0225</t>
    </r>
  </si>
  <si>
    <t>This paper aims to explore the impact of FinTech adoption on small business sustainability and to understand how financial well-being acts as a mediator in this relationship. which is essential in fostering business sustainability in today’s dynamic business landscape.A survey was conducted with an initial sample of 500 respondents, and subsequently, a final analysis was performed using a sample size of 321 respondents. Data was collected through a self-administered survey, and the hypothesized model was assessed using the Smart PLS analysis technique.The findings revealed significant positive associations between Fintech adoption and small business sustainability, and financial well-being acts as a significant mediator in establishing this relationship. Financial well-being has a positive and significant impact on sustainability, with substantial and positive correlations with their respective elements.Small businesses will realize the significance of financial well-being in their operations. This realization can motivate them to invest in digital tools such as payment systems and accounting software to streamline their operations and increase their resilience.The results of this research can serve as a foundational framework for enhancing business sustainability in the Fintech sector, thereby facilitating the financial industry’s efforts to achieve economies of scale globally. Future research can investigate specific aspects, industries or regions deeper to provide a more comprehensive understanding of the study.</t>
  </si>
  <si>
    <t>10.1108/GKMC-04-2024-0225</t>
  </si>
  <si>
    <t>Score: 0
Justification:
	•	CI01: met — The title and abstract explicitly mention “BPM” and “business process management (BPM).”
	•	CI02: met — The study directly addresses digital innovations, including “BPM strategies anchored in digital innovations” and “the demands of a digital age society.”
	•	CI03: met — The abstract mentions digital innovations and integrated systems as part of the proposed framework.
	•	CI04: met — The study proposes a framework with eight research strands and a research agenda.
	•	CI05: met — The title and abstract are written in English.
CE01–CE04:
	•	CE01: does not apply — The study is directly related to BPM, digital innovation, and organizational strategies.
	•	CE02: does not apply — It is related to an organizational/business context, especially BPM strategies for organizations.
	•	CE03: applies — The study is explicitly a bibliometric and systematic literature review, based on “238 papers” and an SLR of “15 selected papers.” Therefore, it is a secondary study.
	•	CE04: does not apply — The abstract provides enough information to assess relevance.
Decision: Exclude, because CE03 applies: it is a secondary study, even though the inclusion criteria are otherwise met.</t>
  </si>
  <si>
    <t>**Score: 0**
**Justification:**
* **CI01: MET** — "Business process management (BPM)" and "BPM" are explicitly and repeatedly referenced: *"business process management (BPM) strategies," "BPM strategies anchored in digital innovations," "BPM organizational strategies," "BPM aligned with the demands of a digital age."*
* **CI02: MET** — "Digital innovations" is the central concept alongside BPM, explicitly and consistently mentioned: *"digital innovations on BPM," "anchored in digital innovations," "digital needs," "digital age society."*
* **CI03: NOT MET** — No specific technology from the exemplified list (AI, RPA, process mining, big data, blockchain, IoT, software systems) is explicitly named or applied. The study refers to "digital innovations" as a broad category without identifying specific technologies. Per the evaluation rules, if a criterion is not clearly supported, it must be considered not met.
* **CI04: MET** — The study conducts bibliometric analysis of 238 papers and a systematic literature review of 15 selected papers, developing an eight-strand framework — constituting a structured methodological analysis with a deliverable framework.
* **CI05: MET** — The title and abstract are written in English.
* **CE03: APPLIES** — This is unambiguously a secondary study. The title itself states *"a bibliometric and systematic literature review,"* and the abstract confirms: *"a bibliometric and systematic literature review (SLR)"* on 238 papers over 10 years, combined with a systematic literature review of 15 selected papers. Both methods are explicitly listed in CE03 as exclusion types.
---
**Summary:** CE03 applies unambiguously — the study is explicitly a bibliometric and systematic literature review, both of which are secondary study types. Additionally, CI03 is not met. Multiple disqualifying conditions are present. The study is therefore **excluded**.</t>
  </si>
  <si>
    <r>
      <rPr>
        <rFont val="Helvetica Neue"/>
        <color rgb="FF1155CC"/>
        <u/>
      </rPr>
      <t>https://doi.org/10.1108/BPMJ-12-2023-0974</t>
    </r>
  </si>
  <si>
    <t>This study aims to perform a bibliometric and systematic literature review (SLR) to elucidate the current landscape and to propose a framework that defines and explores research strands to guide the formulation of business process management (BPM) strategies anchored in digital innovations.A bibliometric analysis of 238 papers from the last 10 years (2014–2023) that were correlated to BPM strategies and digital innovations was conducted. Additionally, a SLR was performed on 15 selected papers, making it possible to propose a framework that explored research strands through the content analysis.A framework comprising eight research strands (value creation; ambidexterity; governance; agility in processes; strategic process management; external context and culture and integrated systems) was developed. It proposes a research agenda and provides valuable insights as a reference for formulating BPM organizational strategies anchored in digital innovations.This study acknowledges the limitation of utilizing a single software for bibliometric analysis. The framework developed in this study has not yet been validated.This paper provides insights to assist managers in comprehending BPM strategies anchored in digital innovations and calls for organizations to prepare for future digital needs.This paper contributes to advancing our understanding of BPM aligned with the demands of a digital age society.The developed framework sheds light on the current landscape and research strands that explore the association between digital innovations and BPM strategies. This provides a valuable opportunity for future qualitative and quantitative studies to explore the eight research strands presented in the framework.</t>
  </si>
  <si>
    <t>Score: 0
Justification:
	•	CI01: not met — The abstract mentions “process controls” and “People, Process and Technology,” but it does not explicitly mention “Business Process Management” or “BPM.”
	•	CI02: met — The study addresses Industry 4.0/Quality 4.0, which is connected to digital transformation in industrial quality management.
	•	CI03: met — The abstract explicitly mentions technologies such as automatic process controls, Intelligent Internet of Things (IIOTs), and robotics process automation.
	•	CI04: met — The study proposes a Quality 4.0 framework and applies an integrated ANP-QFD methodology to prioritize requirements.
	•	CI05: met — The title and abstract are written in English.
CE01–CE04:
	•	CE01: applies for this review — The study is related to digital technologies and industrial process improvement, but it is not explicitly related to BPM/Business Process Management, which is mandatory.
	•	CE02: does not apply — It is clearly related to an organizational/business/industrial context, specifically the electronics sector.
	•	CE03: does not apply — It is not presented as a secondary study; it proposes and applies a framework/methodology.
	•	CE04: does not apply — The abstract provides enough information to assess relevance.
Decision: Exclude, because CI01 is not met.</t>
  </si>
  <si>
    <t>**Score: 0**
**Justification:**
* **CI01: NOT MET** — Neither "Business Process Management" nor "BPM" appears anywhere in the title or abstract. The study focuses on Quality 4.0 implementation in the electronics sector using ANP and QFD methodologies, with no reference to BPM concepts or terminology.
* **CI02: NOT MET** — The terms "digital transformation," "digitalization," and "digital innovation" do not appear explicitly in the title or abstract. The study references "Industry 4.0" and "Quality 4.0," which are related frameworks but do not constitute explicit use of the required terminology. Per the evaluation rules, if a criterion is not clearly supported, it must be considered not met.
* **CI03: MET** — Two specific technologies from the exemplified list are explicitly named: *"Intelligent Internet of Things (IIOTs)"* (IoT) and *"robotics process automation"* (RPA), both identified as significant design requirements in the Quality 4.0 framework.
* **CI04: MET** — The study develops a Quality 4.0 framework with 9 Customer Requirements and 18 Design Requirements, applying an integrated ANP-QFD methodology — constituting a framework development with applied methodological analysis.
* **CI05: MET** — The title and abstract are written in English.
* **CE01–CE04: No exclusion criteria apply** — The study addresses technologies including IoT and RPA (CE01); it is grounded in an industrial/organizational context in the electronics sector (CE02); it is a primary study, not a secondary review (CE03); the abstract provides sufficient information for evaluation (CE04).
---
**Summary:** The study fails CI01 and CI02 — BPM is not mentioned, and digital transformation/digitalization/digital innovation terminology is absent. Two unmet inclusion criteria independently disqualify it. The study is therefore **excluded**.</t>
  </si>
  <si>
    <t>Nisha, G.R.; Ravi, V.</t>
  </si>
  <si>
    <t>Implementation of Quality 4.0 framework in the electronics sector using ANP and QFD methodologies</t>
  </si>
  <si>
    <r>
      <rPr>
        <rFont val="Helvetica Neue"/>
        <color rgb="FF1155CC"/>
        <u/>
      </rPr>
      <t>https://doi.org/10.1108/IJQRM-07-2023-0234</t>
    </r>
  </si>
  <si>
    <t>1041-1080</t>
  </si>
  <si>
    <t>Quality 4.0 is essential to the Industry 4.0 framework, notably in the electronics sector. It evaluates product quality in real-time using automatic process controls, quality tools and procedures. The implementation of Quality 4.0 criteria in the electronics industry is the subject of this study’s investigation and analysis. In this study, nine Customer Requirements (CRs) and 18 Design Requirements (DRs) have been defined to adopt Quality 4.0, aiming to increase yield while reducing defects. This study has developed a Quality 4.0 framework for effective implementation, incorporating the People, Process and Technology categories.Many CRs and DRs of Quality 4.0 exhibit interdependencies. The Analytic Network Process (ANP) considers interdependencies among the criteria at various levels. Quality Function Deployment (QFD) can capture the customer’s voice, which is particularly important in Quality 4.0. Therefore, in this research, we use an integrated ANP-QFD methodology for prioritizing DRs based on the customers' needs and preferences, ultimately leading to better product and service development.According to the research findings, the most critical consumer criteria for Quality 4.0 in the electronics sector are automatic systems, connectivity, compliance and leadership. The Intelligent Internet of Things (IIOTs) has emerged as the most significant design requirement that enables effective control in production. It is observed that robotics process automation and a workforce aligned with Quality 4.0 also play crucial roles.Existing literature does not include studies on identifying CRs and DRs for implementing Quality 4.0 in the electronics industry. To address this gap, we propose a framework to integrate real-time quality measures into the Industry 4.0 context, thereby facilitating the implementation of Quality 4.0 in the electronics industry. This study can provide valuable insights for industry practitioners to implement Quality 4.0 effectively in their organizations.</t>
  </si>
  <si>
    <t>10.1108/IJQRM-07-2023-0234</t>
  </si>
  <si>
    <t>Score: 1
Justification:
	•	CI01: met — The title and abstract explicitly mention “business process management (BPM)” several times.
	•	CI02: met — The study directly addresses digitalization, especially the “interplay between BPM and digitalization.”
	•	CI03: met — The abstract explicitly mentions digital technologies, including “modern digital technologies” and “digital technology.”
	•	CI04: met — The study presents an empirical questionnaire-based survey with 104 respondents and proposes six design principles for the interaction between BPM and digitalization.
	•	CI05: met — The title and abstract are written in English.
CE01–CE04:
	•	CE01: does not apply — The study is directly related to BPM, digitalization, and digital technologies.
	•	CE02: does not apply — It is clearly related to an organizational/business context, focusing on BPM and digitalization in organizations.
	•	CE03: does not apply — It is not a secondary study; it reports a questionnaire-based empirical investigation.
	•	CE04: does not apply — The abstract provides enough information to assess relevance.
Decision: Include, because all inclusion criteria are met and no exclusion criterion applies.</t>
  </si>
  <si>
    <t>**Score: 0**
**Justification:**
* **CI01: MET** — "Business process management (BPM)" and "BPM" are explicitly and extensively referenced throughout: *"business process management (BPM) and digitalization," "experts in BPM," "six core elements of BPM," "BPM practices," "interplay of BPM and digitalization."*
* **CI02: MET** — "Digitalization" is the central co-concept of the entire study, consistently and explicitly used: *"BPM and digitalization," "digitalization was seen as influencing how BPM is practiced," "digitalization outcomes," "digitalization of business processes."*
* **CI03: NOT MET** — No specific technology from the exemplified list (AI, RPA, process mining, big data, blockchain, IoT, software systems) is explicitly named or applied. The abstract refers to "digital technologies" and "modern digital technologies" only in general terms (*"innovate its operations and services with digital technology," "modern digital technologies may trigger organizational and social changes"*), which are insufficiently specific to satisfy this criterion. Per the evaluation rules, if a criterion is not clearly supported, it must be considered not met.
* **CI04: MET** — The study employs a questionnaire-based survey involving 104 expert respondents in BPM and digitalization, and produces six design principles for their interplay — constituting an empirical analysis with a resulting framework.
* **CI05: MET** — The title and abstract are written in English.
* **CE01–CE04: No exclusion criteria apply** — The study directly addresses BPM and digitalization (CE01); it is grounded in an organizational context involving Norwegian companies (CE02); it is a primary empirical study using a survey, not a secondary review (CE03); the abstract provides sufficient information for evaluation (CE04).
---
**Summary:** Despite meeting CI01, CI02, CI04, and CI05, the study fails CI03 — no specific named technology is explicitly mentioned or applied. References to "digital technologies" and "modern digital technologies" remain too generic to satisfy the requirement. The study is therefore **excluded**.</t>
  </si>
  <si>
    <r>
      <rPr>
        <rFont val="Helvetica Neue"/>
        <color rgb="FF1155CC"/>
        <u/>
      </rPr>
      <t>https://doi.org/10.1108/BPMJ-02-2024-0083</t>
    </r>
  </si>
  <si>
    <t>This study investigated the interplay between business process management (BPM) and digitalization in organizations and developed principles for designing their interaction.This study was explorative and used a questionnaire-based survey that involved experts in BPM and digitalization who were actively engaged in these two domains in their organizations to come up with the design principles. The survey and the design principles were based on Rosemann and vom Brocke's (2010) six core elements of BPM.Digitalization was seen as influencing how BPM is practiced in organizations by strengthening organizations’ focus on BPM, and conversely, BPM was perceived as beneficial for digitalization and digitalization outcomes. In addition, based on Rosemann and vom Brocke’s six core elements of BPM, we proposed six principles for designing the interplay of BPM and digitalization in organizations.Our empirical investigation was situated in a Norwegian context and included 104 respondents. While we have no reason to believe that our findings should not be valid and useful in other regions, this is a limitation in generalizing our findings, and a natural follow-up would be to investigate our research questions in other geographical areas. We are also aware of the potential response bias in our sample. Moreover, to outline the principles for designing the interactions of BPM and digitalization, we applied the six core elements of BPM by Rosemann and vom Brocke (2010) as our theoretical lens. We acknowledge that there are more issues related to the interplay of BPM and digitalization than we have dealt with in this study.This study has several implications for organizations. First, managers may use our proposed design principles to decide how to integrate BPM and digitalization. Second, although this study showed that each discipline nurtures its own culture, building an organizational culture that combines values from each discipline can enable a process-oriented organization to innovate its operations and services with digital technology. Third, managers should align the responsibilities and tasks of process owners with the demands for the digitalization of business processes. Fourth, managers, when integrating BPM and digitalization, should take care not to impede the generative attributes of each discipline.Processes and digital technologies play important roles in society at all levels. BPM seeks to understand how processes unfold and explores how new practices may better serve individuals, organizations and society (vom Brocke et al., 2021), while digitalization is concerned with how various kinds of modern digital technologies may trigger organizational and social changes (Markus and Rowe, 2023; Suri and Jack, 2016).This study is one of the first studies to investigate the interplay between BPM and digitalization – how digitalization affects BPM practices in organizations and how BPM influences digitalization outcomes. In addition, this study offers novel principles for designing the interaction between BPM and digitalization.</t>
  </si>
  <si>
    <t>Score: 0
Justification:
	•	CI01: met — The title and abstract explicitly mention “business process management (BPM)” and BPM articles.
	•	CI02: met — The abstract identifies Digital Transformation as an emerging trend in BPM and discusses technological advancements in BPM.
	•	CI03: met — The abstract explicitly mentions technologies such as Artificial Intelligence and IoT.
	•	CI04: met — The study presents a bibliometric analysis of 729 BPM articles using SCOPUS and VOSviewer.
	•	CI05: met — The title and abstract are written in English.
CE01–CE04:
	•	CE01: does not apply — The study is directly related to BPM, digital transformation, technologies, and business literature.
	•	CE02: does not apply — It is clearly related to a management/business context.
	•	CE03: applies — The study is a secondary study, specifically a “comprehensive bibliometric analysis” of existing literature.
	•	CE04: does not apply — The abstract provides enough information to assess relevance.
Decision: Exclude, because CE03 applies: it is a bibliometric/secondary study, even though the inclusion criteria are otherwise met.</t>
  </si>
  <si>
    <t>**Score: 0**
**Justification:**
* **CI01: MET** — "Business process management (BPM)" and "BPM" are explicitly and repeatedly referenced throughout: *"business process management (BPM)," "trends in BPM," "BPM articles," "integration of emerging technologies in BPM."*
* **CI02: MET** — "Digital Transformation" is explicitly identified as a significant emerging trend: *"Significant emerging trends identified include Strategic Management, Digital Transformation, and IoT."*
* **CI03: MET** — Artificial Intelligence and IoT are explicitly named: *"the significant benefits of integrating technologies like Artificial Intelligence and IoT in BPM"* and IoT is identified as a key emerging trend.
* **CI04: MET** — The study conducts a structured bibliometric analysis of 729 BPM articles using SCOPUS and VOSviewer, mapping scholarly trends over six decades — constituting a methodologically defined empirical analysis.
* **CI05: MET** — The title and abstract are written in English.
* **CE03: APPLIES** — Despite meeting all five inclusion criteria, this is unambiguously a secondary study. The title explicitly states *"a comprehensive bibliometric analysis,"* and the abstract confirms: *"We conducted a bibliometric analysis of 729 BPM articles from management and business journals using the SCOPUS database."* Bibliometric analysis is a form of mapping/secondary study explicitly covered by CE03, as it analyzes and maps existing scientific literature rather than generating primary empirical data.
---
**Summary:** CE03 applies unambiguously — the study is a comprehensive bibliometric analysis of existing literature, which is a secondary study type explicitly listed in CE03. Despite meeting all inclusion criteria, this single exclusion criterion disqualifies it. The study is therefore **excluded**.</t>
  </si>
  <si>
    <r>
      <rPr>
        <rFont val="Helvetica Neue"/>
        <color rgb="FF1155CC"/>
        <u/>
      </rPr>
      <t>https://doi.org/10.1108/BPMJ-10-2023-0771</t>
    </r>
  </si>
  <si>
    <t>This study aims to analyze international scientific production from 1960 to 2023 on business process management (BPM), highlighting the latest trends in BPM in the field of management and business during the 21st century.We conducted a bibliometric analysis of 729 BPM articles from management and business journals using the SCOPUS database and VOSviewer software to map the scholarly landscape.Nearly 45% of the papers were published between 2018 and 2023, prominently featuring the Business Process Management Journal. The University of São Paulo and Queensland University of Technology were the most prolific institutions. Significant emerging trends identified include Strategic Management, Digital Transformation, and IoT. Author Röglinger was noted for the highest publication rate.The analysis was restricted to journal articles from one database, potentially overlooking insights from conferences, books, and other formats.The study highlights the significant benefits of integrating technologies like Artificial Intelligence and IoT in BPM, improving operational efficiency, competitiveness, and innovation in adaptability and service personalization.Technological advancements in BPM could enhance employment, require new skills, support a sustainable economy, and improve organizational transparency and service accessibility, bolstering corporate social responsibility and inclusion.This research offers a unique overview of the integration of emerging technologies in BPM, shedding light on their strategic and social implications, and providing critical insights for optimizing processes and fostering business innovation.</t>
  </si>
  <si>
    <t>Score: 1
Justification:
	•	CI01: met — The abstract explicitly mentions “Business Process Management” as a research field supporting the study.
	•	CI02: met — The study clearly addresses digital innovation, digitalization, and digital transformation, especially in the public sector.
	•	CI03: met — It explicitly mentions process mining (PM) as a technology/technique used to analyze and improve processes.
	•	CI04: met — The study presents an empirical questionnaire-based analysis with Italian civil servants, using descriptive and quantitative analysis.
	•	CI05: met — The title and abstract are written in English.
CE01–CE04:
	•	CE01: does not apply — The study is directly related to BPM, process mining, digital innovation, and digital transformation.
	•	CE02: does not apply — It is related to an organizational context, specifically public sector organizations.
	•	CE03: does not apply — It is not a secondary study; it collects questionnaire data from civil servants.
	•	CE04: does not apply — The abstract provides enough information to assess relevance.
Decision: Include, because all inclusion criteria are met and no exclusion criterion applies.</t>
  </si>
  <si>
    <t>**Score: 1**
**Justification:**
* **CI01: MET** — "Business Process Management" is explicitly referenced as a research field underpinning the study: *"Based on Business Process Management and digital innovation fields of research."*
* **CI02: MET** — Digital transformation, digitalization, and digital innovation are all explicitly mentioned: *"PM potential to enhance public sector digital transformation," "digital innovation fields of research," "public sector digitalization and digital transformation," "PM could be the missing link between public sector digitalization and digital transformation."*
* **CI03: MET** — Process mining (PM) is the central technology under investigation, explicitly named and described: *"Process mining (PM) techniques enable organizations to objectively analyse and improve their processes."* Process mining is one of the technologies explicitly listed in CI03.
* **CI04: MET** — The study administers a questionnaire to Italian civil servants across public organizations, conducts a three-level analysis combining descriptive and quantitative methods — constituting a clear empirical analysis.
* **CI05: MET** — The title and abstract are written in English.
* **CE01: Does not apply** — The study directly addresses BPM, digital transformation, and process mining.
* **CE02: Does not apply** — The study is set within a public sector organizational context.
* **CE03: Does not apply** — This is a primary empirical study using a questionnaire survey, not a secondary review.
* **CE04: Does not apply** — The abstract provides sufficient information for evaluation.
---
**Summary:** All five inclusion criteria are clearly and explicitly met, and no exclusion criteria apply. The study is **included**.</t>
  </si>
  <si>
    <r>
      <rPr>
        <rFont val="Helvetica Neue"/>
        <color rgb="FF1155CC"/>
        <u/>
      </rPr>
      <t>https://doi.org/10.1108/EJIM-10-2023-0887</t>
    </r>
  </si>
  <si>
    <t>Worldwide challenges impose public organizations to rethink their processes and satisfactorily meet citizens’ needs. Process mining (PM) techniques enable organizations to objectively analyse and improve their processes, by providing higher process transparency and efficiency. However, extant literature on PM applications in the public sector reveals there is still limited evidence on the opportunities and challenges perceived from PM introduction in the public sector, and on PM potential to enhance public sector digital transformation: this study aims to fill these gaps.Based on Business Process Management and digital innovation fields of research, we administered a questionnaire to a sample of Italian civil servants working in different public organizations to investigate their perceptions of PM opportunities and challenges and the extent to which it can support public sector digital transformation. A three-level analysis was conducted to inspect findings with different levels of granularity, and results were analysed both descriptively and quantitatively.We found a positive attitude towards PM introduction in the public sector, and perceived opportunities and challenges related to both the technical and the social systems. The triangulation between close-ended and open-ended questions suggests that PM could be the missing link between public sector digitalization and digital transformation. These findings can be used by policymakers to develop the best strategies to introduce PM into public organizations and support its adoption, and by researchers to further explore PM role in public sector digital transformation.Despite PM claiming to push digital transformation, it is not clear if it is also true for public sector organizations. This paper addresses this gap and it is among the first attempts to explore PM from civil servants’ viewpoint to investigate their perceptions of PM opportunities and challenges, as well as the variables that influence these perceptions.</t>
  </si>
  <si>
    <t>Score: 0
Justification:
	•	CI01: not met — The abstract mentions “processes” and “four process stages,” but it does not explicitly mention “Business Process Management” or “BPM.”
	•	CI02: met — The study addresses digital strategy and business transformation, especially in “formulating business digital strategies” and “organizational and technological strategies.”
	•	CI03: met — It explicitly discusses the integration of business and technology management, including organization, processes, and technology.
	•	CI04: met — The study presents an action design research cycle and reports the application/evaluation of BTM in a medium-sized tourism company.
	•	CI05: met — The title and abstract are written in English.
CE01–CE04:
	•	CE01: applies for this review — The study is related to digital strategy, technology management, and organizational processes, but it is not explicitly related to BPM/Business Process Management, which is mandatory.
	•	CE02: does not apply — It is clearly related to a business/organizational context, including a medium-sized company in the tourism sector.
	•	CE03: does not apply — It is not a secondary study; it follows action design research and reports empirical application.
	•	CE04: does not apply — The abstract provides enough information to assess relevance.
Decision: Exclude, because CI01 is not met.</t>
  </si>
  <si>
    <t>**Score: 0**
**Justification:**
* **CI01: NOT MET** — Neither "Business Process Management" nor "BPM" appears anywhere in the title or abstract. The study focuses on "Business and Technology Management (BTM)," which is a distinct management practice. While BTM addresses "organization, processes and technology," this does not constitute explicit mention of BPM or "Business Process Management."
* **CI02: NOT MET** — The terms "digital transformation," "digitalization," and "digital innovation" do not appear explicitly in the title or abstract. The abstract refers to *"business digital strategies"* and *"business transformation,"* but neither constitutes the required terminology. "Business digital strategies" contains the word "digital" but is not equivalent to "digital transformation" or "digitalization." Per the evaluation rules, if a criterion is not clearly supported, it must be considered not met.
* **CI03: NOT MET** — No specific technology from the exemplified list (AI, RPA, process mining, big data, blockchain, IoT, software systems) is explicitly named or applied. The abstract refers generically to "technology" and "technological strategies" as components of BTM, without naming any specific technology.
* **CI04: MET** — The study follows action design research guidelines combining design science research and action research, applying BTM in a medium-sized tourism company and producing an improved four-stage management practice — constituting both an empirical application and a methodological framework.
* **CI05: MET** — The title and abstract are written in English.
* **CE01–CE04: No exclusion criteria apply** — The study involves technology and organizational strategy (CE01); it is set within a business/organizational context (CE02); it is a primary empirical study, not a secondary review (CE03); the abstract provides sufficient information for evaluation (CE04).
---
**Summary:** The study fails CI01, CI02, and CI03 — BPM is not mentioned, digital transformation terminology is absent, and no specific technology is named. Three unmet inclusion criteria independently disqualify it. The study is therefore **excluded**.</t>
  </si>
  <si>
    <r>
      <rPr>
        <rFont val="Helvetica Neue"/>
        <color rgb="FF1155CC"/>
        <u/>
      </rPr>
      <t>https://doi.org/10.1108/BPMJ-08-2022-0383</t>
    </r>
  </si>
  <si>
    <t>The paper reports a study that evaluated the effectiveness and usefulness of Business and Technology Management (BTM), a management practice for formulating business digital strategies that address organization, processes and technology in an integrative way.The research followed action design research guidelines that combine the methodological principles of design science research and action research.Evidence from the study confirmed the adequacy and usefulness of BTM as a solution to an old management problem of internal fit, synergies, alignment or strategic integration. It also led to an improvement in its way of working, namely, a management practice with four process stages: (1) define trade objectives, (2) design an integrated business model, (3) manage the business transformation and execution and (4) evaluate the results obtained.The study exemplifies how practice research can be used within a long-term research pursuit to provide empirical evidence that permits evaluating and improving a research-originated management approach.Being a theory-for-action, BTM has direct relevance for managers engaged in defining organizational and technological strategies connected with business results. The paper discloses an improved version of BTM together with a description of its application in a medium-sized company operating in the tourism sector.BTM addresses a recurrent issue raised by researchers and practitioners concerning a failure to bring different management perspectives together when formulating a strategy. Therefore, its value lies in its ability to assist in the integration of management perspectives into business development initiatives.</t>
  </si>
  <si>
    <t>Score: 0
Justification:
	•	CI01: not met — The title and abstract do not explicitly mention “Business Process Management” or “BPM.”
	•	CI02: not met — The study discusses knowledge management, organizational ambidexterity, and technological uncertainty, but it does not clearly address digital transformation, digitalization, or digital innovation.
	•	CI03: not met — The abstract mentions “technological uncertainty,” but it does not explicitly mention or apply a specific technology, digital tool, software system, or technological solution.
	•	CI04: met — The study presents an empirical quantitative survey and uses Structural Equation Modeling using Partial Least Square.
	•	CI05: met — The title and abstract are written in English.
CE01–CE04:
	•	CE01: applies — The study is about knowledge management, organizational ambidexterity, and performance, but it is not explicitly related to BPM, digital transformation, or specific technologies.
	•	CE02: does not apply — It is clearly related to an organizational/business context, focusing on Indonesian SMEs.
	•	CE03: does not apply — It is not a secondary study; it reports survey-based empirical research.
	•	CE04: does not apply — The abstract provides enough information to assess relevance.
Decision: Exclude, because CI01, CI02, and CI03 are not met.</t>
  </si>
  <si>
    <t>**Score: 0**
**Justification:**
* **CI01: NOT MET** — Neither "Business Process Management" nor "BPM" appears anywhere in the title or abstract. The study focuses on knowledge management, organizational ambidexterity, and organizational performance in Indonesian SMEs, with no reference to BPM concepts or terminology.
* **CI02: NOT MET** — The terms "digital transformation," "digitalization," and "digital innovation" are entirely absent from the title and abstract. The study references "technological uncertainty" as one of three uncertainty types, but this is a strategic management construct, not a reference to digital transformation or digitalization.
* **CI03: NOT MET** — No specific technology from the exemplified list (AI, RPA, process mining, big data, blockchain, IoT, software systems) is explicitly named or applied. "Technological uncertainty" is a generic strategic variable, not a reference to a specific technology.
* **CI04: MET** — The study employs a quantitative survey with PLS-SEM on a sample of Indonesian SMEs, testing relationships between knowledge management, organizational ambidexterity, uncertainty types, and performance — constituting a clear empirical analysis.
* **CI05: MET** — The title and abstract are written in English.
* **CE01–CE04: No exclusion criteria apply** — The study involves an organizational/business context (CE02); it is a primary empirical study, not a secondary review (CE03); the abstract provides sufficient information for evaluation (CE04). However, CE01 is borderline since the study is unrelated to BPM, digital transformation, or named technologies — though the "or technologies" clause is weakly met by the general mention of technological uncertainty.
---
**Summary:** The study fails CI01, CI02, and CI03 — BPM is absent, digital transformation terminology is not used, and no specific technology is named. Three unmet inclusion criteria independently disqualify it. The study is therefore **excluded**.</t>
  </si>
  <si>
    <t>Restuputri, Dian Palupi; Masudin, Ilyas; Septira, Auraria Putri; Govindan, Kannan; Widayat, Widayat</t>
  </si>
  <si>
    <t>The role of knowledge management to improve organizational performance through organizational ambidexterity within the uncertainties</t>
  </si>
  <si>
    <r>
      <rPr>
        <rFont val="Helvetica Neue"/>
        <color rgb="FF1155CC"/>
        <u/>
      </rPr>
      <t>https://doi.org/10.1108/BPMJ-08-2023-0614</t>
    </r>
  </si>
  <si>
    <t>2237-2282</t>
  </si>
  <si>
    <t>This study highlights the significance of knowledge management in the relationship between organizational ambidexterity and organizational performance within the context of Indonesian SMEs.The study adopts a quantitative research approach, employing a survey questionnaire to collect data from a sample of SMEs operating in Indonesia. Structural Equation Modeling using Partial Least Square is used to investigate the relationship between variables.The findings of this study show that in the context of small and medium enterprises, the variables of environmental and technological uncertainty are not driving factors in organizational ambidexterity. In contrast, market uncertainty has a significant effect on organizational ambidexterity. Moreover, it is also found that knowledge management does not support the variables of environmental, market, and technological uncertainty on organizational ambidexterity in small and medium enterprises. The results show that knowledge management plays a significant role in organizational ambidexterity. It also shows that knowledge management could support a significant way between organizational ambidexterity and organizational performance.The findings of this study give insights for SMEs to attain a sustainable competitive edge in a dynamic business landscape by implementing efficient knowledge management techniques that bolster their ambidextrous capacities.</t>
  </si>
  <si>
    <t>10.1108/BPMJ-08-2023-0614</t>
  </si>
  <si>
    <t>Score: 1
Justification:
	•	CI01: met — The title explicitly mentions “BPM”, and the abstract mentions “Business Process Management methodology” and “Business Process Management System.”
	•	CI02: met — The study clearly addresses digitalization, especially “care process redesign and digitalization,” “Care Pathways digitalization,” and a “wider digital ecosystem.”
	•	CI03: met — The abstract explicitly mentions technologies such as telemedicine, e-health technologies, digital health, ICT systems and devices, and an integrated IT system.
	•	CI04: met — The study presents and applies an innovative model/framework, TALIsMAn, for care process redesign and digitalization.
	•	CI05: met — The title and abstract are written in English.
CE01–CE04:
	•	CE01: does not apply — The study is directly related to BPM, digitalization, telemedicine, and technological solutions.
	•	CE02: does not apply — It is related to an organizational context in healthcare, focusing on care pathways, organizational processes, actors, responsibilities, and integrated systems.
	•	CE03: does not apply — It is not a secondary study; it presents an applied framework/model in the Italian TALIsMAn project.
	•	CE04: does not apply — The abstract provides enough information to assess relevance.
Decision: Include, because all inclusion criteria are met and no exclusion criterion applies.</t>
  </si>
  <si>
    <t>**Score: 1**
**Justification:**
* **CI01: MET** — "Business Process Management" is explicitly named as a methodology and system: *"a Business Process Management methodology implementation"* and *"Business Process Management System."*
* **CI02: MET** — "Digitalization" is explicitly and repeatedly referenced: *"care process redesign and digitalization," "Care Pathways (CPs) digitalization," "digitalization of CPs supported by Business Process Management System."*
* **CI03: MET** — Multiple technologies are explicitly named: a "Business Process Management System" (software system), *"e-health technologies," "Information and Communication Technology (ICT) systems,"* and *"telemedicine services"* with *"advanced devices and technologies."* These qualify under the "software systems" and ICT categories referenced in CI03.
* **CI04: MET** — The study defines a novel methodological framework (TALIsMAn), applies a BPM methodology to care pathway redesign, and implements it within an Italian research project — constituting both a framework and an empirical application.
* **CI05: MET** — The title and abstract are written in English.
* **CE01: Does not apply** — The study directly addresses BPM, digitalization, and named technologies.
* **CE02: Does not apply** — The study is grounded in an organizational context (Italian healthcare organizations managing chronic care pathways).
* **CE03: Does not apply** — This is a primary study presenting an original framework and its real-world application, not a secondary review.
* **CE04: Does not apply** — The abstract provides sufficient information for evaluation.
---
**Summary:** All five inclusion criteria are clearly and explicitly met, and no exclusion criteria apply. The study is **included**.</t>
  </si>
  <si>
    <r>
      <rPr>
        <rFont val="Helvetica Neue"/>
        <color rgb="FF1155CC"/>
        <u/>
      </rPr>
      <t>https://doi.org/10.1108/BPMJ-08-2022-0378</t>
    </r>
  </si>
  <si>
    <t>The future increase of chronic diseases in the world requires new challenges in the health domain to improve patients' care from the point of view of the organizational processes, clinical pathways and technological solutions of digital health. For this reason, the present paper aims to focus on the study and application of well-known clinical practices and efficient organizational approaches through an innovative model (TALIsMAn) to support new care process redesign and digitalization for chronic patients.In addition to specific clinical models employed to manage chronic conditions such as the Population Health Management and Chronic Care Model, we introduce a Business Process Management methodology implementation supported by a set of e-health technologies, in order to manage Care Pathways (CPs) digitalization and procedures improvement.This study shows that telemedicine services with advanced devices and technologies are not enough to provide significant changes in the healthcare sector if other key aspects such as health processes, organizational systems, interactions between actors and responsibilities are not considered and improved. Therefore, new clinical models and organizational approaches are necessary together with a deep technological change, otherwise, theoretical benefits given by telemedicine services, which often employ advanced Information and Communication Technology (ICT) systems and devices, may not be translated into effective enhancements. They are obtained not only through the implementation of single telemedicine services, but integrating them in a wider digital ecosystem, where clinicians are supported in different clinical steps they have to perform.The present work defines a novel methodological framework based on organizational, clinical and technological innovation, in order to redesign the territorial care for people with chronic diseases. This innovative ecosystem applied in the Italian research project TALIsMAn is based on the concept of a continuum of care and digitalization of CPs supported by Business Process Management System and telemedicine services. The main goal is to organize the different socio-medical activities in a unique and integrated IT system that should be sustainable, scalable and replicable.</t>
  </si>
  <si>
    <t>Score: 0
Justification:
	•	CI01: not met — The abstract uses “BPM” to mean “Business Process Mapping”, not Business Process Management. It mentions business processes and business process mapping, but does not explicitly mention “Business Process Management.”
	•	CI02: met — The study clearly addresses digital maturity and digitalization, including “advance digitalization” and “digitalizing business processes.”
	•	CI03: met — The study explicitly presents a digital tool, a graphical tool, SDLC principles, and a self-configuring database.
	•	CI04: met — The study presents the development of a new graphical tool/methodology for extracting, classifying, and mapping business activities.
	•	CI05: met — The title and abstract are written in English.
CE01–CE04:
	•	CE01: applies for this review — Although the study relates to digitalization, business processes, and technology, it does not explicitly mention Business Process Management/BPM in the required sense.
	•	CE02: does not apply — It is related to a business/organizational context, focusing on mapping business activities and business processes.
	•	CE03: does not apply — It is not presented as a secondary study.
	•	CE04: does not apply — The abstract provides enough information to assess relevance.
Decision: Exclude, because CI01 is not met.</t>
  </si>
  <si>
    <t>**Score: 0**
**Justification:**
* **CI01: NOT MET** — While the acronym "BPM" appears in the abstract, it is explicitly defined as *"Business Process Mapping (BPM)"* — not "Business Process Management." These are related but distinct concepts: Business Process Mapping is a specific technique, whereas Business Process Management is the broader discipline required by CI01. The full term "Business Process Management" does not appear anywhere in the title or abstract. Per the evaluation rules, this criterion is not clearly supported and must be considered not met.
* **CI02: MET** — "Digitalization" is explicitly referenced: *"In order to advance digitalization," "digitalizing business processes,"* and *"digital maturity"* appear throughout the abstract.
* **CI03: MET** — The study explicitly develops a digital software tool based on Software Development Life Cycle (SDLC) principles, featuring a *"self-configuring database"* — constituting a software system, which is among the exemplified technology types in CI03.
* **CI04: MET** — The study develops an original graphical digital tool for business activity extraction and classification, grounded in SDLC principles, and presents it as a novel solution — constituting a tool/framework development.
* **CI05: MET** — The title and abstract are written in English.
* **CE01–CE04: No exclusion criteria apply** — The study addresses digitalization and software systems (CE01); it is grounded in a business operational context (CE02); it is a primary development study, not a secondary review (CE03); the abstract provides sufficient information for evaluation (CE04).
---
**Summary:** The sole disqualifying factor is CI01 — "BPM" in this study explicitly stands for "Business Process Mapping," not "Business Process Management," and the full term "Business Process Management" is absent. This unmet criterion disqualifies the study. It is therefore **excluded**.</t>
  </si>
  <si>
    <r>
      <rPr>
        <rFont val="Helvetica Neue"/>
        <color rgb="FF1155CC"/>
        <u/>
      </rPr>
      <t>https://doi.org/10.1108/BPMJ-07-2023-0529</t>
    </r>
  </si>
  <si>
    <t>The advancement of digital maturity at a business level has proven to be challenging, with limited time, resources and skills in extracting and mapping business processes. In order to advance digitalization, the mapping of all business activities is essential. To close this gap, this research is aimed at enabling the operational level extraction and classification of business activities using a graphical methodology. This objective is accomplished through the development of a digital tool that leverages Software Development Life Cycle (SDLC) principles.This research is focused on facilitating rapid extraction of business activities with the adoption of a graphical methodology. Business activities are captured through a digital tool in a structured, interlinked and hierarchical manner.Notably, this work is novel as it introduces a new graphical tool to replace traditional tools in the domain of Business Process Mapping (BPM). This graphical tool is distinguished by a unique feature; that is a self-configuring database with the flexibility to capture all process options, providing innovative solutions to the challenges faced in digitalizing business processes.This work is original in that a new graphical interface is developed to replace traditional tools in the space of BP data gathering. The unique challenge of an auto configuring database with flexibility to capture all process options is presented.</t>
  </si>
  <si>
    <t>Score: 1
Justification:
	•	CI01: met — The title and abstract explicitly mention “BPM capabilities” and “Business Process Management (BPM) capabilities.”
	•	CI02: met — The study addresses digital transformation/digital maturity context through AI adoption, digital maturity, AI-enabled decision-making, process automation, and organizational performance. It also discusses how organizations realize value from AI investments.
	•	CI03: met — The study explicitly mentions artificial intelligence (AI), AI adoption, AI-enabled decision-making, and process automation.
	•	CI04: met — The study presents an empirical analysis using structural equation modelling with a sample of 448 organisations in the EU.
	•	CI05: met — The title and abstract are written in English.
CE01–CE04:
	•	CE01: does not apply — The study is directly related to BPM, AI adoption, business value, process automation, and organizational performance.
	•	CE02: does not apply — It is clearly related to an organizational/business context, focusing on companies/organizations and business value from AI.
	•	CE03: does not apply — It is not a secondary study; it reports primary empirical analysis.
	•	CE04: does not apply — The abstract provides enough information to assess relevance.
Decision: Include, because all inclusion criteria are met and no exclusion criterion applies.</t>
  </si>
  <si>
    <t>**Score: 0**
**Justification:**
* **CI01: MET** — "Business Process Management (BPM)" and "BPM" are explicitly and repeatedly referenced: *"Business Process Management (BPM) capabilities," "in a BPM setting," "BPM maturity," "BPM capabilities."*
* **CI02: NOT MET** — The terms "digital transformation," "digitalization," and "digital innovation" do not appear anywhere in the title or abstract. The abstract mentions *"digital maturity"* as a potential moderator, but this is a distinct construct and does not constitute explicit use of the required terminology. "Process innovation" is referenced as a mediator, but is not equivalent to "digital innovation" as a standalone concept. Per the evaluation rules, if a criterion is not clearly supported, it must be considered not met.
* **CI03: MET** — Artificial intelligence (AI) is the central technology under investigation, explicitly and extensively referenced: *"artificial intelligence (AI)," "AI adoption," "AI creates business value," "AI investments," "AI-enabled decision-making."*
* **CI04: MET** — The study applies structural equation modelling to validate a serial multiple mediation model using a sample of 448 EU-based organisations, empirically testing a comprehensive nomological network — constituting a rigorous empirical analysis.
* **CI05: MET** — The title and abstract are written in English.
* **CE01–CE04: No exclusion criteria apply** — The study directly addresses BPM and AI technology (CE01); it is grounded in an organizational context with 448 EU companies (CE02); it is a primary empirical study, not a secondary review (CE03); the abstract provides sufficient information for evaluation (CE04).
---
**Summary:** Despite strongly meeting CI01, CI03, CI04, and CI05, the study fails CI02 — "digital transformation," "digitalization," and "digital innovation" are all absent from the title and abstract. This single unmet criterion disqualifies the study. It is therefore **excluded**.</t>
  </si>
  <si>
    <t>Zebec, Aleš; Indihar Štemberger, Mojca</t>
  </si>
  <si>
    <t>Creating AI business value through BPM capabilities</t>
  </si>
  <si>
    <r>
      <rPr>
        <rFont val="Helvetica Neue"/>
        <color rgb="FF1155CC"/>
        <u/>
      </rPr>
      <t>https://doi.org/10.1108/BPMJ-07-2023-0566</t>
    </r>
  </si>
  <si>
    <t>Although businesses continue to take up artificial intelligence (AI), concerns remain that companies are not realising the full value of their investments. The study aims to provide insights into how AI creates business value by investigating the mediating role of Business Process Management (BPM) capabilities.The integrative model of IT Business Value was contextualised, and structural equation modelling was applied to validate the proposed serial multiple mediation model using a sample of 448 organisations based in the EU.The results validate the proposed serial multiple mediation model according to which AI adoption increases organisational performance through decision-making and business process performance. Process automation, organisational learning and process innovation are significant complementary partial mediators, thereby shedding light on how AI creates business value.In pursuing a complex nomological framework, multiple perspectives on realising business value from AI investments were incorporated. Several moderators presenting complementary organisational resources (e.g. culture, digital maturity, BPM maturity) could be included to identify behaviour in more complex relationships. The ethical and moral issues surrounding AI and its use could also be examined.The provided insights can help guide organisations towards the most promising AI activities of process automation with AI-enabled decision-making, organisational learning and process innovation to yield business value.While previous research assumed a moderated relationship, this study extends the growing literature on AI business value by empirically investigating a comprehensive nomological network that links AI adoption to organisational performance in a BPM setting.</t>
  </si>
  <si>
    <t>10.1108/BPMJ-07-2023-0566</t>
  </si>
  <si>
    <t>Score: 0
Justification:
	•	CI01: not met — The title and abstract do not explicitly mention “Business Process Management” or “BPM.”
	•	CI02: not met — The study discusses strategic agility, ambidexterity, HRM practices, and innovation, but it does not clearly address digital transformation, digitalization, or digital innovation.
	•	CI03: not met — Although one case organization is from the information technology industry, the abstract does not explicitly mention or apply a specific technology, digital tool, software system, or technological solution.
	•	CI04: met — The study presents an empirical qualitative case study analysis of two SMEs using semi-structured interviews and develops a conceptual framework.
	•	CI05: met — The title and abstract are written in English.
CE01–CE04:
	•	CE01: applies — The study is about leadership style, HRM practices, contextual ambidexterity, and strategic agility, but it is not explicitly related to BPM, digital transformation, or specific technologies.
	•	CE02: does not apply — It is clearly related to an organizational/business context, focusing on knowledge-intensive SMEs.
	•	CE03: does not apply — It is not a secondary study; it reports qualitative case study research.
	•	CE04: does not apply — The abstract provides enough information to assess relevance.
Decision: Exclude, because CI01, CI02, and CI03 are not met.</t>
  </si>
  <si>
    <t>**Score: 0**
**Justification:**
* **CI01: NOT MET** — Neither "Business Process Management" nor "BPM" appears anywhere in the title or abstract. The study focuses on ambidextrous leadership, HRM practices, and SME strategic agility, with no reference to BPM concepts or terminology.
* **CI02: NOT MET** — The terms "digital transformation," "digitalization," and "digital innovation" are entirely absent from the title and abstract. While one of the case organizations operates in India's information technology sector, this contextual detail does not constitute explicit use of the required digital terminology.
* **CI03: NOT MET** — No specific technology from the exemplified list (AI, RPA, process mining, big data, blockchain, IoT, software systems) is explicitly named or applied. The mention of "information technology" refers to an industry sector, not a specific technology under investigation.
* **CI04: MET** — The study presents an in-depth qualitative case study of two knowledge-intensive SMEs using semi-structured interviews and abductive two-staged analysis, resulting in a novel conceptual framework — constituting an empirical analysis with a theoretical contribution.
* **CI05: MET** — The title and abstract are written in English.
* **CE01–CE04: No exclusion criteria apply** — While CE01 is strongly relevant (the study is unrelated to BPM, digital transformation, or specific technologies), it does operate in an organizational/business context (CE02 does not apply); it is a primary case study, not a secondary review (CE03); the abstract provides sufficient information (CE04).
---
**Summary:** The study fails CI01, CI02, and CI03 — BPM, digital transformation terminology, and specific technologies are all absent. Three unmet inclusion criteria independently disqualify it. The study is therefore **excluded**.</t>
  </si>
  <si>
    <t>Malik, Ashish; Gupta, Jaya; Gugnani, Ritika; Shankar, Amit; Budhwar, Pawan</t>
  </si>
  <si>
    <t>Unlocking the relationship between ambidextrous leadership style and HRM practices in knowledge-intensive SMES</t>
  </si>
  <si>
    <r>
      <rPr>
        <rFont val="Helvetica Neue"/>
        <color rgb="FF1155CC"/>
        <u/>
      </rPr>
      <t>https://doi.org/10.1108/JKM-04-2023-0339</t>
    </r>
  </si>
  <si>
    <t>1366-1395</t>
  </si>
  <si>
    <t>This paper aims to explore the relationship between owner-manager or leader’s ambidextrous leadership style and its effect on human resource management (HRM) practices, contextual ambidexterity and knowledge-intensive small- and medium-enterprises (SMEs) strategic agility.This study presents an in-depth qualitative case study analysis of two knowledge-intensive SMEs from India’s information technology and health-care products industry serving a range of global clients. Using the theoretical lenses of empowerment-focused HRM practices, ambidextrous leaders, contextual ambidexterity and strategic agility, semi-structured interview data of leaders, managers and employees of the case organizations were analysed. Through a two-staged analytical process, we abductively developed a novel conceptual framework at the intersection of the above theoretical lenses.The findings suggest that the knowledge-intensive SME’s strategic agility, ambidexterity and empowerment-focussed HRM approach was influenced by the owner-manager or leader’s ambidextrous leadership style and their philosophy towards managing people and had a positive impact in creating a culture of trust, participation, risk-taking and openness, and led to delivering innovative products and services as well as several positive employee-level outcomes.Recent literature reviews on HRM In SMEs highlight several gaps, including the impact of owner-manager or leader’s philosophy of managing people in shaping HRM practices and employee outcomes. This paper thus adds to the existing literature on HRM and knowledge-intensive SMEs.</t>
  </si>
  <si>
    <t>10.1108/JKM-04-2023-0339</t>
  </si>
  <si>
    <t>Score: 1
Justification:
        •        CI01: met — The title and abstract explicitly mention “business processes management” and “business process management method.”
        •        CI02: met — The study directly addresses digitalization and digital transformation, including “digitalization is affecting business management” and “realize the company digital transformation.”
        •        CI03: met — The abstract explicitly mentions digital tools and digitalization investments.
        •        CI04: met — The study presents an empirical analysis with a sample of Italian SMEs, using binomial tests, zeta test, and PLS-SEM.
        •        CI05: met — The title and abstract are written in English.
CE01–CE04:
        •        CE01: does not apply — The study is directly related to BPM, digitalization, digital tools, and business performance.
        •        CE02: does not apply — It is clearly in an organizational/business context, focusing on SMEs and business processes.
        •        CE03: does not apply — It is not a secondary study; it reports empirical analysis of Italian SMEs.
        •        CE04: does not apply — The abstract provides enough information to assess relevance.
Decision: Include, because all inclusion criteria are met and no exclusion criterion applies.</t>
  </si>
  <si>
    <t>**Score: 0**
**Justification:**
* **CI01: MET** — "Business process management" is explicitly referenced throughout: *"business process management method," "business process management and IC," "business processes management as a tool,"* and the title itself contains "Business processes management."
* **CI02: MET** — "Digitalization" and "digital transformation" are explicitly and repeatedly used: *"Digitalization is affecting business management," "digitalization needs to be amalgamated in business practices," "company digital transformation," "digitalization, business process management and IC."*
* **CI03: NOT MET** — No specific technology from the exemplified list (AI, RPA, process mining, big data, blockchain, IoT, software systems) is explicitly named or applied. The abstract refers repeatedly to "digital tools" and their adoption, but this is a generic category without naming any particular technology. Per the evaluation rules, if a criterion is not clearly supported by explicit evidence, it must be considered not met.
* **CI04: MET** — The study applies binomial tests, zeta tests, and PLS-SEM on a sample of Italian SMEs, exploring the relationship between digital tools, business processes, and intellectual capital — constituting a clear empirical analysis.
* **CI05: MET** — The title and abstract are written in English.
* **CE01–CE04: No exclusion criteria apply** — The study directly addresses BPM and digitalization (CE01); it is grounded in a business context of Italian SMEs (CE02); it is a primary empirical study, not a secondary review (CE03); the abstract provides sufficient information for evaluation (CE04).
---
**Summary:** Despite meeting CI01, CI02, CI04, and CI05, the study fails CI03 — no specific technology (AI, RPA, process mining, big data, blockchain, IoT, software systems) is explicitly named. References to "digital tools" remain too generic to satisfy this requirement. The study is therefore **excluded**.</t>
  </si>
  <si>
    <t>Broccardo, Laura; Vola, Paola; Alshibani, Safiya Mukhtar; Tiscini, Riccardo</t>
  </si>
  <si>
    <t>Business processes management as a tool to enhance intellectual capital in the digitalization era: the new challenges to face</t>
  </si>
  <si>
    <r>
      <rPr>
        <rFont val="Helvetica Neue"/>
        <color rgb="FF1155CC"/>
        <u/>
      </rPr>
      <t>https://doi.org/10.1108/JIC-04-2023-0070</t>
    </r>
  </si>
  <si>
    <t>60-91</t>
  </si>
  <si>
    <t>Digitalization is affecting business management and pushing for new strategies, innovative products, new ways to communicate with stakeholders and new channels. This phenomenon is unavoidable, and companies have to face it in a holistic and integrated way. One holistic and interconnected approach, when studying enterprise challenges, is represented by the business process management method, a fitting mechanism when digitalization needs to be amalgamated in business practices, enhancing the intellectual capital (IC), therefore, this study researches digitalization under business process lens, in a sample of small and medium enterprises (SMEs), that constitute an under-explored set, as regard digitalization, process management and IC. The research aims to explore the digital tools and business processes link and the related impact on performance, benefits and IC.In exploring digitalization, a sample of Italian SMEs was scrutinized. The data were elaborated using two types of tests: (1) the binomial tests for the categorical questions and (2) the zeta test was used for quantitative variables. Furthermore, the partial least square (PLS)-SEM model was applied.Findings reveal that some digital tools are more adopted in the sample analysed, and also some particular digital tools are more inclined to support certain business processes. Furthermore, not only performance benefits emerge, but also benefits in terms of better communication and faster decisions, supporting the decision making process of managers, also considering that business processes approach is one way to manage IC.Thanks to the conducted research it is possible to make aware managers and owners of SMEs to consciously choose the right type of digitalization investments, without neglecting training programme, to realize the company digital transformation, providing a map and bearing in mind the value added creation, protecting their IC.The paper's originality is represented by the contribution in opening the black box about digitalization, business process management and IC in small and medium companies.</t>
  </si>
  <si>
    <t>10.1108/JIC-04-2023-0070</t>
  </si>
  <si>
    <t>Score: 0
Justification:
	•	CI01: not met — The title and abstract mention Robotic Process Automation (RPA), but do not explicitly mention “Business Process Management” or “BPM.”
	•	CI02: met — The study addresses digital strategy and AI strategy, especially in “driving digital strategy” and “AI strategy formulation.”
	•	CI03: met — The study explicitly mentions Robotic Process Automation (RPA), artificial intelligence, AI technologies, information systems, and information technology (IS/IT).
	•	CI04: met — The study proposes a conceptual framework for AI strategy formulation.
	•	CI05: met — The title and abstract are written in English.
CE01–CE04:
	•	CE01: applies for this review — The study is related to RPA, AI, digital strategy, and organizations, but it is not explicitly related to BPM/Business Process Management, which is mandatory.
	•	CE02: does not apply — It is clearly related to an organizational/business context, focusing on competitive advantages and AI strategy formulation.
	•	CE03: applies — The abstract explicitly states that the study applied a Systematic Literature Review, combining bibliometrics and content analysis. Therefore, it is a secondary study.
	•	CE04: does not apply — The abstract provides enough information to assess relevance.
Decision: Exclude, because CI01 is not met and CE03 applies.</t>
  </si>
  <si>
    <t>**Score: 0**
**Justification:**
* **CI01: NOT MET** — Neither "Business Process Management" nor "BPM" appears anywhere in the title or abstract. The study focuses on RPA, AI strategy, and the resource-based view (RBV), with no reference to BPM concepts or terminology.
* **CI02: NOT MET** — The terms "digital transformation," "digitalization," and "digital innovation" do not appear explicitly in the title or abstract. The title references "digital strategy," and the abstract mentions "AI strategy formulation," but neither constitutes explicit use of the required terminology. Per the evaluation rules, if a criterion is not clearly supported, it must be considered not met.
* **CI03: MET** — Robotic Process Automation (RPA) and Artificial Intelligence (AI) are explicitly and centrally named throughout: *"Robotic Process Automation (RPA)," "AI strategy," "AI technologies," "AI utilization."* Both are among the explicitly listed technologies in CI03.
* **CI04: MET** — The study develops a new conceptual framework based on an updated RBV model applied to RPA and AI strategy — constituting a framework development grounded in systematic analysis.
* **CI05: MET** — The title and abstract are written in English.
* **CE03: APPLIES** — The study explicitly states it *"applied a Systematic Literature Review (SRL), combining bibliometrics and content analysis."* A systematic literature review is explicitly listed as a secondary study type in CE03, regardless of the framework developed as an output.
---
**Summary:** The study fails CI01 and CI02, and CE03 applies — it is explicitly a systematic literature review, a secondary study type. Multiple disqualifying conditions are present. The study is therefore **excluded**.</t>
  </si>
  <si>
    <t>Moderno, Osvaldo Braz dos Santos; Braz, Antonio Carlos; Nascimento, Paulo Tromboni de Souza</t>
  </si>
  <si>
    <t>Robotic process automation and artificial intelligence capabilities driving digital strategy: a resource-based view</t>
  </si>
  <si>
    <r>
      <rPr>
        <rFont val="Helvetica Neue"/>
        <color rgb="FF1155CC"/>
        <u/>
      </rPr>
      <t>https://doi.org/10.1108/BPMJ-08-2022-0409</t>
    </r>
  </si>
  <si>
    <t>105-134</t>
  </si>
  <si>
    <t>Research of currently limited literature sees Robotic Process Automation (RPA) as an important tool at the tactical level. However, the literature has not considered its potential contribution to creating competitive advantages. This paper aims to link RPA and Resource-based view (RBV) literature, proposing a conceptual framework boosting RPA research as part of an organizational AI strategy. This study applied a Systematic Literature Review (SRL), combining bibliometrics and content analysis. This study also built a new framework based on the updated RBV model that was transformed based on the RPA literature review results. By bridging the two bodies of literature on RBV and RPA, this study manages to show the strategic side of the technology. Therefore, this study brought to light the most updated fundamental concepts of complementarity and scale-free fungible resources from RBV theory and AI technologies, applied to the domains of RPA, information systems and information technology (IS/IT) through the development of a new theoretical lens. Also, this study was able to elaborate on a new conceptual framework for AI strategy formulation to help organizations on their journey to AI utilization. The authors did not find any research that has shown the strategic side of RPA, nor any that has used a theoretical lens based on the RBV theory to show this side. To the best of the author’s knowledge, this study seems to be the first to make the case for RPA's strategic potential.</t>
  </si>
  <si>
    <t>10.1108/BPMJ-08-2022-0409</t>
  </si>
  <si>
    <t>Score: 0
Justification:
	•	CI01: not met — The abstract mentions “business processes” and “business process change (BPC),” but it does not explicitly mention “Business Process Management” or “BPM.”
	•	CI02: met — The study clearly addresses digitalization and innovation, stating that “Digitalization, innovation and changing customer requirements drive the continuous improvement of an organization’s business processes.”
	•	CI03: met — The study explicitly mentions and applies process mining.
	•	CI04: met — The study develops and evaluates a novel approach integrating process mining and IT demand management through an action research study.
	•	CI05: met — The title and abstract are written in English.
CE01–CE04:
	•	CE01: applies for this review — The study is related to digitalization, process mining, and business process change, but it is not explicitly related to BPM/Business Process Management, which is mandatory.
	•	CE02: does not apply — It is clearly related to an organizational/business context, focusing on IT demand management and an insurance claims process.
	•	CE03: does not apply — It is not a secondary study; it reports action research.
	•	CE04: does not apply — The abstract provides enough information to assess relevance.
Decision: Exclude, because CI01 is not met.</t>
  </si>
  <si>
    <t>**Score: 0**
**Justification:**
* **CI01: NOT MET** — Neither "Business Process Management" nor "BPM" appears anywhere in the title or abstract. The study references "business processes" and "business process change (BPC)" as general concepts, but these do not constitute explicit mention of Business Process Management or the acronym "BPM."
* **CI02: MET** — "Digitalization" is explicitly mentioned at the opening of the abstract: *"Digitalization, innovation and changing customer requirements drive the continuous improvement of an organization's business processes."*
* **CI03: MET** — Process mining is the central technology, explicitly and repeatedly named: *"Enhancing decision-making of IT demand management with process mining," "integrates process mining and ITDM," "process mining activities."* Process mining is one of the technologies explicitly listed in CI03.
* **CI04: MET** — The study conducts an action research study in which a novel approach integrating process mining and ITDM is designed, created, and validated through multiple research cycles in an insurance claims process — constituting a clear empirical application with a proposed methodological artifact.
* **CI05: MET** — The title and abstract are written in English.
* **CE01–CE04: No exclusion criteria apply** — The study addresses digitalization and process mining (CE01); it is set within an organizational/business context (insurance company) (CE02); it is a primary action research study, not a secondary review (CE03); the abstract provides sufficient information for evaluation (CE04).
---
**Summary:** The sole disqualifying factor is CI01 — "Business Process Management" and "BPM" are entirely absent from the title and abstract. Despite strong relevance to the research domain, this unmet criterion disqualifies the study. It is therefore **excluded**.</t>
  </si>
  <si>
    <t>Novak, Christian; Pfahlsberger, Lukas; Bala, Saimir; Revoredo, Kate; Mendling, Jan</t>
  </si>
  <si>
    <t>Enhancing decision-making of IT demand management with process mining</t>
  </si>
  <si>
    <r>
      <rPr>
        <rFont val="Helvetica Neue"/>
        <color rgb="FF1155CC"/>
        <u/>
      </rPr>
      <t>https://doi.org/10.1108/BPMJ-12-2022-0631</t>
    </r>
  </si>
  <si>
    <t>230-259</t>
  </si>
  <si>
    <t>Digitalization, innovation and changing customer requirements drive the continuous improvement of an organization's business processes. IT demand management (ITDM) as a methodology supports the holistic governance of IT and the corresponding business process change (BPC), by allocating resources to meet a company's requirements and strategic objectives. As ITDM decision-makers are not fully aware of how the as-is business processes operate and interact, making informed decisions that positively impact the to-be process is a key challenge.In this paper, the authors address this challenge by developing a novel approach that integrates process mining and ITDM. To this end, the authors conduct an action research study where the researchers participated in the design, creation and evaluation of the approach. The proposed approach is illustrated using two sample demands of an insurance claims process. These demands are used to construct the artefact in multiple research circles and to validate the approach in practice. The authors applied learning and reflection methods for incrementally adjusting this study’s approach.The study shows that the utilization of process mining activities during process changes on an operational level contributes to (1) increasing accuracy and efficiency of ITDM; (2) timely identification of potential risks and dependencies and (3) support of testing and acceptance of IT demands.The implementation of this study’s approach improved ITDM practice. It appropriately addressed the information needs of decision-makers and unveiled the effects and consequences of process changes. Furthermore, providing a clearer picture of the process dependencies clarified the responsibilities and the interfaces at the intra- and inter-process level.</t>
  </si>
  <si>
    <t>10.1108/BPMJ-12-2022-0631</t>
  </si>
  <si>
    <t>Score: 0
Justification:
	•	CI01: met — The title and abstract explicitly mention “business process management” and “BPM.”
	•	CI02: not met — The study discusses change management in BPM projects and technological competencies, but it does not clearly address digital transformation, digitalization, or digital innovation.
	•	CI03: not met — The abstract mentions “technological competencies,” but does not explicitly mention or apply a specific technology, digital tool, software system, or technological solution.
	•	CI04: met — The study presents an empirical analysis using SEM with 464 business project stakeholders, neural network analysis, and latent class analysis.
	•	CI05: met — The title and abstract are written in English.
CE01–CE04:
	•	CE01: applies for this review — The study is related to BPM, but it is not clearly related to digital transformation/digitalization/digital innovation or specific technologies, which are required by the inclusion criteria.
	•	CE02: does not apply — It is clearly related to an organizational/business context, focusing on BPM projects and business project stakeholders.
	•	CE03: does not apply — Although it initially identifies factors through an SLR, the main study uses primary empirical data and quantitative analysis with stakeholders.
	•	CE04: does not apply — The abstract provides enough information to assess relevance.
Decision: Exclude, because CI02 and CI03 are not met.</t>
  </si>
  <si>
    <t>**Score: 0**
**Justification:**
* **CI01: MET** — "Business process management (BPM)" and "BPM" are explicitly and repeatedly referenced: *"business process management (BPM)," "change management in BPM projects," "CSFs of change management BPM projects."*
* **CI02: NOT MET** — The terms "digital transformation," "digitalization," and "digital innovation" are entirely absent from the title and abstract. The study focuses exclusively on change management and critical success factors within BPM projects, with no reference to digital transformation terminology.
* **CI03: NOT MET** — No specific technology from the exemplified list (AI, RPA, process mining, big data, blockchain, IoT, software systems) is explicitly named or applied. The abstract mentions "technological competencies" as one of three CSFs, but this is a generic organizational capability, not a named technology.
* **CI04: MET** — The study employs SEM on 464 stakeholders, followed by neural network analysis for non-linear ranking, and latent class analysis (LCA) for heterogeneous group identification — constituting a rigorous multi-method empirical analysis.
* **CI05: MET** — The title and abstract are written in English.
* **CE01–CE04: No exclusion criteria apply** — The study addresses BPM (CE01); it is grounded in a business/organizational project context (CE02); although a preliminary SLR was conducted to identify CSFs, the primary study is empirical (SEM with 464 respondents), so CE03 does not apply; the abstract provides sufficient information for evaluation (CE04).
---
**Summary:** The study fails CI02 and CI03 — digital transformation terminology is absent, and no specific technology is named. Two unmet inclusion criteria independently disqualify it. The study is therefore **excluded**.</t>
  </si>
  <si>
    <t>Idogawa, Juliano; Bizarrias, Flávio Santino; Câmara, Ricardo</t>
  </si>
  <si>
    <t>Critical success factors for change management in business process management</t>
  </si>
  <si>
    <r>
      <rPr>
        <rFont val="Helvetica Neue"/>
        <color rgb="FF1155CC"/>
        <u/>
      </rPr>
      <t>https://doi.org/10.1108/BPMJ-11-2022-0625</t>
    </r>
  </si>
  <si>
    <t>2009-2033</t>
  </si>
  <si>
    <t>The purpose of this study is to determine the influence of project critical success factors (CSFs) on change management in the context of business process management (BPM). Despite widespread interest in BPM, the existing literature is insufficient in addressing the antecedents that contribute to change management in business process projects.Key factors of change management success in BPM projects were initially identified in a systematic literature review (SLR) and were used as antecedents of change management through a structural equation modeling (SEM) with 464 business project stakeholders. Next, a neural network analysis allowed the key factors to be ranked non-linearly. Finally, a latent class analysis (LCA) was performed to determine the sample's heterogeneous groups based on their project management characteristics.Project management, top management support and technological competencies were the main CSFs identified as having positive effects on change management. The most important factor is project management, followed by top management support, which plays a crucial mediating role in enabling change management. Although relevant, technological competencies were secondary in the study. Regarding project management CSF, four heterogeneous classes of individuals were determined.Although this study provides an opportunity to observe CSFs, it does not address the need to analyze the phenomenon in different classifications of projects, regarding maturity, complexity, project management approach and other aspects that differentiate projects in a meaningful way.The study allows practitioners to understand the critical factors underlying change management and take necessary actions to manage it, recognizing that individuals have heterogeneous profiles regarding project management.This study pioneeringly discusses the CSFs of change management BPM projects to enable successful change management, ranking the main factors and mapping heterogeneous profiles.</t>
  </si>
  <si>
    <t>10.1108/BPMJ-11-2022-0625</t>
  </si>
  <si>
    <t>Score: 0
Justification:
	•	CI01: not met — The abstract mentions Business Process Reengineering (BPR), but does not explicitly mention “Business Process Management” or “BPM.” BPR is related to process redesign, but it is not the same explicit term required by CI01.
	•	CI02: not met — The abstract does not clearly address digital transformation, digitalization, or digital innovation.
	•	CI03: not met — The study mentions knowledge management and customer relationship management, but does not explicitly mention or apply digital technologies, software systems, AI, RPA, process mining, big data, blockchain, IoT, or similar technologies.
	•	CI04: met — The study develops a theoretical/model-based contribution: a “holistic multi-stage hierarchical model,” a “KCCS theoretical model,” and a BPR model/blueprint.
	•	CI05: met — The title and abstract are written in English.
CE01–CE04:
	•	CE01: applies — The study is related to business process reengineering and competitiveness strategy, but it is not explicitly related to BPM, digital transformation, or digital technologies.
	•	CE02: does not apply — It is clearly related to an organizational/business context.
	•	CE03: applies — The abstract states that the study is based on a literature review and “systematically analyzed 130 articles and books,” so it is a secondary/conceptual literature-based study.
	•	CE04: does not apply — The abstract provides enough information to assess relevance.
Decision: Exclude, because CI01, CI02, and CI03 are not met, and CE03 applies.</t>
  </si>
  <si>
    <t>**Score: 0**
**Justification:**
* **CI01: NOT MET** — Neither "Business Process Management" nor "BPM" appears anywhere in the title or abstract. The study centers on "business process reengineering (BPR)," which is a related but distinct concept. BPR does not satisfy the explicit requirement for Business Process Management or the acronym "BPM."
* **CI02: NOT MET** — The terms "digital transformation," "digitalization," and "digital innovation" are entirely absent from the title and abstract. The study focuses on competitive strategy, knowledge management, and CRM with no reference to digital transformation terminology.
* **CI03: NOT MET** — No specific technology from the exemplified list (AI, RPA, process mining, big data, blockchain, IoT, software systems) is explicitly named or applied. "Customer relationship management (CRM)" and "knowledge management (KM)" are referenced as management practices or frameworks, not as named technologies in the sense required by CI03.
* **CI04: MET** — The study develops a multi-stage hierarchical KCCS theoretical model and a BPR model through systematic analysis of 130 articles, offering a blueprint for implementation — constituting a conceptual framework with structured literature-based development.
* **CI05: MET** — The title and abstract are written in English.
* **CE03: APPLIES** — The study is explicitly a secondary study. The abstract states it *"adopted an exploratory research design based on a literature review"* and *"systematically analyzed 130 articles and books from Scopus, the Web of Science, Google Scholar and other renowned databases."* This is a systematic literature review — explicitly listed as a secondary study type in CE03.
---
**Summary:** The study fails CI01, CI02, and CI03, and CE03 also applies (systematic literature review). Multiple disqualifying conditions are present. The study is therefore **excluded**.</t>
  </si>
  <si>
    <t>Al-Shammari, Minwir M.</t>
  </si>
  <si>
    <t>Business process reengineering for designing a knowledge-enabled customer-centric competitiveness strategy</t>
  </si>
  <si>
    <r>
      <rPr>
        <rFont val="Helvetica Neue"/>
        <color rgb="FF1155CC"/>
        <u/>
      </rPr>
      <t>https://doi.org/10.1108/BPMJ-02-2023-0074</t>
    </r>
  </si>
  <si>
    <t>1706-1733</t>
  </si>
  <si>
    <t>The study aims to design a holistic multi-stage hierarchical model that leverages the firm's knowledge-enabled distinctive core competencies (DCCs) and builds enduring and profitable customer relationships to achieve sustainable competitive advantage (SCA) in dynamic and challenging environments. It developed a knowledge-enabled customer-centric competitiveness strategy (KCCS) model that integrates four pillars: business process reengineering (BPR), knowledge management (KM), customer relationship management (CRM) and competitiveness strategy. It also proposed a BPR model to enable cross-functional cooperation and coordination for firms dealing with customers, provided a blueprint for KCCS's successful implementation and compared the KCCS model with other customer-centric (CC) approaches.This study adopted an exploratory research design based on a literature review of relevant studies. It has systematically analyzed 130 articles and books from Scopus, the Web of Science, Google Scholar and other renowned databases from 1982 to 2022. The analysis involved identifying and selecting relevant literature and conducting thematic research to develop a theoretical KCCS model that integrates BPR, KM, CRM, competitiveness strategy and the firm's SCA into a KCCS model.This study developed an integrative KCCS theoretical model rooted in the extant literature in BPR, KM, CRM, competitiveness strategy, DCCs, SCA and other fields. The study proposed a BPR model as a significant component of KCCS that enables cross-functional cooperation and coordination, which are often troublesome for firms in their dealings with customers. The study also provided a blueprint for successfully implementing the KCCS model and compared the KCCS model with other CC approaches.This study filled many research gaps in the literature in which knowledge-enabled CC frameworks are widely scattered. It offered a conceptual multi-stage hierarchical KCCS model that combines interrelated elements of BPR, KM, CRM, and competitiveness strategy. It proposed a BPR model as a significant component of the KCCS that enables cross-functional cooperation and coordination, which frequently form barriers when dealing with customers. It also provided a blueprint for successfully implementing the KCCS and compared it with other CC approaches.</t>
  </si>
  <si>
    <t>10.1108/BPMJ-02-2023-0074</t>
  </si>
  <si>
    <t>Score: 1
Justification:
	•	CI01: met — The title and abstract explicitly mention “business process management culture” and “business process management (BPM) culture.”
	•	CI02: met — The study directly addresses digital innovation (DI) and “organizational digitalization capabilities.”
	•	CI03: met — The abstract discusses digital innovation and digitalization capabilities. Although it does not name a specific technology such as AI or RPA, the focus on digital innovation/digitalization capabilities is sufficiently technology-associated for CI03 in this context.
	•	CI04: met — The study presents an empirical quantitative assessment using survey data from 668 German municipalities, SEM, and PLS-SEM.
	•	CI05: met — The title and abstract are written in English.
CE01–CE04:
	•	CE01: does not apply — The study is directly related to BPM, digital innovation, and digitalization capabilities.
	•	CE02: does not apply — It is related to an organizational context, focusing on German municipalities.
	•	CE03: does not apply — It is not a secondary study; it uses primary survey data.
	•	CE04: does not apply — The abstract provides enough information to assess relevance.
Decision: Include, because all inclusion criteria are sufficiently met and no exclusion criterion applies.</t>
  </si>
  <si>
    <t>**Score: 0**
**Justification:**
* **CI01: MET** — "Business process management (BPM)" and "BPM" are explicitly referenced: *"business process management (BPM) culture," "BPM culture dimensions," "BPM culture is not a uniform construct."*
* **CI02: MET** — "Digital innovation" and "digitalization" are explicitly and repeatedly used: *"digital innovation (DI)," "DI capabilities," "DI barriers," "organizational digitalization capabilities."*
* **CI03: NOT MET** — No specific technology from the exemplified list (AI, RPA, process mining, big data, blockchain, IoT, software systems) is explicitly named or applied. The study focuses on BPM culture dimensions and their relationship to digital innovation capabilities, but no particular technology is identified or investigated. Per the evaluation rules, if a criterion is not clearly supported, it must be considered not met.
* **CI04: MET** — The study employs PLS-SEM on survey data from 668 German municipalities, testing relationships between BPM culture, DI capabilities, and DI barriers — constituting a rigorous empirical analysis.
* **CI05: MET** — The title and abstract are written in English.
* **CE01–CE04: No exclusion criteria apply** — The study directly addresses BPM and digital innovation (CE01); it is grounded in an organizational context of German municipalities (CE02); it is a primary empirical study, not a secondary review (CE03); the abstract provides sufficient information for evaluation (CE04).
---
**Summary:** Despite meeting CI01, CI02, CI04, and CI05, the study fails CI03 — no specific technology from the exemplified list is explicitly named or applied. This single unmet criterion disqualifies the study. It is therefore **excluded**.</t>
  </si>
  <si>
    <t>Distel, Bettina; Plattfaut, Ralf; Kregel, Ingo</t>
  </si>
  <si>
    <t>How business process management culture supports digital innovation: a quantitative assessment</t>
  </si>
  <si>
    <r>
      <rPr>
        <rFont val="Helvetica Neue"/>
        <color rgb="FF1155CC"/>
        <u/>
      </rPr>
      <t>https://doi.org/10.1108/BPMJ-12-2022-0637</t>
    </r>
  </si>
  <si>
    <t>1352-1385</t>
  </si>
  <si>
    <t>Current research suggests culture as a driving force of successful digital innovation (DI) that may not only built an organization's capability to digitally innovate but also reduce impeding factors within the organization. Only few empirical accounts support this hypothesis so far. Details of how culture supports DI are yet under-researched. This article aims to investigate the relationship between culture, organizational DI capabilities and DI barriers.The authors address this issue by using survey data from German municipalities (n = 668), build a structural equation model (SEM) and analyze data using partial least squares SEM.Results indicate that the business process management (BPM) culture dimensions continuous improvement and process innovation support DI capabilities. Barriers exist that partially mediate the impact of culture on capabilities.The results of this study show that BPM culture is not a uniform construct and that its dimensions have both positive and negative impact on the building of organizational digitalization capabilities.</t>
  </si>
  <si>
    <t>10.1108/BPMJ-12-2022-0637</t>
  </si>
  <si>
    <t>Score: 0
Justification:
	•	CI01: not met — The abstract mentions “inbound and outbound processes,” but it does not explicitly mention “Business Process Management” or “BPM.”
	•	CI02: met — The study clearly addresses digital servitization, business model transformation, and open innovation.
	•	CI03: met — It explicitly mentions digital solutions, digital servitization, and digital knowledge servitization.
	•	CI04: met — The study presents an empirical qualitative analysis using an inductive grounded theory approach and in-depth interviews with managers in the Volvo Group supply chain ecosystem.
	•	CI05: met — The title and abstract are written in English.
CE01–CE04:
	•	CE01: applies for this review — The study is related to digital servitization and supply chain business models, but it is not explicitly related to BPM/Business Process Management, which is mandatory.
	•	CE02: does not apply — It is clearly related to an organizational/business context, focusing on supply chain management and Volvo Group.
	•	CE03: does not apply — It is not a secondary study; it reports interview-based empirical research.
	•	CE04: does not apply — The abstract provides enough information to assess relevance.
Decision: Exclude, because CI01 is not met.</t>
  </si>
  <si>
    <t>**Score: 0**
**Justification:**
* **CI01: NOT MET** — Neither "Business Process Management" nor "BPM" appears anywhere in the title or abstract. The study focuses on digital servitization, knowledge management, and supply chain business models, with no reference to BPM concepts or terminology.
* **CI02: NOT MET** — The terms "digital transformation," "digitalization," and "digital innovation" do not appear explicitly in the title or abstract. The study repeatedly references "digital servitization" and "digital knowledge servitization," but these are distinct concepts that do not constitute the required terminology. Per the evaluation rules, if a criterion is not clearly supported, it must be considered not met.
* **CI03: NOT MET** — No specific technology from the exemplified list (AI, RPA, process mining, big data, blockchain, IoT, software systems) is explicitly named or applied. The abstract refers to "digital solutions" and "digital knowledge servitization" in generic terms, without identifying any particular technology.
* **CI04: MET** — The study adopts an inductive grounded theory approach, conducting in-depth interviews with managers across the Volvo Group supply chain ecosystem, resulting in a new theoretical concept (digital knowledge servitization) and business model framework — constituting an empirical analysis with theoretical contribution.
* **CI05: MET** — The title and abstract are written in English.
* **CE01–CE04: No exclusion criteria apply** — The study involves digital concepts in an organizational/business context (CE01 and CE02 partially addressed); it is a primary empirical study using interviews, not a secondary review (CE03); the abstract provides sufficient information for evaluation (CE04).
---
**Summary:** The study fails CI01, CI02, and CI03 — BPM is not mentioned, digital transformation terminology is absent, and no specific technology is named. Three unmet inclusion criteria independently disqualify it. The study is therefore **excluded**.</t>
  </si>
  <si>
    <t>Pizzichini, Lucia; Temperini, Valerio; Caboni, Federica; Papa, Armando</t>
  </si>
  <si>
    <t>The role of digital knowledge servitization in supply chain management</t>
  </si>
  <si>
    <r>
      <rPr>
        <rFont val="Helvetica Neue"/>
        <color rgb="FF1155CC"/>
        <u/>
      </rPr>
      <t>https://doi.org/10.1108/IJPDLM-06-2022-0202</t>
    </r>
  </si>
  <si>
    <t>589-611</t>
  </si>
  <si>
    <t>This paper aims to contribute to overcoming the gap existing in the supply chain literature related to digital servitization by bridging digital servitization with knowledge management and identifying the rise of digital knowledge servitization as a driver for changes in the supply chain business model towards open innovation.The study follows an inductive grounded theory approach for theory building. To analyse the impact of digital knowledge servitization, in-depth interviews of managers in the main business units of the Volvo Group supply chain ecosystem were carried out.The results show how the digital servitization process affects the supply chain business model, highlighting the central role of knowledge in the service ecosystem and the rise of the theoretical concept of digital knowledge servitization. In particular, through the Innovation Lab (Volvo Group) study, the paper contributes to bringing together the theoretical knowledge-based view of servitization with the digital servitization concept, which demonstrates the role of this combined perspective in the transformation of the supply chain; this is carried out by introducing a new business model based on open innovation in inbound and outbound processes.The research offers interesting insights from a managerial perspective, as increasingly advanced and complex digital solutions require shorter times in supply chain management (SCM). Companies need to be able to quickly manage information and knowledge flows deriving from internal and external interactions and involvement with external actors upstream and downstream of the supply chain ecosystem. Therefore, the digital knowledge servitization of the supply chain also highlights implications for managers in terms of human resources management.The novel research goal is to contribute to the supply chain literature by integrating the digital servitization with the knowledge view and analysing the impact on the inbound and outbound supply chain through the introduction of an open innovation business model.</t>
  </si>
  <si>
    <t>10.1108/IJPDLM-06-2022-0202</t>
  </si>
  <si>
    <t>Score: 0
Justification:
	•	CI01: not met — The abstract mentions “business processes” and process improvement, but it does not explicitly mention “Business Process Management” or “BPM.”
	•	CI02: not met — The study discusses process mining impacts and innovation/learning, but it does not clearly address digital transformation, digitalization, or digital innovation.
	•	CI03: met — The study explicitly mentions process mining (PM) and event logs.
	•	CI04: met — The study proposes and validates a framework using qualitative coding of 62 process mining case reports.
	•	CI05: met — The title and abstract are written in English.
CE01–CE04:
	•	CE01: applies for this review — The study is related to process mining and business process improvement, but it is not explicitly related to BPM/Business Process Management and does not clearly address digital transformation/digitalization/digital innovation.
	•	CE02: does not apply — It is related to an organizational/business context, as it concerns impacts on organizational business processes, customers, finances, and innovation.
	•	CE03: applies cautiously — The study analyzes 62 PM case reports, deriving and validating a framework from existing reports rather than collecting direct primary organizational data. It is not labeled as an SLR, but it has a secondary case-report analysis character.
	•	CE04: does not apply — The abstract provides enough information to assess relevance.
Decision: Exclude, because CI01 and CI02 are not met.</t>
  </si>
  <si>
    <t>**Score: 0**
**Justification:**
* **CI01: NOT MET** — Neither "Business Process Management" nor "BPM" appears anywhere in the title or abstract. The study focuses exclusively on process mining (PM) impacts, mentioning "business processes" only in passing as context, without referencing BPM as a discipline or acronym.
* **CI02: NOT MET** — The terms "digital transformation," "digitalization," and "digital innovation" are entirely absent from the title and abstract. The framework includes an "impact on innovation and learning" category, but "innovation" here is a general organizational concept, not equivalent to "digital innovation" as required by this criterion.
* **CI03: MET** — Process mining (PM) is the central technology of the entire study, explicitly referenced throughout: *"Process mining (PM) specialises in extracting insights from event logs," "PM techniques," "PM case reports," "PM impacts framework."* Process mining is among the explicitly listed technologies in CI03.
* **CI04: MET** — The study builds, re-specifies, and validates a framework from 62 PM case reports using multiple rounds of qualitative coding, producing a four-category PM impacts framework with 19 subcategories and identified interrelationships — constituting a structured empirical framework development.
* **CI05: MET** — The title and abstract are written in English.
* **CE03: APPLIES** — The study's entire empirical basis consists of analyzing 62 existing PM case reports through qualitative coding — a form of secondary data analysis analogous to a mapping study. The framework is fully derived from pre-existing reports rather than primary data collection, placing it in the category of secondary studies covered by CE03.
---
**Summary:** The study fails CI01 and CI02, and CE03 also applies (secondary analysis of existing case reports). Multiple disqualifying conditions are present. The study is therefore **excluded**.</t>
  </si>
  <si>
    <t>Mamudu, Azumah; Bandara, Wasana; Leemans, Sander J.J.; Wynn, Moe Thandar</t>
  </si>
  <si>
    <t>A process mining impacts framework</t>
  </si>
  <si>
    <r>
      <rPr>
        <rFont val="Helvetica Neue"/>
        <color rgb="FF1155CC"/>
        <u/>
      </rPr>
      <t>https://doi.org/10.1108/BPMJ-09-2022-0453</t>
    </r>
  </si>
  <si>
    <t>690-709</t>
  </si>
  <si>
    <t>Process mining (PM) specialises in extracting insights from event logs to facilitate the improvement of an organisation's business processes. Industry trends show the proliferation and continued growth of PM techniques. To address the minimal attention given to developing empirically supported frameworks to assess the nature of impact in the PM domain, this study proposes a framework that identifies the key categories of PM impacts and their interrelationships.The qualitatively derived framework is built, re-specified and validated from a diverse collection of 62 PM case reports. With multiple rounds of coding supported by coder corroborations, inductively extracted concepts relating to impact from a first set of 12 case reports were grouped into themes and sub-themes to derive an a-priori framework by adopting the balanced scorecard as a theoretical lens. Concepts from the remaining 50 case reports were deductively grouped to re-specify and validate the proposed PM impacts framework. Further analysis identified interrelationships between impacts, which extends our understanding of the identified PM impacts.The proposed framework captures PM impacts in four main categories: (a) impact on the process, (b) customer impact, (c) financial impact, and (d) impact on innovation and learning. The authors extended this analysis to identify the interrelationships between these categories, which vividly demonstrates how impact on the process mediates the attainment of the other three impact types.The need for a deeper understanding of PM impacts within the context of contemporary PM practice is addressed by this work. The PM impacts framework provides a classification of PM impacts into four categories with 19 subcategories. It also identifies direct, moderating and mediating relationships between categories and subcategories whilst highlighting the role of impact on the process as a precursor to the other types of PM impact.</t>
  </si>
  <si>
    <t>10.1108/BPMJ-09-2022-0453</t>
  </si>
  <si>
    <t>Score: 1
Justification:
        •        CI01: met — The title explicitly mentions “business process management.”
        •        CI02: met — The study addresses digital innovation/digitalization in HR recruitment by proposing an AI/ML-based recruitment system to improve the employee selection process.
        •        CI03: met — The abstract explicitly mentions artificial intelligence, machine learning, LSA, BERT, and SVM.
        •        CI04: met — The study presents and evaluates a machine learning-based system/model for resume screening, comparing different ML, text vectorization, and sampling approaches.
        •        CI05: met — The title and abstract are written in English.
CE01–CE04:
        •        CE01: does not apply — The study is related to BPM, AI/ML technologies, and process improvement in recruitment.
        •        CE02: does not apply — It is clearly related to an organizational/business context, specifically HR recruitment and employee selection.
        •        CE03: does not apply — It is not a secondary study; it proposes and evaluates ML methods on resume data.
        •        CE04: does not apply — The abstract provides enough information to assess relevance.
Decision: Include, because all inclusion criteria are met and no exclusion criterion applies.</t>
  </si>
  <si>
    <t>**Score: 0**
**Justification:**
* **CI01: MET** — "Business process management" appears explicitly in the title: *"A machine learning-based human resources recruitment system for business process management."* While BPM is not discussed further in the abstract, its presence in the title satisfies the criterion's requirement for explicit mention.
* **CI02: NOT MET** — The terms "digital transformation," "digitalization," and "digital innovation" are entirely absent from both the title and the abstract. The study concerns AI/ML-based HR recruitment without reference to any of the required digital terminology.
* **CI03: MET** — Artificial intelligence and machine learning are explicitly and centrally applied: *"artificial intelligence and machine learning techniques," "latent semantic analysis (LSA), bidirectional encoder representations from transformers (BERT) and support vector machines (SVM)."* AI is among the explicitly listed technologies in CI03.
* **CI04: MET** — The study develops and empirically evaluates a machine learning-based recruitment screening system using LSA, BERT, and SVM on HR resume data, with cross-validation and variable selection — constituting both a system development and an empirical analysis.
* **CI05: MET** — The title and abstract are written in English.
* **CE01–CE04: No exclusion criteria apply** — The study addresses BPM and AI technologies (CE01); it is grounded in an organizational/HR context (CE02); it is a primary empirical study, not a secondary review (CE03); the abstract provides sufficient information for evaluation (CE04).
---
**Summary:** Despite meeting CI01, CI03, CI04, and CI05, the study fails CI02 — digital transformation, digitalization, and digital innovation are entirely absent from the title and abstract. This single unmet criterion disqualifies the study. It is therefore **excluded**.</t>
  </si>
  <si>
    <t>Tian, Xiaoguang; Pavur, Robert; Han, Henry; Zhang, Lili</t>
  </si>
  <si>
    <t>A machine learning-based human resources recruitment system for business process management: using LSA, BERT and SVM</t>
  </si>
  <si>
    <r>
      <rPr>
        <rFont val="Helvetica Neue"/>
        <color rgb="FF1155CC"/>
        <u/>
      </rPr>
      <t>https://doi.org/10.1108/BPMJ-08-2022-0389</t>
    </r>
  </si>
  <si>
    <t>202-222</t>
  </si>
  <si>
    <t>Studies on mining text and generating intelligence on human resource documents are rare. This research aims to use artificial intelligence and machine learning techniques to facilitate the employee selection process through latent semantic analysis (LSA), bidirectional encoder representations from transformers (BERT) and support vector machines (SVM). The research also compares the performance of different machine learning, text vectorization and sampling approaches on the human resource (HR) resume data.LSA and BERT are used to discover and understand the hidden patterns from a textual resume dataset, and SVM is applied to build the screening model and improve performance.Based on the results of this study, LSA and BERT are proved useful in retrieving critical topics, and SVM can optimize the prediction model performance with the help of cross-validation and variable selection strategies.The technique and its empirical conclusions provide a practical, theoretical basis and reference for HR research.The novel methods proposed in the study can assist HR practitioners in designing and improving their existing recruitment process. The topic detection techniques used in the study provide HR practitioners insights to identify the skill set of a particular recruiting position.To the best of the authors’ knowledge, this research is the first study that uses LSA, BERT, SVM and other machine learning models in human resource management and resume classification. Compared with the existing machine learning-based resume screening system, the proposed system can provide more interpretable insights for HR professionals to understand the recommendation results through the topics extracted from the resumes. The findings of this study can also help organizations to find a better and effective approach for resume screening and evaluation.</t>
  </si>
  <si>
    <t>10.1108/BPMJ-08-2022-0389</t>
  </si>
  <si>
    <t>Score: 0
Justification:
	•	CI01: not met — The abstract mentions “process stability” and “product/process flexibility,” but it does not explicitly mention “Business Process Management” or “BPM.”
	•	CI02: met — The study addresses the digital supply chain and IoT adoption in that context.
	•	CI03: met — The study explicitly mentions Internet of Things (IoT), system integration, and IoT infrastructure.
	•	CI04: met — The study presents an empirical prioritization analysis using Analytical Hierarchy Process (AHP) and semi-structured interviews.
	•	CI05: met — The title and abstract are written in English.
CE01–CE04:
	•	CE01: applies for this review — The study is related to IoT and digital supply chain, but it is not explicitly related to BPM/Business Process Management, which is mandatory.
	•	CE02: does not apply — It is clearly related to an organizational/business context, focusing on supply chain managers and large companies.
	•	CE03: does not apply — It is not a secondary study; it uses AHP and interviews.
	•	CE04: does not apply — The abstract provides enough information to assess relevance.
Decision: Exclude, because CI01 is not met.</t>
  </si>
  <si>
    <t>**Score: 0**
**Justification:**
* **CI01: NOT MET** — Neither "Business Process Management" nor "BPM" appears anywhere in the title or abstract. The study focuses on IoT adoption and digital supply chains, with no reference to BPM concepts or terminology.
* **CI02: NOT MET** — The terms "digital transformation," "digitalization," and "digital innovation" do not appear explicitly in the title or abstract. The study references "digital supply chain" as a context, but this is a supply chain descriptor rather than explicit use of the required digital transformation terminology. Per the evaluation rules, if a criterion is not clearly supported, it must be considered not met.
* **CI03: MET** — Internet of Things (IoT) is the central technology under investigation, explicitly and repeatedly named: *"Internet of things (IoT) enabling factors," "IoT infrastructure," "IoT adoption," "IoT adoption success."* IoT is among the explicitly listed technologies in CI03.
* **CI04: MET** — The study employs Analytical Hierarchy Process (AHP) to rank and prioritise enabling factors, complemented by semi-structured interviews for validation — constituting a clear empirical analysis with structured methodology.
* **CI05: MET** — The title and abstract are written in English.
* **CE01–CE04: No exclusion criteria apply** — The study addresses IoT technology in a supply chain context (CE01); it is grounded in an organizational/business context of large companies (CE02); it is a primary empirical study, not a secondary review (CE03); the abstract provides sufficient information for evaluation (CE04).
---
**Summary:** The study fails CI01 and CI02 — BPM is not mentioned, and digital transformation/digitalization/digital innovation terminology is absent. Two unmet inclusion criteria independently disqualify it. The study is therefore **excluded**.</t>
  </si>
  <si>
    <t>Samaranayake, Premaratne; Laosirihongthong, Tritos; Adebanjo, Dotun; Boon-itt, Sakun</t>
  </si>
  <si>
    <t>Prioritising enabling factors of Internet of things (IoT) adoption in digital supply chain</t>
  </si>
  <si>
    <r>
      <rPr>
        <rFont val="Helvetica Neue"/>
        <color rgb="FF1155CC"/>
        <u/>
      </rPr>
      <t>https://doi.org/10.1108/IJPPM-12-2021-0698</t>
    </r>
  </si>
  <si>
    <t>3095-3118</t>
  </si>
  <si>
    <t>This paper explores the role of Internet of things (IoT) enabling factors in adopting digital supply chain.Analytical hierarchy process (AHP) was used to rank performance measures and prioritise the enabling factors. Semi-structured interviews were conducted to validate and support key research findings from the AHP analysis.The results show that level of customer demand is the most important indicator in adopting IoT while the level of product/process flexibility is the least important. System integration and IoT infrastructure are the top two enabling factors in increasing the level of process stability, supply chain connectivity, and product/process flexibility, respectively. Furthermore, the study suggests that the enabling factors for IoT adoption are directly connected with organisational resources/technological capabilities that support the resource-based view theory. This research identified interdependencies between IoT enabling factors and key performance measures for IoT adoption success in managing the digital supply chain.Supply chain managers can use the empirical findings of this study to prioritise IoT adoption, based on the relative importance of enabling factors and performance measures. The research findings are focused on broader supply chain practices of large companies rather than a specific industry and SMEs. Hence, any industry-specific adoption factors and SMEs were not evident from this study.This research study empirically established priorities of enabling factors for IoT adoption, along with inter-dependencies among enabling factors as a basis for developing guidelines for IoT adoption.</t>
  </si>
  <si>
    <t>10.1108/IJPPM-12-2021-0698</t>
  </si>
  <si>
    <t>Score: 0
Justification:
	•	CI01: not met — The title and abstract do not explicitly mention “Business Process Management” or “BPM.”
	•	CI02: met — The study clearly addresses digitalization, especially “digitalization of accounting information (DOAI)” and digitalization among SMEs.
	•	CI03: met — The study addresses a digital/technology-related phenomenon, specifically digitalization of accounting information.
	•	CI04: met — The study presents an empirical mixed-method approach with literature review, expert interviews, survey data from 583 respondents, and structural equation modeling with AMOS 26.0.
	•	CI05: met — The title and abstract are written in English.
CE01–CE04:
	•	CE01: applies for this review — The study is related to digitalization and SMEs, but it is not explicitly related to BPM/Business Process Management, which is mandatory.
	•	CE02: does not apply — It is clearly related to an organizational/business context, focusing on SMEs, accounting information, innovation ecosystem, and public value generation.
	•	CE03: does not apply — Although it includes a literature review as part of the method, it also collects primary qualitative and quantitative data, so it is not mainly a secondary study.
	•	CE04: does not apply — The abstract provides enough information to assess relevance.
Decision: Exclude, because CI01 is not met.</t>
  </si>
  <si>
    <t>**Score: 0**
**Justification:**
* **CI01: NOT MET** — Neither "Business Process Management" nor "BPM" appears anywhere in the title or abstract. The study focuses on the digitalization of accounting information (DOAI) in SMEs and its impact on sustainable innovation ecosystems, with no reference to BPM concepts or terminology.
* **CI02: MET** — "Digitalization" is explicitly and repeatedly referenced: *"Digitalization in small and medium enterprise," "digitalization of accounting information (DOAI)," "facilitate the digitalization," "digitalization among SMEs."*
* **CI03: NOT MET** — No specific technology from the exemplified list (AI, RPA, process mining, big data, blockchain, IoT, software systems) is explicitly named or applied. The study examines "digitalization of accounting information" as a broad construct without identifying any particular technology.
* **CI04: MET** — The study employs a three-pronged methodology (literature review, expert interviews, and a quantitative survey of 583 respondents), processed via covariance-based SEM with AMOS 26.0, testing relationships between constructs — constituting a rigorous empirical analysis.
* **CI05: MET** — The title and abstract are written in English.
* **CE01–CE04: No exclusion criteria apply** — The study addresses digitalization (CE01); it is grounded in a business context of SMEs in developing countries (CE02); it is a primary empirical study, not a secondary review (CE03); the abstract provides sufficient information for evaluation (CE04).
---
**Summary:** The study fails CI01 and CI03 — BPM is not mentioned, and no specific technology is explicitly named. Two unmet inclusion criteria independently disqualify it. The study is therefore **excluded**.</t>
  </si>
  <si>
    <t>Pham, Quang Huy; Vu, Kien Phuc</t>
  </si>
  <si>
    <t>Digitalization in small and medium enterprise: a parsimonious model of digitalization of accounting information for sustainable innovation ecosystem value generation</t>
  </si>
  <si>
    <r>
      <rPr>
        <rFont val="Helvetica Neue"/>
        <color rgb="FF1155CC"/>
        <u/>
      </rPr>
      <t>https://doi.org/10.1108/APJIE-02-2022-0013</t>
    </r>
  </si>
  <si>
    <t>2-37</t>
  </si>
  <si>
    <t>This study aims to dispense a concrete and coherent picture on the role of digitalization of accounting information (DOAI) among the small and medium-sized enterprises (SMEs) through a statistically reliable and parsimonious paradigm for procuring the impact of DOAI on sustainable innovation ecosystem (SIE) and public value (PV) generation. With this cue, the geographical scope of this tentative manuscript was framed in SMEs of developing countries.A three-pronged methodology was disposed in this research, namely, literature review, expert interviews and self-administered survey. Qualitative data was procured from a series of semi-structured in-depth interviews. The quantitative data was drawn on a self-administered survey in which the closed-ended questionnaires were conveniently circulated to a cross-sectional sample of 583 respondents. The data captured from quantitative approach was processed and analyzed via covariance-based structural equation modeling with AMOS 26.0.The outcomes analysis highlighted that there were significant positive associations between the hypothesized constructs regarding significance and effect size. These interlinks were also partially mediated through the mediation of quality of information on financial reports and SIE.This research was bounded by geographical provenance emphasis on one country and relative smallness of the data set procured through anonymous survey-based approach drawn from a convenient sample of digitally savvy respondents working in one sub-sector resulted in the reduction in the robustness and generalizability of the observations. Nevertheless, these above-mentioned limitations could thus offer the starting points for novel avenues creation for the future research.The practitioners would definitely have valuable benefits from in-depth insights on the obtained findings. Concretely, as lifting the degree of understandings on the magnitude of long-term cooperation and superior coordination within the SIE would enable practitioners to enlarge their business viewpoints to better cope with the challenges of complicated business settings, facilitating them to co-create PV for all their key stakeholders through giving priority to implementing DOAI.Society could benefit from this study if policymakers and the influencers of government focus on innovative features and assure the possible environment for innovation deployment through embarking on introducing policies that would facilitate the digitalization as well as stimulate and incentivize establishing the SIE for PV generation. It would be good for both the SMEs and society when SMEs could thrive in community settings as well as this togetherness.Unpacking the potential of DOAI has been considered as the promising research avenues that are outlined not only to redress the shortfall in the research stream in relation to the digitalization among SMEs but also provide the right directions for sustainable development among SMEs.</t>
  </si>
  <si>
    <t>10.1108/APJIE-02-2022-0013</t>
  </si>
  <si>
    <t>Score: 0
Justification:
	•	CI01: met — The abstract explicitly mentions “Business Process Management (BPM)” and says the study contributes to the “BPM literature.”
	•	CI02: not met — The study focuses on institutionalising process improvement initiatives, but it does not clearly address digital transformation, digitalization, or digital innovation.
	•	CI03: not met — The abstract does not explicitly mention or apply technologies, digital tools, software systems, AI, RPA, process mining, big data, blockchain, IoT, or similar.
	•	CI04: met — The study presents an empirically and theoretically supported institutionalisation process based on literature review and two case studies.
	•	CI05: met — The title and abstract are written in English.
CE01–CE04:
	•	CE01: applies for this review — The study is related to BPM and process improvement, but it is not related to digital transformation/digitalization/digital innovation or technologies, which are required by the inclusion criteria.
	•	CE02: does not apply — It is clearly related to an organizational/business context, focusing on organisations and process improvement initiatives.
	•	CE03: does not apply — Although it includes a literature review as a first phase, the main contribution is based on two case studies and is not a secondary study.
	•	CE04: does not apply — The abstract provides enough information to assess relevance.
Decision: Exclude, because CI02 and CI03 are not met.</t>
  </si>
  <si>
    <t>**Score: 0**
**Justification:**
* **CI01: MET** — "Business Process Management (BPM)" and "BPM" are explicitly referenced: *"Business Process Management (BPM) specific factors influencing the institutionalisation processes," "BPM literature," "contributes to the BPM literature."*
* **CI02: NOT MET** — The terms "digital transformation," "digitalization," and "digital innovation" are entirely absent from the title and abstract. The study focuses on the institutionalisation of process improvement initiatives from an organizational change perspective, with no reference to digital transformation or related terminology.
* **CI03: NOT MET** — No specific technology from the exemplified list (AI, RPA, process mining, big data, blockchain, IoT, software systems) is explicitly named or applied. The study is purely concerned with organizational processes and institutionalisation theory, without referencing any particular technology.
* **CI04: MET** — The study applies findings from two case studies to adapt Tolbert and Zucker's institutionalisation framework, producing a novel four-stage empirically and theoretically supported model — constituting an empirical analysis with a resulting framework.
* **CI05: MET** — The title and abstract are written in English.
* **CE01–CE04: No exclusion criteria apply** — The study addresses BPM (CE01); it is grounded in an organizational context (CE02); it is a primary case study-based study, not a secondary review (CE03); the abstract provides sufficient information for evaluation (CE04).
---
**Summary:** The study fails CI02 and CI03 — digital transformation terminology is entirely absent, and no specific technology is mentioned. Two unmet inclusion criteria independently disqualify it. The study is therefore **excluded**.</t>
  </si>
  <si>
    <t>Abeygunasekera, Ahangama Withanage Janitha Chandimali; Bandara, Wasana; Wynn, Moe Thandar; Yigitbasioglu, Ogan</t>
  </si>
  <si>
    <t>How to make it stick? Institutionalising process improvement initiatives</t>
  </si>
  <si>
    <r>
      <rPr>
        <rFont val="Helvetica Neue"/>
        <color rgb="FF1155CC"/>
        <u/>
      </rPr>
      <t>https://doi.org/10.1108/BPMJ-03-2021-0170</t>
    </r>
  </si>
  <si>
    <t>807-833</t>
  </si>
  <si>
    <t>Understanding how organisations can institutionalise the outcomes of process improvement initiatives is limited. This paper explores how process changes resulting from improvement initiatives are adhered to, so that the changed processes become the new “norm” and people do not revert to old practices. This study proposes an institutionalisation process for process improvement initiatives.Firstly, a literature review identified Tolbert and Zucker’s (1996) institutionalisation framework as a suitable conceptual framework on which to base the enquiry. The second phase (the focus of this paper) applied the findings from two case studies to adapt this framework (its stages and related factors) to fit process improvement contexts.The paper presents an empirically and theoretically supported novel institutionalisation process for process improvement initiatives. The three stages of the institutionalisation process presented by Tolbert and Zucker (1996) have been respecified into four stages, explaining how process changes are institutionalised through “Planning”, “Implementation”, “Objectification” and “Sedimentation” (the original first stage, i.e. “Habitualisation” being divided into Planning and Implementation). Some newly identified Business Process Management (BPM) specific factors influencing the institutionalisation processes are also discussed and triangulated with the BPM literature.The study contributes to the BPM literature by conceptualising and theorising the stages of institutionalisation of process improvement initiatives. In doing so, the study explicitly identifies and considers several key contextual factors that drive the stages of institutionalisation. Practitioners can use this to better manage process change and future researchers can use this framework to operationalise institutionalisation of process change.This is the first research study that provides an empirically supported and clearly conceptualised understanding of the stages of institutionalising process improvement outcomes.</t>
  </si>
  <si>
    <t>10.1108/BPMJ-03-2021-0170</t>
  </si>
  <si>
    <t>Score: 1
Justification:
	•	CI01: met — The abstract explicitly mentions “business process management (BPM)” and says the study “extends the knowledge on BPM.”
	•	CI02: met — The study directly addresses digitalization, especially “process digitalization projects,” “business process digitalization,” and how organizations use digital technologies to improve and innovate business processes.
	•	CI03: met — The abstract explicitly mentions digital technologies (DTs), methods, tools, and process digitalization projects.
	•	CI04: met — The study presents a PDP success model, based on a structured literature review and empirical validation/refinement through interviews with 21 members of PDP teams.
	•	CI05: met — The title and abstract are written in English.
CE01–CE04:
	•	CE01: does not apply — The study is directly related to BPM, digitalization, digital technologies, and business process digitalization.
	•	CE02: does not apply — It is clearly related to an organizational/business context, focusing on organizations and process digitalization projects.
	•	CE03: does not apply — Although it begins with a structured literature review, it also includes interviews with PDP team members and proposes a model refined through empirical data; therefore, it is not purely a secondary study.
	•	CE04: does not apply — The abstract provides enough information to assess relevance.
Decision: Include, because all inclusion criteria are met and no exclusion criterion applies.</t>
  </si>
  <si>
    <t>**Score: 0**
**Justification:**
* **CI01: MET** — "Business process management (BPM)" and "BPM" are explicitly referenced: *"business process management (BPM)," "knowledge on BPM," "extends the knowledge on BPM."*
* **CI02: MET** — "Digitalization" is explicitly and consistently used: *"process digitalization projects (PDP)," "digitalization substantially impacts organizations," "business process digitalization," "digital technologies (DTs)."*
* **CI03: NOT MET** — No specific technology from the exemplified list (AI, RPA, process mining, big data, blockchain, IoT, software systems) is explicitly named or applied. The abstract refers to "digital technologies (DTs)" only as a generic category without identifying any particular technology. Per the evaluation rules, if a criterion is not clearly supported by explicit evidence, it must be considered not met.
* **CI04: MET** — The study conducts a structured literature review followed by 21 semi-structured interviews with PDP team members, producing a PDP success model with 38 success factor candidates across seven categories — constituting an empirical analysis with a resulting framework.
* **CI05: MET** — The title and abstract are written in English.
* **CE01–CE04: No exclusion criteria apply** — The study addresses BPM and digitalization (CE01); it is grounded in an organizational context of process digitalization projects (CE02); it is a primary exploratory study using interviews (CE03 does not apply, as the structured literature review is only a preliminary phase); the abstract provides sufficient information for evaluation (CE04).
---
**Summary:** Despite meeting CI01, CI02, CI04, and CI05, the study fails CI03 — no specific technology is explicitly named or applied. "Digital technologies (DTs)" remains a generic reference insufficient to satisfy the requirement. The study is therefore **excluded**.</t>
  </si>
  <si>
    <r>
      <rPr>
        <rFont val="Helvetica Neue"/>
        <color rgb="FF1155CC"/>
        <u/>
      </rPr>
      <t>https://doi.org/10.1108/BPMJ-07-2021-0484</t>
    </r>
  </si>
  <si>
    <t>In an exploratory approach, the authors conducted a structured literature review to extract candidate process digitalization project (PDP) success factors (SFs) from the literature on business process management (BPM), project management (PM) and digitalization. After that, the authors validated, refined and extended these intermediate results through interviews with 21 members of diverse PDP teams. Finally, the authors proposed the PDP success model by linking the candidate SFs with relevant success criteria.Digitalization substantially impacts organizations, which increasingly use digital technologies (DTs) to improve and innovate their business processes. While there are methods and tools for identifying process digitalization ideas and related projects (PDPs), guidance on the successful implementation of PDPs is missing. Hence, the authors set out to explore PDP SFs.The PDP success model covers 38 PDP success factor candidates, whereof 28 are already backed by the literature and ten have emerged during the interviews. Furthermore, the SFs are structured according to seven categories from the literature covering a broad range of sociotechnical topics (i.e. strategy, structure, culture, people, process, project and technology) as well as equipped with preliminary success rationales.The work is the first to systematically explore PDP SFs. The PDP success model shows that PDPs require a unique set of SFs, which combine established and hitherto underrepresented knowledge. It extends the knowledge on BPM and serves as foundation for future (confirmatory) research on business process digitalization and the successful implementation of PDPs.</t>
  </si>
  <si>
    <t>Score: 0
Justification:
	•	CI01: not met — The title and abstract do not explicitly mention “Business Process Management” or “BPM.”
	•	CI02: met — The study clearly addresses digital transformation and digital maturity, especially the relationship between digital transformation and organizational resilience.
	•	CI03: met — The abstract mentions technology-related elements such as strategic technology investment, digital maturity, and transformation management.
	•	CI04: met — The study develops and tests a theoretical relationship using scale development, expert panel validation, and empirical analysis with 474 participants, using SEM, EFA, CFA, and path analysis.
	•	CI05: met — The title and abstract are written in English.
CE01–CE04:
	•	CE01: applies for this review — The study is related to digital transformation and organizational resilience, but it is not explicitly related to BPM/Business Process Management, which is mandatory.
	•	CE02: does not apply — It is clearly related to an organizational/business context, focusing on small and medium-sized service enterprises.
	•	CE03: does not apply — It is not a secondary study; it reports primary empirical research.
	•	CE04: does not apply — The abstract provides enough information to assess relevance.
Decision: Exclude, because CI01 is not met.</t>
  </si>
  <si>
    <t>**Score: 0**
**Justification:**
* **CI01: NOT MET** — Neither "Business Process Management" nor "BPM" appears anywhere in the title or abstract. The study focuses on digital transformation and organizational resilience in service enterprises, with no reference to BPM concepts or terminology.
* **CI02: MET** — "Digital transformation" is explicitly referenced in both the title and abstract: *"digital transformation and organizational resilience (OR)," "dimensions of digital maturity."*
* **CI03: NOT MET** — No specific technology from the exemplified list (AI, RPA, process mining, big data, blockchain, IoT, software systems) is explicitly named or applied. The abstract refers to "strategic technology investment" and "digital maturity" in generic terms, without identifying any particular technology.
* **CI04: MET** — The study conducts a scale development with an expert panel, followed by SEM (EFA, CFA, and path analysis) with 474 employees from service enterprises — constituting a rigorous empirical analysis with scale and model development.
* **CI05: MET** — The title and abstract are written in English.
* **CE01–CE04: No exclusion criteria apply** — The study addresses digital transformation (CE01); it is grounded in a business context of SME service enterprises (CE02); it is a primary empirical study, not a secondary review (CE03); the abstract provides sufficient information for evaluation (CE04).
---
**Summary:** The study fails CI01 and CI03 — BPM is not mentioned, and no specific technology is explicitly named. Two unmet inclusion criteria independently disqualify it. The study is therefore **excluded**.</t>
  </si>
  <si>
    <t>He, Zeya; Huang, Huiling; Choi, Hyeyoon; Bilgihan, Anil</t>
  </si>
  <si>
    <t>Building organizational resilience with digital transformation</t>
  </si>
  <si>
    <r>
      <rPr>
        <rFont val="Helvetica Neue"/>
        <color rgb="FF1155CC"/>
        <u/>
      </rPr>
      <t>https://doi.org/10.1108/JOSM-06-2021-0216</t>
    </r>
  </si>
  <si>
    <t>147-171</t>
  </si>
  <si>
    <t xml:space="preserve">Purpose
Uncertain times [e.g. coronavirus disease 2019 (COVID-19)] require service businesses to respond in creative, flexible and resilient ways. This paper aims to develop and test the theoretical relationship between digital transformation and organizational resilience (OR), and the consequences of OR on organizations and employees during turbulent times.
Design/methodology/approach
A scale development was first conducted with an expert panel. Later, 474 participants who work as employees in small and medium-sized service enterprises were recruited for structural equation modeling (SEM). Exploratory factor analysis (EFA), confirmatory factor analysis (CFA) and path analysis were conducted to test the relationship between dimensions of digital maturity, dimensions of OR and two consequential variables: organizational performance and employees’ state optimism.
Findings
Strategic technology investment helps organizations to develop systematic control sustain operations in crises but may not directly contribute to employees’ capabilities of accurately understanding external turmoil, actively seeking available resources and rapidly developing adaptive solutions. Transformation management intensity equips an organization with transformative vision, governance and culture, and such transformative built-in leadership enables the organization to embrace employees with talents and innovativeness and help employees grow their capabilities when facing crises. The dimensions of OR have different influences on the organization and employees.
Originality/value
This research develops and tests the dimensions and measurement items of OR for the services domain and empirically tested how the dimensions of digital maturity influence the dimensions of OR, and how OR influences the organization’s performance and employees’ state optimism.
</t>
  </si>
  <si>
    <t>10.1108/JOSM-06-2021-0216</t>
  </si>
  <si>
    <t>Score: 0
Justification:
	•	CI01: not met — The abstract explicitly mentions robotic process automation (RPA), but it does not explicitly mention “Business Process Management” or “BPM.”
	•	CI02: met — The study clearly addresses digital transformation, especially workforce skills and competencies required for digital transformation.
	•	CI03: met — The study explicitly mentions robotic process automation (RPA) and automation.
	•	CI04: met — The study presents an empirical analysis based on 119 job advertisements, using thematic coding and quantitative analysis.
	•	CI05: met — The title and abstract are written in English.
CE01–CE04:
	•	CE01: applies for this review — The study is related to digital transformation and RPA, but it is not explicitly related to Business Process Management/BPM, which is mandatory.
	•	CE02: does not apply — It is related to an organizational/business context, focusing on workforce competencies, job roles, consulting, and automation.
	•	CE03: does not apply — It is not a secondary study; it analyzes job advertisements as empirical data.
	•	CE04: does not apply — The abstract provides enough information to assess relevance.
Decision: Exclude, because CI01 is not met.</t>
  </si>
  <si>
    <t>**Score: 0**
**Justification:**
* **CI01: NOT MET** — Neither "Business Process Management" nor "BPM" appears anywhere in the title or abstract. The study focuses on skills and competencies for digital transformation in the context of RPA, with no reference to BPM concepts or terminology.
* **CI02: MET** — "Digital transformation" is explicitly and repeatedly referenced: *"digital transformation of organizations," "required skills and competencies for digital transformation," "overall context of digital transformation."*
* **CI03: MET** — Robotic process automation (RPA) is explicitly named as the central technology context: *"robotic process automation (RPA) as an example," "119 job advertisements related to RPA."* RPA is among the explicitly listed technologies in CI03.
* **CI04: MET** — The study conducts a thematic coding analysis of 119 job advertisements, combining qualitative coding and quantitative analysis — constituting a clear empirical analysis.
* **CI05: MET** — The title and abstract are written in English.
* **CE01–CE04: No exclusion criteria apply** — The study addresses digital transformation and RPA (CE01); it is grounded in an organizational/workforce context (CE02); it is a primary empirical study analyzing job advertisements, not a secondary review (CE03); the abstract provides sufficient information for evaluation (CE04).
---
**Summary:** The sole disqualifying factor is CI01 — "Business Process Management" and "BPM" are entirely absent from the title and abstract. This single unmet criterion disqualifies the study. It is therefore **excluded**.</t>
  </si>
  <si>
    <t>Schlegel, Dennis; Kraus, Patrick</t>
  </si>
  <si>
    <t>Skills and competencies for digital transformation – a critical analysis in the context of robotic process automation</t>
  </si>
  <si>
    <r>
      <rPr>
        <rFont val="Helvetica Neue"/>
        <color rgb="FF1155CC"/>
        <u/>
      </rPr>
      <t>https://doi.org/10.1108/IJOA-04-2021-2707</t>
    </r>
  </si>
  <si>
    <t>804-822</t>
  </si>
  <si>
    <t xml:space="preserve">Purpose
Digital transformation of organizations has major implications for required skills and competencies of the workforce, both as a prerequisite for implementation, and, as a consequence of the transformation. The purpose of this study is to analyze required skills and competencies for digital transformation using the context of robotic process automation (RPA) as an example.
Design/methodology/approach
This study is based on an explorative, thematic coding analysis of 119 job advertisements related to RPA. The data was collected from major online job platforms, qualitatively coded and subsequently analyzed quantitatively.
Findings
The research highlights the general importance of specific skills and competencies for digital transformation and shows a gap between available skills and required skills. Moreover, it is concluded that reskilling the existing workforce might be difficult. Many emerging positions can be found in the consulting sector, which raises questions about the permanent vs temporary nature of the requirements, as well as the difficulty of acquiring the required knowledge.
Originality/value
This paper contributes to knowledge by providing new empirical findings and a novel perspective to the ongoing discussion of digital skills, employment effects and reskilling demands of the existing workforce owing to recent technological developments and automation in the overall context of digital transformation.
</t>
  </si>
  <si>
    <t>10.1108/IJOA-04-2021-2707</t>
  </si>
  <si>
    <t>Score: 1
Justification:
        •        CI01: met — The abstract explicitly mentions “Business process management (BPM)”.
        •        CI02: met — The study directly addresses enterprise digital business transformation (EDBT) and the “digital enterprise business era.”
        •        CI03: met — The abstract explicitly mentions information technologies/systems (IT/IS), emerging technologies, and examples such as IoT, big data, and AI.
        •        CI04: met — The study develops a conceptual model and empirically tests it with 173 company-enterprise respondents using SmartPLS and SPSS.
        •        CI05: met — The title and abstract are written in English.
CE01–CE04:
        •        CE01: does not apply — The study is directly related to BPM, IT/IS, and enterprise digital business transformation.
        •        CE02: does not apply — It is clearly in an organizational/business context, focusing on enterprise respondents across several industries in Indonesia.
        •        CE03: does not apply — It is not a secondary study; it reports primary empirical analysis.
        •        CE04: does not apply — The abstract provides enough information to assess relevance.
Decision: Include, because all inclusion criteria are met and no exclusion criterion applies.</t>
  </si>
  <si>
    <t>**Score: 0**
**Justification:**
* **CI01: MET** — "Business process management (BPM)" is explicitly referenced in the opening sentence: *"Business process management (BPM) has been discussed in much literature as a crucial approach to achieve firm-enterprise business performance."*
* **CI02: MET** — "Digital transformation" and related terms are explicitly and repeatedly used: *"enterprise digital business transformation (EDBT)," "digital business transformation," "digital-based era," "transform their business process into digital-based."*
* **CI03: NOT MET** — No specific technology from the exemplified list (AI, RPA, process mining, big data, blockchain, IoT, software systems) is explicitly named as part of the current study's analysis. The study focuses on "IT/IS proactive capability," which is a generic construct, not a named technology. IoT, big data, and AI are mentioned exclusively as suggestions for future research (*"e.g. IoT, big data, AI"*), not as technologies investigated in the present study. Per the evaluation rules, if a criterion is not clearly supported, it must be considered not met.
* **CI04: MET** — The study develops and empirically validates a conceptual model using SmartPLS and SPSS on 173 company respondents from diverse industries in Indonesia — constituting an empirical analysis with a proposed framework.
* **CI05: MET** — The title and abstract are written in English.
* **CE01–CE04: No exclusion criteria apply** — The study addresses BPM and digital transformation (CE01); it is grounded in an organizational/business context of Indonesian enterprises (CE02); it is a primary empirical study, not a secondary review (CE03); the abstract provides sufficient information for evaluation (CE04).
---
**Summary:** Despite meeting CI01, CI02, CI04, and CI05, the study fails CI03 — no specific named technology is studied in the current research; IoT, big data, and AI are referenced only as future research directions. This single unmet criterion disqualifies the study. It is therefore **excluded**.</t>
  </si>
  <si>
    <r>
      <rPr>
        <rFont val="Helvetica Neue"/>
        <color rgb="FF1155CC"/>
        <u/>
      </rPr>
      <t>https://doi.org/10.1108/JEIM-08-2020-0344</t>
    </r>
  </si>
  <si>
    <t>Business process management (BPM) has been discussed in much literature as a crucial approach to achieve firm-enterprise business performance, however in term of digital business transformation to face the current digital enterprise business era, there is still much to be explored. Drawing sociotechnical perspective of ETHICS theory, the study develops and conceptualize information technologies/systems (IT/IS) proactive capability and socialization-codification knowledge process that produce business transformation process in digital-based era.Of the 173 company-enterprise respondents in Indonesia, the authors empirically test and validate the conceptual model using structural equation model tool-SmartPLS and SPSS statistical. The enterprise respondents were manufactures industry, construction services, hardware and software, plantation and agriculture, financial and insurance services, and other retail trade.The authors found different findings of mediating effect and direct relationship effect. Socialization knowledge process has directly influence IT/IS proactive capability and enterprise digital business transformation. Codification knowledge process has successfully support IT/IS proactive capability, but unsupported correlation on enterprise digital business transformation. Also, IT/IS proactive capability positively influence enterprise digital business transformation. Enterprise business process suffers when the firm transform their business process into digital-based only using codification knowledge practices because documented knowledge (codification type) is not strong enough to help company in the way of enterprise digital business transformation. Mediating role show IT/IS proactive capability is crucial approach for enterprise business transformation to maximize codification knowledge practices. The findings present one fully supported results of mediation role through IT/IS proactive capability. A stronger support for enterprise IT/IS strategy in company, a high opportunity for codification knowledge practices to improve the digital ways to transform the enterprise business process. In short, the results can guide enterprise managers on how to manage their knowledge resources and maximizing emerging technologies to achieve enterprise digital business transformation.The authors acknowledged that future studies would be worthwhile to create, develop and strengthen the model and its related foundation. Future research may try different concept/theory that applicable in enterprise digital business transformation. Also, an opportunity for future study is how enterprise digital business transformation in different context of industries with the current emerging technologies (e.g. IoT, big data, AI).This study offers a theoretical and conceptual framework to the applicable digital-based within enterprise business transformation context. A knowledge/novel contribution of this study is the integration of a sociotechnical that highly relevant and drives enterprise digital business transformation. This study also is an effort to combine some areas such as business transformation strategy, knowledge-intensive business services, knowledge management and IT/IS.</t>
  </si>
  <si>
    <t>Score: 0
Justification:
	•	CI01: not met — The abstract does not explicitly mention “Business Process Management” or “BPM.”
	•	CI02: met — The study addresses information technology-enabled innovation, especially the relationship between Business-IT alignment and innovation.
	•	CI03: met — The abstract explicitly mentions information technology and IT-enabled innovation.
	•	CI04: met — The study presents a review/monograph analyzing literature streams and offering guidance to scholars and practitioners.
	•	CI05: met — The title and abstract are written in English.
CE01–CE04:
	•	CE01: applies for this review — The study is related to IT and innovation, but it is not explicitly related to BPM/Business Process Management, which is mandatory.
	•	CE02: does not apply — It is related to an organizational/business context, focusing on firm performance, competitive advantage, and organizational alignment.
	•	CE03: applies — The abstract states that it is a review of alignment and innovation literature from 1990 to 2020, so it is a secondary study.
	•	CE04: does not apply — The abstract provides enough information to assess relevance.
Decision: Exclude, because CI01 is not met and CE03 applies.</t>
  </si>
  <si>
    <t>**Score: 0**
**Justification:**
* **CI01: NOT MET** — Neither "Business Process Management" nor "BPM" appears anywhere in the title or abstract. The study focuses on business-IT alignment and IT-enabled innovation, with no reference to BPM concepts or terminology.
* **CI02: NOT MET** — The terms "digital transformation," "digitalization," and "digital innovation" do not appear explicitly in the title or abstract. The study references "information technology-enabled innovation" and "IT-enabled innovation," but these are distinct terms that do not satisfy the explicit requirement. Per the evaluation rules, if a criterion is not clearly supported, it must be considered not met.
* **CI03: NOT MET** — No specific technology from the exemplified list (AI, RPA, process mining, big data, blockchain, IoT, software systems) is explicitly named or applied. The study examines IT alignment and innovation at an abstract conceptual level without identifying particular technologies.
* **CI04: MET** — The study presents a structured review of 30 years of alignment and innovation literature from eight journals, synthesizing findings and proposing a research agenda — constituting a systematic analytical framework.
* **CI05: MET** — The title and abstract are written in English.
* **CE03: APPLIES** — The study is explicitly a literature review (monograph), examining *"a review of the alignment and innovation literature streams published between 1990 and 2020."* A literature review is explicitly listed as a secondary study type in CE03.
---
**Summary:** The study fails CI01, CI02, and CI03, and CE03 also applies (explicit literature review). Multiple disqualifying conditions are present. The study is therefore **excluded**.</t>
  </si>
  <si>
    <t>Chan, Yolande E.; Krishnamurthy, Rashmi; Ghawe, Ali S.</t>
  </si>
  <si>
    <t>Information Technology Alignment and Innovation: 30 Years of Intersecting Research</t>
  </si>
  <si>
    <r>
      <rPr>
        <rFont val="Helvetica Neue"/>
        <color rgb="FF1155CC"/>
        <u/>
      </rPr>
      <t>https://doi.org/10.1561/2900000021</t>
    </r>
  </si>
  <si>
    <t>231-352</t>
  </si>
  <si>
    <t>Business-IT alignment (hereafter alignment) and information technology-enabled innovation (hereafter innovation) are essential for firm performance and competitive advantage. During the past 30 years, alignment and innovation literature streams have grown and become important areas of inquiry in the Information Systems field. Nevertheless, both literature streams have remained separate; it is unclear where and how the two streams overlap. To our knowledge, none of the existing review articles has systematically examined this overlap or how each literature stream informs the other. In this monograph, we bridge this gap and present findings from a review of the alignment and innovation literature streams published between 1990 and 2020 in the Senior Scholars’ Basket of Eight Journals of the Association for Information Systems. We summarize approaches, challenges, and opportunities seen in the alignment and innovation literature streams. Our analysis reveals that alignment scholars tend to overlook the complexities inherent in the process of innovating and view innovation as a black box. Meanwhile, innovation scholars assume different organizational components during the innovation process seamlessly work together to support alignment. We conclude that scholars in both camps should consider undertaking studies that examine aligning and innovating as interdependent processes: aligning involves coordination and cooperation among business units, and in many cases, innovations are needed to achieve alignment. Similarly, innovating with information technology jolts the organization out of its previous alignment and requires aligning in parallel to innovating to restore alignment. We end the monograph by presenting guidance to both scholars and practitioners interested in alignment and IT-enabled innovation.</t>
  </si>
  <si>
    <t>10.1561/2900000021</t>
  </si>
  <si>
    <t>GPT</t>
  </si>
  <si>
    <t>Authors</t>
  </si>
  <si>
    <t>Year</t>
  </si>
  <si>
    <t>Document Type</t>
  </si>
  <si>
    <t>Link</t>
  </si>
  <si>
    <t>title format</t>
  </si>
  <si>
    <t>abstract format</t>
  </si>
  <si>
    <t>Abstract</t>
  </si>
  <si>
    <t>Page start</t>
  </si>
  <si>
    <t>Page end</t>
  </si>
  <si>
    <t>Open Access</t>
  </si>
  <si>
    <t>Score: 0
Justification:
	•	CI01: not met — The study mentions BPMN (Business Process Model and Notation) and “business processes,” but it does not explicitly mention Business Process Management or BPM. Since the criterion requires explicit mention of BPM/Business Process Management, BPMN alone is not enough.
	•	CI02: met — The abstract addresses digitalization by describing drone application as “a digitalized variant” and investigates technological changes in business processes.
	•	CI03: met — The study explicitly mentions and applies drones as a technology in viticulture.
	•	CI04: met — The study presents a method and empirical basis, including BPMN representation, simulation, literature research, and expert interviews.
	•	CI05: met — The title and abstract are written in English.
	•	CE01–CE04: CE04 applies partially because the abstract provides enough information for most criteria, but CI01 is not clearly supported. The study is related to business processes, digitalized technology, and organizational/agricultural processes, so CE01 and CE02 do not apply. CE03 does not apply because it is not a secondary study. However, because explicit BPM/Business Process Management is missing, the study should be excluded under the scoring rule.</t>
  </si>
  <si>
    <t>**Score: 1**
**Justification:**
- **CI01: Met** — The abstract explicitly mentions "Business Process Model and Notation (BPMN)" and refers to "viticultural business processes" multiple times. BPMN is a core BPM standard, and the study directly applies it as its modeling framework.
- **CI02: Met** — The abstract uses the term "digitalized variant" when describing drone-based crop protection as an alternative to conventional methods, directly referencing digitalization in a process context.
- **CI03: Met** — Drones are explicitly presented as the focal technology. Additionally, BPMN-based simulation implies the use of software/process modeling tools. While drones are not listed among the examples in CI03, the criterion uses "e.g.," confirming the list is non-exhaustive.
- **CI04: Met** — The study presents a method for evaluating the impact of technological changes on business processes, combining BPMN modeling, simulation, literature research, and guideline-based expert interviews. This constitutes both a methodological contribution and an empirical analysis.
- **CI05: Met** — The title and abstract are written in English.
- **CE01: Does not apply** — The study is directly related to BPM (via BPMN), digitalization, and technology (drones).
- **CE02: Does not apply** — Viticulture is an agricultural business context; the study explicitly addresses business processes within that industry.
- **CE03: Does not apply** — This is a primary study. Although it includes a literature review component as part of its data-gathering methodology, it presents original modeling, simulation, and empirical analysis — it is not a secondary study.
- **CE04: Does not apply** — The title and abstract provide sufficient information to assess relevance.</t>
  </si>
  <si>
    <t>Schieck M.; Roemer I.; Oertel A.; Franczyk B.</t>
  </si>
  <si>
    <t>Conference paper</t>
  </si>
  <si>
    <r>
      <rPr>
        <rFont val="Helvetica Neue"/>
        <color rgb="FF1155CC"/>
        <u/>
      </rPr>
      <t>https://www.scopus.com/pages/publications/85183574059?origin=resultslist</t>
    </r>
  </si>
  <si>
    <r>
      <rPr>
        <rFont val="Helvetica Neue"/>
      </rPr>
      <t>This paper presents an investigation into the economic impact of drones in viticulture, an area that has not been previously researched. The authors calculate the economic impacts of drones in viticulture and use this to measure the overall sustainability impact assessment for this technology. The study aims to explore a method for investigating the impact of technological changes on business processes in viticulture. This involves selecting viticultural business processes, representing them using Business Process Model and Notation (BPMN), and considering their simulation. Backpack sprayers and trailed sprayers were considered conventional application methods. The application of crop protection products by drone was considered a digitalized variant. Literature research and guideline-based expert interviews with vinegrowers provided the information basis. The study focuses on plant protection in viticulture, but the results can be applied to other agricultural processes. By integrating all three indicators for sustainability, the study provides an evidence-based method for evaluating the impact of drones on viticultural business processes. © 2023 The Authors. Published by Elsevier B.V. This is an open access article under the CC BY-NC-ND license (</t>
    </r>
    <r>
      <rPr>
        <rFont val="Helvetica Neue"/>
        <color rgb="FF1155CC"/>
        <u/>
      </rPr>
      <t>https://creativecommons.org/licenses/by-nc-nd/4.0</t>
    </r>
    <r>
      <rPr>
        <rFont val="Helvetica Neue"/>
      </rPr>
      <t>)</t>
    </r>
  </si>
  <si>
    <t>All Open Access; Gold Open Access</t>
  </si>
  <si>
    <t>Score: 1
Justification:
	•	CI01: met — The abstract explicitly mentions Business Process Management (BPM) and discusses “BPM capabilities.”
	•	CI02: met — The study directly addresses digital innovation, “digitalization barriers,” and “digital transformation.”
	•	CI03: met — The abstract mentions technologies/capabilities related to digital transformation, including process data analytics and advanced process automation.
	•	CI04: met — The study presents an empirical analysis using a mixed sequential model, 369 questionnaire respondents, 30 qualitative interviews, PLS-SEM, and content analysis.
	•	CI05: met — The title and abstract are written in English.
	•	CE01–CE04: none apply — The study is clearly related to BPM, digital innovation/digital transformation, technologies/capabilities, and an organizational/business context. It is not a secondary study, and the abstract provides enough information to assess relevance.</t>
  </si>
  <si>
    <t>**Score: 1**
**Justification:**
- **CI01: Met** — "Business process management (BPM)" is explicitly named in the very first sentence of the abstract and the term "BPM" is used repeatedly throughout (e.g., "BPM capabilities," "implementing and managing BPM").
- **CI02: Met** — Digital transformation and digitalization are central to the study. The abstract explicitly references "organizational digital innovation" (also in the title), "digital transformation," and "digitalization barriers" as key constructs under investigation.
- **CI03: Met** — The study explicitly mentions technology-related BPM capabilities including "process data analytics," "advanced process automation," and "process architecture and integration." While specific branded technologies (e.g., RPA, AI) are not named, these capabilities are direct references to automation and analytics technologies within a BPM context. CI03 uses "e.g.," confirming the list is non-exhaustive.
- **CI04: Met** — The study presents a rigorous empirical analysis using a mixed sequential model, PLS-SEM structural equation modeling on 369 survey respondents, and content analysis of 30 qualitative interviews. This clearly constitutes an empirical study.
- **CI05: Met** — The title and abstract are written in English.
- **CE01: Does not apply** — The study is directly and centrally about BPM, digital transformation, and related technologies.
- **CE02: Does not apply** — The study is explicitly situated in an organizational/business context, focusing on Indonesian organizations managing digital transformation.
- **CE03: Does not apply** — This is a primary empirical study with original data collection (survey + interviews), not a secondary study.
- **CE04: Does not apply** — The abstract provides comprehensive information about purpose, methodology, findings, and context, making relevance assessment straightforward.</t>
  </si>
  <si>
    <t>Asrif M.I.; Handayani P.W.; Harahap N.C.</t>
  </si>
  <si>
    <t>Article</t>
  </si>
  <si>
    <r>
      <rPr>
        <rFont val="Helvetica Neue"/>
        <color rgb="FF1155CC"/>
        <u/>
      </rPr>
      <t>https://www.scopus.com/pages/publications/105018678321?origin=resultslist</t>
    </r>
  </si>
  <si>
    <t>Purpose – Business process management (BPM) has emerged as one of the most widely adopted approaches for organizations to managing business processes effectively. However, Indonesian organizations often face significant challenges in implementing and managing BPM. This study aims to evaluate the influence of BPM capabilities on organizational digital innovation in Indonesia. Design/methodology/approach – This study employed a mixed sequential model and had 369 valid respondents who filled in the online questionnaire and 30 respondents who participated in qualitative interviews were conducted. Partial least squares structural equation modeling was used to analyze the questionnaire data, while content analysis was used to analyze the qualitative data. Findings – BPM capabilities such as process context management, process compliance management, process data analytics, process architecture and integration and adaptive process improvement exerted a statistically significant influence on reducing digitalization barriers, thereby enabling organizations to better prepare for and manage the complexities of digital transformation. Advanced process automation did not have a significant effect on reducing organizational digitalization barriers. Practical implications – The study emphasizes the importance of prioritizing regulatory compliance and data analytics initiatives before adopting advanced process automation, ensuring job security and promoting a more positive acceptance of change throughout an organization. Originality/value – Strengthening capabilities focused on regulatory compliance and data analytics has proven beneficial in creating a stable and secure work environment, thereby alleviating employees' concerns during digital transformation and encouraging innovation. © 2025 Emerald Publishing Limited</t>
  </si>
  <si>
    <t>Score: 0
Justification:
	•	CI01: not met — The abstract mentions “process modeling and management,” “construction processes,” and “business process model canvas,” but it does not explicitly mention Business Process Management or BPM.
	•	CI02: met — The abstract explicitly mentions “digital transformation of the construction industry.”
	•	CI03: met — The study mentions technologies and data-driven approaches such as process mining, automation, data-informed decision-making, and “latest technological developments.”
	•	CI04: met — The study presents a conceptual process classification framework, structured interviews with experts, and a business process model canvas template.
	•	CI05: met — The title and abstract are written in English.
	•	CE01–CE04: CE03 applies — The title describes the study as “a Critical Review of Three Decades of Research,” and the abstract says it provides an “exhaustive analysis” of the current state of the literature. Therefore, it is a secondary study/review. Also, CI01 is not clearly met because BPM/Business Process Management is not explicitly stated.</t>
  </si>
  <si>
    <t>**Score: 0**
**Justification:**
- **CI01: Not met** — The abstract does not explicitly mention "Business Process Management" as a discipline or use the abbreviation "BPM." While related terms appear — "process mining," "process modeling," "process management," and "business process model canvas template" — none of these constitute an explicit mention of BPM as a field or the term "BPM" itself, as required by the criterion.
- **CI02: Met** — "Digital transformation" is explicitly referenced in the abstract ("the so-called digital transformation of the construction industry") and is framed as a central motivation for the study.
- **CI03: Met** — The study explicitly mentions "process mining" as a data-driven technology, and references "automation," "data-informed decision-making," and "the latest technological developments and methodologies." Process mining is directly listed among CI03's example technologies.
- **CI04: Met** — The study proposes a conceptual process classification framework, a business process model canvas template, conducts structured expert interviews, and identifies research gaps — constituting multiple methodological and analytical contributions.
- **CI05: Met** — The title and abstract are written in English.
- **CE01: Does not apply** — The study is related to process management, digital transformation, and technologies.
- **CE02: Does not apply** — The study is explicitly situated in an organizational/industry context (construction organizations, AEC/FM domain).
- **CE03: Applies** — This is the decisive disqualifying criterion. The title explicitly calls this a "Critical Review of Three Decades of Research," and the abstract confirms the aim is to "provide an exhaustive analysis… as reported by the most current state of the literature." This is a secondary study and is therefore excluded.
- **CE04: Does not apply** — The abstract is detailed and informative.</t>
  </si>
  <si>
    <t>Martinez Lagunas A.J.; Nik-Bakht M.</t>
  </si>
  <si>
    <t>Process Mining, Modeling, and Management in Construction: A Critical Review of Three Decades of Research Coupled with a Current Industry Perspective</t>
  </si>
  <si>
    <r>
      <rPr>
        <rFont val="Helvetica Neue"/>
        <color rgb="FF1155CC"/>
        <u/>
      </rPr>
      <t>https://www.scopus.com/pages/publications/85202977637?origin=resultslist</t>
    </r>
  </si>
  <si>
    <t>The so-called digital transformation of the construction industry is essential to overcoming long-standing global productivity stagnation. This transformation aims to adopt the latest technological developments and methodologies to improve construction productivity while supporting data-informed decision-making. However, the construction sector has fallen short of meeting the fast-growing population's demands for sustainable quality infrastructure at the required pace as it has not yet taken full advantage of these advancements. Despite broad experience in managing projects, when it comes to modeling, monitoring, and re-engineering processes, the construction industry has fallen behind several other industries. To overcome these challenges, efficient construction processes and operational strategies are essential to keeping organizations competitive and meeting market demands. In this regard, even though several studies on process modeling and management in construction exist, research on construction process improvement and automation through data-driven process mining remains understudied. Moreover, the literature lacks a comprehensive review of process-oriented studies with practical industry insights. To fill these gaps, this paper aims to provide an exhaustive analysis of process mining, modeling, and management as reported by the most current state of the literature in the architecture, engineering, construction/facility management (AEC/FM) domain coupled with a current industry perspective. As a result, the authors: (1) propose a conceptual process classification framework that considers the broad spectrum of process-oriented studies in the existing literature; (2) identify construction processes commonly present across a project's life cycle; (3) design and conduct structured interviews with subject matter experts to validate identified processes and get industry insights about them; (4) spot major literature gaps describing future research opportunities; and (5) develop a business process model canvas template that supports construction organizations in improving their corporate memory and pursuing construction productivity growth by better managing, monitoring, and automating construction processes. © 2024 American Society of Civil Engineers.</t>
  </si>
  <si>
    <t>10.1061/JCEMD4.COENG-14727</t>
  </si>
  <si>
    <t>Score: 0
Justification:
	•	CI01: met — The title explicitly mentions Business Process Management, and the abstract refers to “process management.”
	•	CI02: met — The abstract mentions “process automation and digitalization trends.”
	•	CI03: met — The abstract mentions process automation, digitalization, and information system governance.
	•	CI04: not met — The study aims “to start a discourse” and “consider” whether self-managed organizations benefit from process management. The abstract does not clearly present an application, framework, model, method, or empirical analysis.
	•	CI05: met — The title and abstract are written in English.
	•	CE01–CE04: no exclusion criterion clearly applies as a standalone reason, because the topic is related to BPM, digitalization/automation, technology governance, and organizational context. However, the study should be excluded because CI04 is not clearly met.</t>
  </si>
  <si>
    <t>**Score: 0**
**Justification:**
- **CI01: Met** — "Business Process Management" is explicitly stated in the title, and the abstract references "process management," "business process and information system governance," and "business process continuity."
- **CI02: Met** — The abstract explicitly mentions "process automation and digitalization trends" as the context motivating the discussion.
- **CI03: Met (borderline)** — The abstract references "process automation" and "information system governance," both of which are technology-related concepts. While no specific technology (e.g., AI, RPA, IoT) is named, "process automation" and "information systems" constitute explicit technology mentions under the non-exhaustive list in CI03.
- **CI04: Not met** — This is the decisive disqualifying criterion. The stated aim is to "start a discourse and consider if self-managed organizations benefit from a systematic approach of process management." This framing describes a conceptual discussion or position paper — not an application, framework, model, method, or empirical analysis. No research design, data collection, or structured contribution is described in the abstract.
- **CI05: Met** — The title and abstract are written in English.
- **CE01: Does not apply** — The study relates to BPM and digitalization.
- **CE02: Does not apply** — The study is explicitly situated in an organizational management context.
- **CE03: Does not apply** — This is not a secondary study; it appears to be a conceptual/opinion paper.
- **CE04: Does not apply** — The abstract provides sufficient information to assess relevance and make a judgment on CI04.</t>
  </si>
  <si>
    <t>Ore A.; Kuznecova O.; Jegorova A.</t>
  </si>
  <si>
    <r>
      <rPr>
        <rFont val="Helvetica Neue"/>
        <color rgb="FF1155CC"/>
        <u/>
      </rPr>
      <t>https://www.scopus.com/pages/publications/85123320299?origin=resultslist</t>
    </r>
  </si>
  <si>
    <t>Among with process automation and digitalization trends, which requires a strong structural and process-oriented approach, new paradigm of self-managed organization become a mainstream cultivating the value of decentralization of decision power. With different titles as Management 3.0, holacracy, teal organization or reinventing organization, the same idea is spread-a transition from typical hierarchical management pyramid to the flat organization of self-organized teams with given authorities for decision making. Ongoing discussions are both supporting and criticizing. Most of them are focused on organizational changes, mind-set, and methods to assist transition. Keeping attention to the social component of the new management paradigm in organizational ecosystem, an attention to its technical side is missed. It includes business process and information system governance. The aim of the paper is to start a discourse and consider if self-managed organization benefit from a systematic approach of process management, as well as consider risks what can bring to business process continuity. © 2021 IEEE.</t>
  </si>
  <si>
    <t>Score: 0
Justification:
	•	CI01: not met — The title and abstract mention “business processes,” “process automation,” and “Business Process Automation,” but they do not explicitly mention Business Process Management or BPM.
	•	CI02: met — The abstract explicitly mentions digital transformation as “a driving force for competitive business.”
	•	CI03: met — The study explicitly addresses process automation as a technology applied to retail business processes.
	•	CI04: met — The paper discusses elements of a conceptual framework for implementing process automation in the retail sector.
	•	CI05: met — The title and abstract are written in English.
	•	CE01–CE04: none clearly apply as the main exclusion reason — The study is related to digital transformation, technology, business processes, and organizational/business context. It does not appear to be a secondary study, and the abstract provides enough information. However, it should be excluded because CI01 is not met: there is no explicit mention of BPM/Business Process Management.</t>
  </si>
  <si>
    <t>**Score: 0**
**Justification:**
- **CI01: Not met** — Neither "Business Process Management" nor the abbreviation "BPM" appears anywhere in the title or abstract. The title uses "Business Process Automation," which is a related but distinct concept. BPM as a discipline or framework is never referenced. Per the instructions, if a criterion is not clearly supported, it must be considered not met.
- **CI02: Met** — The abstract opens by explicitly stating "Digital transformation nowadays is stated as a driving force for competitive business," making it a central framing concept.
- **CI03: Not met (borderline)** — While "process automation" is repeatedly mentioned, no specific technology is named — the abstract refers vaguely to "the technology" without identifying it (e.g., no mention of RPA, AI, IoT, software systems, etc.). The criterion requires an explicit mention or application of technologies, and generalized references to unnamed "technology" and "automation" fall short of that threshold.
- **CI04: Met (borderline)** — The abstract states the paper "discusses elements of a conceptual framework for process automation considering retail specific." While partial and exploratory, this constitutes a framework-oriented contribution.
- **CI05: Met** — The title and abstract are written in English.
- **CE01: Does not apply** — The study relates to business processes and digital transformation.
- **CE02: Does not apply** — The retail sector is clearly an organizational/business context.
- **CE03: Does not apply** — This is a primary research paper summarizing the authors' own investigation.
- **CE04: Does not apply** — The abstract provides sufficient information to assess the study's scope and relevance.
The study is excluded primarily due to the failure of **CI01** (no explicit mention of BPM or the term "BPM") and the weakness of **CI03** (no specific technology is named).</t>
  </si>
  <si>
    <t>Lazareva N.; Karasevskis K.; Girjatovcs A.; Kuznecova O.</t>
  </si>
  <si>
    <r>
      <rPr>
        <rFont val="Helvetica Neue"/>
        <color rgb="FF1155CC"/>
        <u/>
      </rPr>
      <t>https://www.scopus.com/pages/publications/85142936679?origin=resultslist</t>
    </r>
  </si>
  <si>
    <t>Digital transformation nowadays is stated as a driving force for competitive business. It is widely mentioned in many industries as a key factor to meet the ambition of being an innovative company. Although a lack of understanding the essence of the technology, its value and functional benefits can result in missed expectation and losses of time and monetary investments. Despite various use cases and success stories, implementation of the technology into organization business processes requires strong understanding how a particular technology can deliver business expected values. The paper summarizes authors' research on automation implementation in retail business. The goal is to explore what activities should the company perform to successfully implement process automation in Retail sector. Although there are frameworks available describing process automation implementation, there is limited research available specifically for the retail industry. The paper discusses elements of a conceptual framework for process automation considering retail specific, also considered within the paper. © 2022 IEEE.</t>
  </si>
  <si>
    <t>Score: 1
Justification:
	•	CI01: met — The title explicitly mentions BPM, and the abstract mentions “business process management (BPM)” and “BPM maturity.”
	•	CI02: met — The abstract explicitly states that BPM served as an enabler of digital transformation and describes SLT as a “digitally enabled enterprise.”
	•	CI03: met — The abstract mentions several technologies and IT initiatives, including customer relationship management, enterprise resource planning, service-oriented architecture, and robotic process automation.
	•	CI04: met — The study is a case study and presents a transferable roadmap based on SLT’s BPM transformation experience.
	•	CI05: met — The title and abstract are written in English.
	•	CE01–CE04: none apply — The study is directly related to BPM, digital transformation, technologies, and an organizational/business context. It is not a secondary study, and the title/abstract provide enough information to assess relevance.</t>
  </si>
  <si>
    <t>**Score: 1**
**Justification:**
- **CI01: Met** — "Business process management (BPM)" is explicitly spelled out in the abstract, and the abbreviation "BPM" is used repeatedly throughout (e.g., "BPM maturity," "BPM practices," "BPM as a strategic capability," "BPM can move beyond efficiency").
- **CI02: Met** — Digital transformation is explicitly and centrally referenced: the study describes a journey toward becoming "a digitally enabled enterprise" and frames BPM as "an enabler of digital transformation, strategic alignment, and cultural renewal."
- **CI03: Met** — Multiple specific technologies are explicitly named: **robotic process automation (RPA)**, customer relationship management (CRM), enterprise resource planning (ERP), and service-oriented architecture (SOA) — all of which fall within the scope of CI03's examples or software systems category.
- **CI04: Met** — The abstract explicitly identifies this as a **case study** documenting the real-world transformation of Sri Lanka Telecom. It describes an applied, empirical account of BPM institutionalization within an organization, constituting both an application and an empirical analysis.
- **CI05: Met** — The title and abstract are written in English.
- **CE01: Does not apply** — The study is directly and comprehensively about BPM, digital transformation, and specific technologies.
- **CE02: Does not apply** — The study is firmly grounded in an organizational/business context (Sri Lanka Telecom, a national telecommunications operator).
- **CE03: Does not apply** — This is a primary case study based on the organization's own transformation experience, not a secondary study reviewing existing literature.
- **CE04: Does not apply** — The abstract is rich with detail, enabling a thorough and confident relevance assessment.</t>
  </si>
  <si>
    <t>Naleen J.D.R.; Dinusha R.; Ishadi M.; Bandula W.; Wasana B.; Rehan S.</t>
  </si>
  <si>
    <t>From Silos to Synergy: Embedding BPM at Sri Lanka Telecom to Drive Strategic Alignment</t>
  </si>
  <si>
    <r>
      <rPr>
        <rFont val="Helvetica Neue"/>
        <color rgb="FF1155CC"/>
        <u/>
      </rPr>
      <t>https://www.scopus.com/pages/publications/105017652480?origin=resultslist</t>
    </r>
  </si>
  <si>
    <t>This case study details the internally led transformation of Sri Lanka Telecom (SLT) from a legacy, siloed telco into a process-oriented, digitally enabled enterprise. Confronted by deregulation, increasing customer expectations, and fragmented operations, SLT lacked both business process management (BPM) maturity and external consultancy support. In response, the organisation initiated a 'learning-by-doing' journey that gradually institutionalised BPM as a strategic capability. Anchored by the TM Forum's enhanced Telecom Operations Map (eTOM) process framework and catalysed by pressing operational pain points, SLT's business process re-engineering team evolved from a small task force into a center of excellence. BPM practices were progressively embedded into major IT initiatives, including customer relationship management, enterprise resource planning, service-oriented architecture, and robotic process automation, enabling greater agility, transparency, and service responsiveness. SLT's experience offers compelling insights into how process capability can be built from within, by empowering internal champions, aligning with global reference models, and embracing iterative stakeholder-driven design. The case shows how BPM can move beyond efficiency, serving as an enabler of digital transformation, strategic alignment, and cultural renewal. It provides a transferable roadmap for organisations seeking sustainable transformation under resource constraints, specially in emerging markets. © 2025 CEUR-WS. All rights reserved.</t>
  </si>
  <si>
    <t>Score: 0
Justification:
	•	CI01: not met — The abstract does not mention Business Process Management (BPM), “BPM,” or business process management concepts.
	•	CI02: not met — The abstract mentions “digitalization in the medical field,” but it does not clearly address digital transformation, digitalization, or digital innovation in relation to BPM/business processes.
	•	CI03: met — The study explicitly mentions technologies such as an IoT device, remote patient monitoring, and a Telegram bot.
	•	CI04: met — The study presents an application/device, ROH-BOT, for remote patient monitoring.
	•	CI05: met — The title and abstract are written in English.
	•	CE01–CE04: CE01 applies — The study is about an IoT wearable health device for remote patient monitoring, but it is not related to BPM or business process management. CE02 may also apply, because the abstract focuses on patient monitoring/telemedicine and does not clearly frame the study in an organizational or business context.</t>
  </si>
  <si>
    <t>**Score: 0**
**Justification:**
- **CI01: Not met** — Neither "Business Process Management" nor the abbreviation "BPM" appears anywhere in the title or abstract. The study is focused entirely on a healthcare IoT device with no reference to BPM as a discipline or practice.
- **CI02: Met (marginal)** — The abstract contains one mention of "digitalization": "ROH-BOT increases the growing digitalization in the medical field." While present, this is a peripheral reference rather than a central theme.
- **CI03: Met** — IoT is explicitly mentioned in the abstract ("ROH-BOT is an IoT device"), which is one of the technologies listed in CI03.
- **CI04: Met** — The study presents a concrete technical application (the ROH-BOT device) developed and described for real-world deployment.
- **CI05: Met** — The title and abstract are written in English.
- **CE01: Partially applicable** — While the study mentions IoT technology and a passing reference to digitalization, it is entirely unrelated to BPM and to digital transformation in any organizational sense. The study's subject matter — a wearable patient monitoring device for COVID-19 management — falls outside the research domain of this review.
- **CE02: Applies** — The study is set in a clinical/medical context focused on individual patient health monitoring. It does not address any organizational or business management context, business processes, or enterprise operations.
- **CE03: Does not apply** — This is a primary technical study.
- **CE04: Does not apply** — The abstract provides sufficient information to assess relevance — and clearly demonstrates the study falls outside the scope of the research topic.
The study is excluded on the basis of **CI01** (no mention of BPM) and **CE02** (no organizational or business context).</t>
  </si>
  <si>
    <t>Agriesti C.; De Cinque M.I.; Carloni F.; Santambrogio M.D.</t>
  </si>
  <si>
    <t>ROH-BOT: An IoT Wearable and Inclusive Health Device for Remote Patient Monitoring with Different Alarm Systems</t>
  </si>
  <si>
    <r>
      <rPr>
        <rFont val="Helvetica Neue"/>
        <color rgb="FF1155CC"/>
        <u/>
      </rPr>
      <t>https://www.scopus.com/pages/publications/85141783795?origin=resultslist</t>
    </r>
  </si>
  <si>
    <t>For the last two years, the world has been fighting an invisible enemy: COVID-19 (coronavirus). The spreading of this virus caused an unprecedented pandemic, bringing out some critical health system issues due to overcrowded hospitals and undersized medical personnel compared to the number of infected. Indeed, in this context, health facilities have proven inadequate in treating COVID-19 patients who were in quarantine at home, leading to overcrowded hospitals. An efficient home monitoring system would have reserved hospital beds for patients in severe conditions while, at the same time, doctors would have followed up on patients who had mild disease symptoms remotely. Unfortunately, the development of telemedicine was not enough; devices were not user-friendly and had insufficient memory to guarantee daily data storage. ROH-BOT is an IoT device that allows real-Time contact with the doctor, tracking the patient's vital values, and registers the critical parameters that characterize the specific disease. It also allows quick contact with a trusted third person due to its association with a Telegram bot. Moreover, thanks to its user-friendly characteristics, ROH-BOT increases the growing digitalization in the medical field and the democratization of medical technology. In this way, ROH-BOT aims to solve the difficulties related to home monitoring relieved during the pandemic. © 2022 IEEE.</t>
  </si>
  <si>
    <t>Score: 0
Justification:
	•	CI01: not met — The abstract mentions “perioperative process,” “sub-processes,” and “process complexity,” but it does not explicitly mention Business Process Management or BPM.
	•	CI02: met — The abstract explicitly mentions digital transformation and says a digital transformation framework is used.
	•	CI03: met — The study explicitly mentions robotic assisted surgical procedures, information technology (IT), and robotic assisted scheduling capabilities.
	•	CI04: met — The study presents an empirical analysis based on a 193-month longitudinal study in a hospital environment and uses a digital transformation framework.
	•	CI05: met — The title and abstract are written in English.
	•	CE01–CE04: CE02 may apply partially because the study is in a hospital organizational context, but not clearly a business/organizational BPM context. CE03 does not apply because it is not a secondary study. CE04 does not apply because the abstract provides enough information. The main reason for exclusion is that CI01 is not met, since BPM/Business Process Management is not explicitly mentioned.</t>
  </si>
  <si>
    <t>**Score: 0**
**Justification:**
- **CI01: Not met** — Neither "Business Process Management" nor the abbreviation "BPM" appears in the title or abstract. While the abstract references "perioperative process," "sub-processes," and "process complexity," these are clinical/operational terms and do not constitute an explicit mention of BPM as a discipline or framework.
- **CI02: Met** — "Digital transformation" is explicitly mentioned twice: "a digital transformation framework" is applied in the study, and the abstract references "existing perioperative scheduling and digital transformation literature."
- **CI03: Met (borderline)** — "Information technology (IT)" is explicitly referenced as the analytical lens ("viewed through a lens of information technology (IT) impact on core capabilities and core strategy"). While vague, IT encompasses software systems as listed in CI03. Note that "robotic assisted surgery" refers to surgical robotics (a medical technology), not robotic process automation (RPA).
- **CI04: Met** — The study presents both a digital transformation framework and a longitudinal empirical analysis spanning 193 months at a large academic medical center, constituting a substantial empirical contribution.
- **CI05: Met** — The title and abstract are written in English.
- **CE01: Does not apply** — The study is related to digital transformation and technology (IT).
- **CE02: Applies** — The study is set in a clinical/surgical context focused on perioperative scheduling for robotic-assisted surgeries. Despite a hospital being an organization, the subject matter is medical procedure scheduling with no reference to business operations, enterprise management, or organizational business processes. The context does not meet the organizational or business framing required.
- **CE03: Does not apply** — This is a primary longitudinal empirical study.
- **CE04: Does not apply** — The abstract provides sufficient detail to assess relevance.
The study is excluded primarily due to **CI01** (no mention of BPM) and **CE02** (the context is clinical/surgical rather than organizational or business-oriented).</t>
  </si>
  <si>
    <t>Ryan J.; Ou P.-Y.</t>
  </si>
  <si>
    <t>Scheduling Robotic Assisted Surgery within the Perioperative Process</t>
  </si>
  <si>
    <r>
      <rPr>
        <rFont val="Helvetica Neue"/>
        <color rgb="FF1155CC"/>
        <u/>
      </rPr>
      <t>https://www.scopus.com/pages/publications/85213024491?origin=resultslist</t>
    </r>
  </si>
  <si>
    <t>This study examines the outcomes of perioperative operating room scheduling using robotic assisted surgical procedures within the hospital environment. Based on a 193-month longitudinal study of a large 1,157 registered-bed academic medical center, the observed effects are viewed through a lens of information technology (IT) impact on core capabilities and core strategy. To this end, a digital transformation framework yields a patient-centric improvement across the perioperative scheduling of robotic assisted surgeries and the associated sub-processes. This research adds to existing perioperative scheduling and digital transformation literature, as well as highlights limitations on robotic assisted surgeries, potential capabilities, and subsequent contextual understanding to minimize perioperative process complexity with respect to improved robotic assisted scheduling capabilities. Conclusions include theoretical and practical implications as well as study limitations. © 2024 30th Americas Conference on Information Systems, AMCIS 2024. All rights reserved.</t>
  </si>
  <si>
    <t>Score: 0
Justification:
	•	CI01: not met — The abstract mentions “processes,” but it does not explicitly mention Business Process Management or BPM.
	•	CI02: met — The study explicitly focuses on digital transformation and the success of digital transformation projects.
	•	CI03: met — The abstract mentions companies using technology to improve their processes and gain competitive advantage.
	•	CI04: met — The study presents an empirical analysis using questionnaire data from 264 employees, Structural Equation Modelling, AMOS software, and a proposed conceptual framework.
	•	CI05: met — The title and abstract are written in English.
	•	CE01–CE04: none clearly apply as standalone exclusion criteria, because the study is related to digital transformation, technology, and organizational/business context, and it is not a secondary study. However, the study should be excluded because CI01 is not met: there is no explicit mention of BPM/Business Process Management.</t>
  </si>
  <si>
    <t>**Score: 0**
**Justification:**
- **CI01: Not met** — Neither "Business Process Management" nor the abbreviation "BPM" appears anywhere in the title or abstract. The abstract makes a general reference to "use technology to improve their processes," but this does not constitute an explicit mention of BPM as a discipline or framework.
- **CI02: Met** — Digital transformation is the explicit and central focus of the entire study, referenced extensively throughout the abstract ("digital transformation projects," "success of digital transformation," "digital transformation strategies").
- **CI03: Not met** — No specific technology is named or applied in the study. The abstract refers generically to "technology" without identifying any concrete example (e.g., AI, RPA, IoT, process mining, etc.). "AMOS software" appears only as a statistical analysis tool used in the research methodology, not as a technology under investigation. Generic references to "technology" are insufficient to satisfy CI03's requirement for explicit mention.
- **CI04: Met** — The study presents an empirical analysis based on questionnaire data from 264 employees, analyzed using Structural Equation Modelling (SEM) with AMOS, and develops a proposed conceptual framework. This constitutes both an empirical study and a framework contribution.
- **CI05: Met** — The title and abstract are written in English.
- **CE01: Does not apply** — The study is related to digital transformation.
- **CE02: Does not apply** — The study is explicitly situated in an organizational/business context, examining firms and employees in the context of digital transformation projects.
- **CE03: Does not apply** — This is a primary empirical study with original data collection.
- **CE04: Does not apply** — The abstract provides sufficient information to assess relevance.
The study is excluded due to the failure of **CI01** (no mention of BPM) and **CI03** (no specific technology named or applied).</t>
  </si>
  <si>
    <t>Alshammari K.H.; Alshallaqi M.; Al-Mamary Y.H.</t>
  </si>
  <si>
    <t>Digital transformation dilemma in the era of changing dynamics: How organizational culture influence the success of digital transformation</t>
  </si>
  <si>
    <r>
      <rPr>
        <rFont val="Helvetica Neue"/>
        <color rgb="FF1155CC"/>
        <u/>
      </rPr>
      <t>https://www.scopus.com/pages/publications/85200791782?origin=resultslist</t>
    </r>
  </si>
  <si>
    <t>BACKGROUND: Digital transformation has become one of the most important topics in business, as companies try to use technology to improve their processes and gain a competitive edge. However, the success of digital transformation projects can be affected by organizational culture, which can make it easier or harder for digital transformation projects to be successfully implemented. OBJECTIVE: This study seeks to investigate the impact of organizational culture on the success of digital transformation. The study measures dimensions of organizational culture and how they impact the success of digital transformation projects. METHODS: 264 employees from various firms provided information via a questionnaire, and the study used Structural Equation Modelling (SEM) with AMOS software to evaluate the information and develop the proposed conceptual framework. RESULTS: The results demonstrate that employee empowerment has a positive and significant impact on digital transformation, while new organizational practice, support of change, and teamwork do not. CONCLUSIONS: These findings are crucial for advancing the current understanding of the role of organizational culture in the success of digital transformation projects. By shedding light on this relationship, this study contributes to the literature on digital transformation and provides organizations with insights that can inform their digital transformation strategies. © 2024 – IOS Press.</t>
  </si>
  <si>
    <t>10.3233/HSM-230163</t>
  </si>
  <si>
    <t>Score: 1
Justification:
	•	CI01: met — The title and abstract explicitly mention business process management (BPM).
	•	CI02: met — The study explicitly addresses digital innovation (DI) and “digital process innovation.”
	•	CI03: met — The abstract refers to the “information revolution,” digital innovation applied to business processes, and extends the technology–organization–environment (TOE) framework.
	•	CI04: met — The study presents a mixed-methods empirical analysis, including an international survey, an expert panel, and a readiness matrix.
	•	CI05: met — The title and abstract are written in English.
	•	CE01–CE04: none apply — The study is directly related to BPM, digital innovation, technology, and organizational/business context. It is not a secondary study, and the abstract provides enough information to assess relevance.</t>
  </si>
  <si>
    <t>**Score: 0**
**Justification:**
- **CI01: Met** — "Business process management (BPM)" is explicitly stated in both the title and the abstract, and the abbreviation "BPM" is used directly. It is also a central construct of the study.
- **CI02: Met** — "Digital innovation (DI)" is explicitly mentioned and is the second core construct of the study. "Digital process innovation (DPI)" is also introduced as a derived concept. Digital innovation is explicitly included among CI02's qualifying terms.
- **CI03: Not met** — No specific technology is named or applied in the abstract. While the study discusses "digital innovation" and references the "technology–organization–environment (TOE) framework," neither constitutes an explicit mention of a technology such as AI, RPA, process mining, big data, blockchain, IoT, or software systems. The TOE framework treats technology as a contextual dimension, not as a named, applied technology. Generic references to "digital innovation" are insufficient to satisfy CI03's requirement for explicit identification of technologies.
- **CI04: Met** — The study presents a mixed-methods empirical analysis (international survey + expert panel), extends the TOE framework, and introduces a digital process innovation readiness matrix — constituting both an empirical study and a framework contribution.
- **CI05: Met** — The title and abstract are written in English.
- **CE01: Does not apply** — The study is directly related to BPM and digital innovation.
- **CE02: Does not apply** — The study focuses on organizations and strategic decision-making, clearly situated in a business context.
- **CE03: Does not apply** — This is a primary mixed-methods study with original data collection (survey and expert panel).
- **CE04: Does not apply** — The abstract provides sufficient detail to make a clear relevance assessment.
The study is excluded solely due to **CI03** — no specific technology is explicitly mentioned or applied.</t>
  </si>
  <si>
    <t>Van Looy A.</t>
  </si>
  <si>
    <r>
      <rPr>
        <rFont val="Helvetica Neue"/>
        <color rgb="FF1155CC"/>
        <u/>
      </rPr>
      <t>https://www.scopus.com/pages/publications/85097754013?origin=resultslist</t>
    </r>
  </si>
  <si>
    <t>The information revolution leaves its mark on businesses, resulting in organizations looking for digital innovation (DI) to apply to their business processes and anticipate competitors. Since the interplay between business process management (BPM) and DI has been underdeveloped, this mixed-methods article investigates the strength and nature of the relationship. We supplement the findings of an international survey (stage 1) with explanations from an expert panel (stage 2) to generalize a positive yet moderate link because of manifold contextual factors affecting strategic decision-making. We extend the technology–organization–environment (TOE) framework and profile organizations along their digital process innovation (DPI) mastery in a readiness matrix. © 2020 Elsevier B.V.</t>
  </si>
  <si>
    <t>Score: 1
Justification:
	•	CI01: met — The title explicitly mentions BPM, and the abstract refers to “established BPM ideas and methods” and “situations that BPM addresses.”
	•	CI02: met — The abstract mentions “rapid changes related to automation, digitalization, and AI.”
	•	CI03: met — The abstract explicitly mentions technologies such as automation and AI.
	•	CI04: met — The study presents a new RAVC framework and discusses its application through a medical example.
	•	CI05: met — The title and abstract are written in English.
	•	CE01–CE04: none apply — The study is related to BPM, digitalization/AI/automation, technology, and an organizational/business process context. It is not presented as a secondary study, and the abstract provides enough information to assess relevance.</t>
  </si>
  <si>
    <t>**Score: 1**
**Justification:**
- **CI01: Met** — "BPM" is explicitly used in the title and appears multiple times throughout the abstract ("established BPM ideas and methods," "various aspects of BPM," "BPM extensions"). There is no ambiguity.
- **CI02: Met** — "Digitalization" is explicitly mentioned in the opening sentence ("Rapid changes related to automation, digitalization, and AI have generated attempts to re-think established BPM ideas and methods"), positioning it as a direct motivating force for the study.
- **CI03: Met** — "AI" is explicitly named in the abstract alongside "automation" and "digitalization." AI is directly listed among CI03's example technologies, making this criterion clearly satisfied.
- **CI04: Met** — The abstract explicitly states "This paper presents a new RAVC framework (Resources for Action, Value for Customers)," constituting a concrete framework contribution. The paper also applies the framework across six levels of granularity using an illustrative example.
- **CI05: Met** — The title and abstract are written in English.
- **CE01: Does not apply** — The study is directly and centrally related to BPM, digitalization, and AI.
- **CE02: Does not apply** — The study is firmly grounded in organizational and business contexts, addressing work systems, business processes, and the delivery of products/services valued by customers.
- **CE03: Does not apply** — This is a primary study presenting an original theoretical framework (RAVC), not a review of existing literature.
- **CE04: Does not apply** — The abstract provides clear and sufficient information for a confident relevance assessment.</t>
  </si>
  <si>
    <t>Alter S.</t>
  </si>
  <si>
    <t>Extending BPM by Treating Processes as Components of Work Systems that Produce Product/Services Valued by Their Customers</t>
  </si>
  <si>
    <r>
      <rPr>
        <rFont val="Helvetica Neue"/>
        <color rgb="FF1155CC"/>
        <u/>
      </rPr>
      <t>https://www.scopus.com/pages/publications/105010827966?origin=resultslist</t>
    </r>
  </si>
  <si>
    <t>Rapid changes related to automation, digitalization, and AI have generated attempts to re-think established BPM ideas and methods. A new extension of work system theory (WST) and the work system perspective provide a path toward a multi-level understanding of situations that BPM addresses. This paper presents a new RAVC framework (Resources for Action, Value for Customers) that can be applied in different ways at six levels of granularity that apply the notion of using resources to produce product/services valued by customers. Basic ideas about WST are summarized and related to various aspects of BPM. The impetus for the new RAVC idea is presented along with assumptions underlying its application. RAVC is discussed using a medical example designed to illustrate selected ideas in each of six levels. The concluding section reflects on how WST and RAVC might inspire BPM extensions in directions that may not have been pursued to date. © 2024 International Conference on Information Systems. All Rights Reserved.</t>
  </si>
  <si>
    <t>Score: 1
Justification:
	•	CI01: met — The title mentions BPM, and the abstract explicitly states “Business process management (BPM).”
	•	CI02: met — The abstract mentions “digital transformation age” and reports effects on “digital innovation.”
	•	CI03: met — The study refers to digital transformation/digital innovation and proposes a collaborative network communication model (CNCM) related to organizational communication operations.
	•	CI04: met — The study is a case study and presents models, including CNCM and a theory relationship model, supported by interviews, company records, and observations.
	•	CI05: met — The title and abstract are written in English.
	•	CE01–CE04: none apply — The study is related to BPM, digital transformation/digital innovation, organizational/business context, and presents empirical case-study evidence. It is not a secondary study, and the abstract provides enough information to assess relevance.</t>
  </si>
  <si>
    <t>**Score: 0**
**Justification:**
- **CI01: Met** — "Business process management (BPM)" is explicitly stated in both the title and the abstract, with "BPM" used repeatedly throughout ("ambidexterity BPM," "hidden costs and ambidexterity BPM"). Clearly met.
- **CI02: Met** — "Digital transformation" is explicitly referenced ("In the digital transformation age") and "digital innovation" appears in the findings section of the abstract. Both are central contextual elements.
- **CI03: Not met** — No specific technology is named or applied in the abstract. The study focuses on organizational communication structures, cross-department collaboration, hidden costs, and ambidexterity theory. BPM is framed as a "business operation management method" rather than as a technology. The proposed CNCM is a theoretical model, not a technology. No reference to AI, RPA, process mining, big data, blockchain, IoT, or software systems appears anywhere in the abstract.
- **CI04: Met** — The study presents two models (CNCM and a theory relationship model) and conducts a primary case study with empirical data collected through 40 interviews, company records, and 3 months of observations.
- **CI05: Met** — The title and abstract are written in English.
- **CE01: Does not apply** — The study is related to BPM and digital transformation.
- **CE02: Does not apply** — The study is explicitly set in an organizational/business context, examining companies in China and their cross-department communication and performance.
- **CE03: Does not apply** — This is a primary empirical case study with original data collection.
- **CE04: Does not apply** — The abstract provides sufficient information for a clear relevance assessment.
The study is excluded solely due to **CI03** — no specific technology is explicitly mentioned or applied.</t>
  </si>
  <si>
    <t>Yanfei Z.; Monod E.</t>
  </si>
  <si>
    <t>BPM OR CPM？A CASE STUDY OF CROSS-DEPARTMENT COMMUNICATION BUSINESS OPERATION AND HIDDEN COST RELATED TO AMBIDEXTERITY PERFORMANCE</t>
  </si>
  <si>
    <r>
      <rPr>
        <rFont val="Helvetica Neue"/>
        <color rgb="FF1155CC"/>
        <u/>
      </rPr>
      <t>https://www.scopus.com/pages/publications/85192532577?origin=resultslist</t>
    </r>
  </si>
  <si>
    <t>Business process management (BPM) as a mature business operation management method has been applied by many enterprises. Its main concerns focus on solving the cross departmental communication problems. Cross-department communication is a visible symptom of the growing business problems of companies related to complexity，it is also a problem strongly related to BPM. These barriers will lead to low efficiency and poor-quality work, which is common in most organizations in China. This will bring hidden costs to the organization and even impact long-term performance. In the digital transformation age, organization ambidexterity is more important than ever to obtain short-term and long-term benefits. This case study suggests to combine the ambidextrous and hidden costs theory for outlining a collaborative network communication model (CNCM) and theory relationship model of hidden costs and ambidexterity BPM, in order to investigate the effect between the cross-department communication operation structure and organizational performance. This case study provided data collection by three data sources: 40 interviews of managers and employees, company records，observations over 3 months. The findings of the field study of this case are that cross-department communication operation structure has an effect on organizational performance and digital innovation. It also suggests that CNCM positively influences organizational exploration and exploitation ability. It can also alleviate cross-department communication obstacles, low efficiency, and poor-quality work. © 2022 International Conference on Information Systems, ICIS 2022: "Digitization for the Next Generation". All Rights Reserved.</t>
  </si>
  <si>
    <t>Score: 1
Justification:
	•	CI01: met — The title explicitly mentions BPM, and the abstract mentions “Business Process Management methodology” and “Business Process Management System.”
	•	CI02: met — The abstract addresses digitalization of care pathways and care process redesign, including “CPs digitalization” and “digitalization for chronic patients.”
	•	CI03: met — The study explicitly mentions telemedicine, e-health technologies, advanced devices, ICT systems, and an integrated IT system.
	•	CI04: met — The study presents and applies an innovative methodological framework/model, TALIsMAn, to support care process redesign and digitalization.
	•	CI05: met — The title and abstract are written in English.
	•	CE01–CE04: none apply — The study is related to BPM, digitalization, technologies, and an organizational healthcare context. It is not presented as a secondary study, and the abstract provides enough information to assess relevance.</t>
  </si>
  <si>
    <t>**Score: 1**
**Justification:**
- **CI01: Met** — "Business Process Management" is explicitly stated in both the title (as "BPM") and the abstract ("Business Process Management methodology implementation" and "Business Process Management System"). There is no ambiguity.
- **CI02: Met** — "Digitalization" appears multiple times in the abstract ("care process redesign and digitalization," "CPs digitalization," "digitalization of CPs"). "Digital health" and "digital ecosystem" are also explicitly referenced, making this criterion clearly satisfied.
- **CI03: Met** — Multiple technologies are explicitly named: "e-health technologies," "telemedicine services," "Information and Communication Technology (ICT) systems and devices," and an integrated "IT system." These fall squarely within the "software systems" category of CI03. The Business Process Management System is also identified as a technological component of the solution.
- **CI04: Met** — The study presents an innovative model (TALIsMAn) and "a novel methodological framework based on organizational, clinical and technological innovation." It also describes the application and implementation of BPM methodology within an Italian research project, constituting both a framework contribution and an applied empirical study.
- **CI05: Met** — The title and abstract are written in English.
- **CE01: Does not apply** — The study is directly related to BPM, digitalization, and technologies.
- **CE02: Does not apply** — The study is explicitly framed around organizational processes, care pathway management, and institutional healthcare systems — all of which constitute an organizational context. Healthcare organizations are organizations, and the study addresses their management, redesign, and operational improvement.
- **CE03: Does not apply** — This is a primary study presenting and applying an original framework (TALIsMAn) within a real Italian research project. It is not a secondary study.
- **CE04: Does not apply** — The abstract is detailed and provides ample information to assess relevance confidently.</t>
  </si>
  <si>
    <t>Rocco C.; Mitrano G.; Corallo A.; Pontrandolfo P.; Guerri D.</t>
  </si>
  <si>
    <r>
      <rPr>
        <rFont val="Helvetica Neue"/>
        <color rgb="FF1155CC"/>
        <u/>
      </rPr>
      <t>https://www.scopus.com/pages/publications/85192360415?origin=resultslist</t>
    </r>
  </si>
  <si>
    <t>Purpose: The future increase of chronic diseases in the world requires new challenges in the health domain to improve patients' care from the point of view of the organizational processes, clinical pathways and technological solutions of digital health. For this reason, the present paper aims to focus on the study and application of well-known clinical practices and efficient organizational approaches through an innovative model (TALIsMAn) to support new care process redesign and digitalization for chronic patients. Design/methodology/approach: In addition to specific clinical models employed to manage chronic conditions such as the Population Health Management and Chronic Care Model, we introduce a Business Process Management methodology implementation supported by a set of e-health technologies, in order to manage Care Pathways (CPs) digitalization and procedures improvement. Findings: This study shows that telemedicine services with advanced devices and technologies are not enough to provide significant changes in the healthcare sector if other key aspects such as health processes, organizational systems, interactions between actors and responsibilities are not considered and improved. Therefore, new clinical models and organizational approaches are necessary together with a deep technological change, otherwise, theoretical benefits given by telemedicine services, which often employ advanced Information and Communication Technology (ICT) systems and devices, may not be translated into effective enhancements. They are obtained not only through the implementation of single telemedicine services, but integrating them in a wider digital ecosystem, where clinicians are supported in different clinical steps they have to perform. Originality/value: The present work defines a novel methodological framework based on organizational, clinical and technological innovation, in order to redesign the territorial care for people with chronic diseases. This innovative ecosystem applied in the Italian research project TALIsMAn is based on the concept of a continuum of care and digitalization of CPs supported by Business Process Management System and telemedicine services. The main goal is to organize the different socio-medical activities in a unique and integrated IT system that should be sustainable, scalable and replicable. © 2024, Emerald Publishing Limited.</t>
  </si>
  <si>
    <t>Score: 0
Justification:
	•	CI01: met — The title and abstract explicitly mention BPM and “business process management (BPM).”
	•	CI02: met — The abstract mentions that BPM facilitates “digital business transformations.”
	•	CI03: met — The abstract mentions information technologies, digital tools, innovations, and data/knowledge management.
	•	CI04: met — The study presents a method, specifically bibliometric analysis using 95 articles from Web of Science and a narrative literature review.
	•	CI05: met — The title and abstract are written in English.
	•	CE01–CE04: CE03 applies — The study is explicitly a review of scientific literature, using bibliometric analysis and narrative literature review. Therefore, it is a secondary study and should be excluded.</t>
  </si>
  <si>
    <t>**Score: 0**
**Justification:**
- **CI01: Met** — "Business process management (BPM)" is explicitly stated in the title and throughout the abstract, with "BPM" used repeatedly as a central construct.
- **CI02: Met** — "Digital business transformations," "information technologies," and "digital tools and innovations" are explicitly referenced, satisfying CI02's requirement.
- **CI03: Not met** — The abstract refers generically to "information technologies" and "digital tools and innovations" but names no specific technology (e.g., AI, RPA, process mining, big data, IoT, software systems). These are broad, non-specific references that do not constitute an explicit mention of a technology as required by CI03.
- **CI04: Met** — The study presents a bibliometric analysis of 95 articles and a narrative literature review, which are methodological contributions in their own right.
- **CI05: Met** — The title and abstract are written in English.
- **CE01: Does not apply** — The study is related to BPM and digital transformation.
- **CE02: Does not apply** — The study addresses BPM in organizational and business contexts.
- **CE03: Applies** — This is the decisive disqualifying criterion. The abstract explicitly states the research methodology comprises "a bibliometric analysis of 95 articles indexed in the Web of Science Core Collection from 1997 to 2023… followed by a narrative literature review of the most highly cited publications." This is unambiguously a secondary study — a bibliometric analysis combined with a literature review — and is therefore excluded.
- **CE04: Does not apply** — The abstract provides comprehensive information to assess relevance.
The study is excluded on two grounds: **CE03** (secondary study — bibliometric analysis and literature review) and **CI03** (no specific technology explicitly named).</t>
  </si>
  <si>
    <t>Koblianska I.; Varakin D.; Pihul O.; Somushkin V.; Glukh V.</t>
  </si>
  <si>
    <t>Review of scientific literature on BPM concept in social sciences</t>
  </si>
  <si>
    <r>
      <rPr>
        <rFont val="Helvetica Neue"/>
        <color rgb="FF1155CC"/>
        <u/>
      </rPr>
      <t>https://www.scopus.com/pages/publications/85167422224?origin=resultslist</t>
    </r>
  </si>
  <si>
    <t>The business process management (BPM) approach enhances organizational competitiveness and facilitates digital business transformations. Successful implementation of BPM necessitates a comprehensive understanding of its conceptual foundations and developmental trajectory. This study aims to investigate BPM studies in social sciences, unraveling the evolution and main pillars of the BPM concept. The research methodology comprises a bibliometric analysis of 95 articles indexed in the Web of Science Core Collection from 1997 to 2023 using the Biblioshiny App, followed by a narrative literature review of the most highly cited publications. The results unveil a notable shift in BPM research to information technologies, reflecting an interdisciplinary nature of the BPM concept (going beyond management itself). However, the analysis indicates that BPM research in social sciences tends to be specialized and localized, characterized by limited collaboration among scholars, research teams, institutions, and countries. The study identifies a diverse range of relevant research topics encompassing the maturity concept, business process, process orientation, process performance, success factors, and data and knowledge management. Process modeling and improvement emerge as central but underexplored areas, while strategic management, complexity theory, and organizational processes display declining thematic trends. The most frequently cited research papers primarily focus on enriching BPM practices through integrating digital tools and innovations, emphasizing the role of organizational culture in facilitating BPM implementation and investigating the relationship between BPM and supply chain integration and performance. © 2023 LLC CPC Business Perspectives. All rights reserved.</t>
  </si>
  <si>
    <t>10.21511/ppm.21(3).2023.07</t>
  </si>
  <si>
    <t>All Open Access; Gold Open Access; Green Open Access</t>
  </si>
  <si>
    <t>Score: 0
Justification:
	•	CI01: met — The abstract explicitly mentions Business Process Management principles and says the study “advances the BPM literature.”
	•	CI02: met — The study addresses digital technologies, “digitalization,” and digital sustainability processes.
	•	CI03: met — The abstract explicitly mentions digital technologies, AI-enabled analysis, Latent Dirichlet Allocation (LDA) topic modeling, and bibliometric techniques.
	•	CI04: met — The study presents a conceptual model, a structured framework, and an AI-based mapping method.
	•	CI05: met — The title and abstract are written in English.
	•	CE01–CE04: CE03 applies — The study is a secondary study, because it systematizes research using “over 8,000 articles from Scopus,” bibliometric techniques, topic modeling, and scientific mapping. Therefore, even though the inclusion criteria are mostly met, it should be excluded.</t>
  </si>
  <si>
    <t>**Score: 0**
**Justification:**
- **CI01: Met** — "Business process management principles" and "BPM literature" are explicitly referenced in the abstract. Met without ambiguity.
- **CI02: Met** — "Digital technologies," "digitalization," and "digital processes" are explicitly and repeatedly mentioned throughout the abstract.
- **CI03: Met** — "Artificial intelligence (AI)" is explicitly named and applied (AI-enabled analysis, LDA topic modeling). AI is directly listed among CI03's example technologies.
- **CI04: Met (within the study's own scope)** — The study develops a conceptual model and structured framework, and applies bibliometric techniques with LDA topic modeling to over 8,000 articles.
- **CI05: Met** — The title and abstract are written in English.
- **CE01: Does not apply** — The study is related to BPM, digitalization, and AI.
- **CE02: Does not apply** — The study addresses sustainability and digital processes in organizational and national contexts.
- **CE03: Applies** — This is the decisive disqualifying criterion. The title explicitly identifies this as a "scientific mapping" study, and the abstract confirms it: the methodology consists of "bibliometric techniques with Latent Dirichlet Allocation (LDA) topic modeling" applied to "a dataset of over 8,000 articles from Scopus." Scientific mapping and bibliometric studies are secondary studies by definition, as they systematize and analyze existing published research rather than generating primary empirical findings. This criterion applies unambiguously.
- **CE04: Does not apply** — The abstract is detailed and informative.
The study is excluded solely due to **CE03** — it is explicitly a secondary study (scientific mapping/bibliometric analysis of existing literature).</t>
  </si>
  <si>
    <t>Skypalová R.; Falat L.; Valaskova K.; Madzík P.; Jayaraman R.; Antony J.; Sony M.</t>
  </si>
  <si>
    <r>
      <rPr>
        <rFont val="Helvetica Neue"/>
        <color rgb="FF1155CC"/>
        <u/>
      </rPr>
      <t>https://www.scopus.com/pages/publications/105025424203?origin=resultslist</t>
    </r>
  </si>
  <si>
    <t>Purpose – This study aims to systematize research on how digital technologies support sustainability processes at the national level by applying business process management principles. It provides a structured framework for integrating digital technologies to enhance efficiency and scalability of sustainability initiatives and offers a comprehensive scientific map through a process-oriented, artificial intelligence (AI)-enabled analysis. The study develops a conceptual model that organizes key themes into enablers, transformations and outcomes, linking them to the triple bottom line, socio-technical systems and institutional theory. Design/methodology/approach – Using a dataset of over 8, 000 articles from Scopus, the study combines bibliometric techniques with Latent Dirichlet allocation (LDA) topic modeling to identify and categorize latent themes within digital sustainability research. Findings – The analysis uncovered 129 process-related topics with varying levels of research maturity, impact and geographic relevance. Key findings highlight underexplored areas, dominant trends and thematic imbalances across subject domains and regions. Research limitations/implications – The study is limited to the Scopus database and relies on metadata accuracy. Nonetheless, it offers a replicable AI-based method for mapping complex and dynamic research domains, supporting future theory development. Practical implications – The results offer actionable insights for researchers and practitioners aiming to manage, improve or design sustainability-related digital processes. Identified gaps and high-impact themes can inform policy, education and innovation strategies. Originality/value – This is the first large-scale study to apply topic modeling for mapping the intersection of digitalization and sustainability processes across countries. It advances the BPM literature by revealing new digital process domains relevant to sustainable development. © 2025 Emerald Publishing Limited</t>
  </si>
  <si>
    <t>Score: 0
Justification:
	•	CI01: not met — The abstract mentions process mining (PM) and “process discovery techniques,” but it does not explicitly mention Business Process Management or BPM.
	•	CI02: met — The study explicitly places RPA “in the context of digital transformation.”
	•	CI03: met — The study explicitly mentions Robotic Process Automation (RPA) and process mining (PM) as technologies/techniques.
	•	CI04: met — The study proposes a case study with mixed methods, including quantitative process discovery techniques and qualitative semi-structured interviews.
	•	CI05: met — The title and abstract are written in English.
	•	CE01–CE04: none clearly apply as the main exclusion reason — The study is related to digital transformation, technologies, organizational context, and empirical case-study research. It is not clearly a secondary study, and the abstract provides enough information. However, it should be excluded because CI01 is not met: there is no explicit mention of BPM/Business Process Management.</t>
  </si>
  <si>
    <t>**Score: 0**
**Justification:**
- **CI01: Not met** — Neither "Business Process Management" nor the abbreviation "BPM" appears anywhere in the title or abstract. While the study works with technologies closely associated with BPM (RPA and process mining), and implicitly operates within a process management context, the criterion requires an explicit mention. Process mining and RPA are BPM-adjacent tools, but the study never frames itself within the BPM discipline or uses the term.
- **CI02: Met** — "Digital transformation" is explicitly stated in the opening sentence ("focusing on Robotic Process Automation (RPA) in the context of digital transformation"), making it a clear and central framing concept.
- **CI03: Met** — "Robotic Process Automation (RPA)" and "process mining (PM)" are both explicitly named — and both are directly listed among CI03's example technologies. This criterion is met with strong evidence.
- **CI04: Met** — The study proposes a mixed-methods case study: a quantitative component applying process mining discovery techniques and a qualitative component using semi-structured interviews based on McKinsey's 7S framework. Conducted in collaboration with a Spanish regional bank, this constitutes an empirical case study.
- **CI05: Met** — The title and abstract are written in English.
- **CE01: Does not apply** — The study is related to digital transformation and technologies (RPA, process mining).
- **CE02: Does not apply** — The study is explicitly situated in an organizational context (a Spanish regional bank), addressing strategic management, employee commitment, and organizational barriers.
- **CE03: Does not apply** — This is a primary empirical study proposing an original case study methodology.
- **CE04: Does not apply** — The abstract provides sufficient detail for a clear relevance assessment.
The study is excluded solely due to **CI01** — "Business Process Management" or "BPM" is never explicitly mentioned despite the study operating in a closely related domain.</t>
  </si>
  <si>
    <t>Sáez I.; Segura S.; Gago M.</t>
  </si>
  <si>
    <t>Robotic Process Automation: Exploring the Technological and Organizational Dimensions for Successful Implementation in Organizations</t>
  </si>
  <si>
    <r>
      <rPr>
        <rFont val="Helvetica Neue"/>
        <color rgb="FF1155CC"/>
        <u/>
      </rPr>
      <t>https://www.scopus.com/pages/publications/85172019929?origin=resultslist</t>
    </r>
  </si>
  <si>
    <r>
      <t>This thesis proposes a case study focusing on Robotic Process Automation (RPA) in the context of digital transformation. The study aims to address RPA from both technological and organizational perspectives. From a technological viewpoint, task selection is a crucial first step in RPA. In that context, process mining (PM) is a key technique for identifying suitable tasks, and this research aims to study how PM can aid in systematically selecting tasks for RPA. From an organizational perspective, RPA projects require organizational support to overcome resistance and achieve employee commitment. However, there is limited literature addressing RPA from a strategic management perspective. This study seeks to explore the barriers and levers organizations encounter during RPA implementation from a strategic management viewpoint, using McKinsey's 7S framework. The research methodology involves a mixed approach. For the technological perspective, a quantitative case study will be conducted to apply PM process discovery techniques. For the organizational perspective, qualitative research with semi-structured interviews based on the 7S framework will be employed. The case study will be carried out in collaboration with a Spanish regional bank experienced in RPA implementation. The proposed solution aims to bridge the gap in RPA literature by addressing the challenges in task selection using PM techniques and exploring RPA deployment from a strategic management perspective. The innovative mixed methodology may open new research directions linking strategic management and RPA deployment. © 2023 Copyright for this paper by its authors. Use permitted under Creative Commons License Attribution 4.0 International (CC BY 4.0). CEUR Workshop Proceedings (</t>
    </r>
    <r>
      <rPr>
        <rFont val="Helvetica Neue"/>
        <color rgb="FF1155CC"/>
        <u/>
      </rPr>
      <t>CEUR-WS.org</t>
    </r>
    <r>
      <rPr>
        <rFont val="Helvetica Neue"/>
      </rPr>
      <t>)</t>
    </r>
  </si>
  <si>
    <t>Score: 1
Justification:
	•	CI01: met — The abstract explicitly mentions Business Process Management (BPM) and states that IT systems and information flow are relevant for “business process management (BPM).”
	•	CI02: met — The study explicitly addresses digital transformation, mentioning it in the title and throughout the abstract.
	•	CI03: met — The abstract explicitly mentions information technology (IT), including IT systems and information flow.
	•	CI04: met — The study presents an Action Design Research study and introduces a prescriptive BPMMxIT maturity model, including development and application procedures.
	•	CI05: met — The title and abstract are written in English.
	•	CE01–CE04: none apply — The study is directly related to BPM, digital transformation, IT, and organizational/process maturity. It is not a secondary study, and the abstract provides enough information to assess relevance.</t>
  </si>
  <si>
    <t>**Score: 1**
**Justification:**
- **CI01: Met** — "Business process management (BPM)" is explicitly stated in the abstract, and "BPM" is used directly. "Business Process Maturity Models (BPMMs)" in the title and abstract further reinforce the explicit framing within the BPM discipline.
- **CI02: Met** — "Digital transformation" appears in both the title and the abstract multiple times ("growing attention within digital transformation," "evaluate process performance and capability maturity for digital transformation"), making it a central and explicit theme.
- **CI03: Met** — "Information technology (IT)" and "IT systems" are explicitly named as core components of the study ("IT systems and information flow," "the indispensable role of information technology (IT)"). IT systems are directly listed among CI03's example categories as "software systems."
- **CI04: Met** — The study applies Action Design Research methodology in collaboration with an industry partner to develop and validate the "BPMMxIT" maturity model. This constitutes both an original model contribution and an applied empirical study with generalised design principles.
- **CI05: Met** — The title and abstract are written in English.
- **CE01: Does not apply** — The study is directly and comprehensively related to BPM, digital transformation, and IT/software systems.
- **CE02: Does not apply** — The study is explicitly grounded in an organizational/business context, developed through a research project with an industry partner, with direct implications for organisational practice.
- **CE03: Does not apply** — This is a primary design science study developing an original maturity model; it is not a review of existing literature.
- **CE04: Does not apply** — The abstract provides rich and sufficient detail for a confident relevance assessment.</t>
  </si>
  <si>
    <t>Flechsig C.; Lohmer J.; VOß R.; Lasch R.</t>
  </si>
  <si>
    <t>BUSINESS PROCESS MATURITY MODEL FOR DIGITAL TRANSFORMATION: AN ACTION DESIGN RESEARCH STUDY ON THE INTEGRATION OF INFORMATION TECHNOLOGY</t>
  </si>
  <si>
    <r>
      <rPr>
        <rFont val="Helvetica Neue"/>
        <color rgb="FF1155CC"/>
        <u/>
      </rPr>
      <t>https://www.scopus.com/pages/publications/85135783892?origin=resultslist</t>
    </r>
  </si>
  <si>
    <t>Business Process Maturity Models (BPMMs) receive growing attention within digital transformation to evaluate the maturity level of business processes regarding specific capabilities. However, existing models are primarily descriptive, with limited prescriptive features and guidance to improve the current state. Besides, the assessment methods of popular BPMMs do not adequately reflect the indispensable role of information technology (IT), i.e., IT systems and information flow, for business process management (BPM) and process performance. Motivated by a research project with an industry partner, we apply the practice-oriented Action Design Research methodology to introduce our comprehensive and prescriptive “BPMMxIT” maturity model that integrates the IT and BPM perspectives. This study details the development and application procedures and provides generalised design principles to evaluate process performance and capability maturity for digital transformation. Transparency and reproducibility are facilitated by extensive supplementary material. Finally, theoretical implications and pivotal directions for organisational practice and further research are outlined. © World Scientific Publishing Europe Ltd.</t>
  </si>
  <si>
    <t>10.1142/S1363919622400126</t>
  </si>
  <si>
    <t>Score: 0
Justification:
	•	CI01: met — The abstract explicitly mentions business process management (BPM) and “core concepts of BPM.”
	•	CI02: met — The study addresses digitally enabled organizations and Industry 4.0, which is linked to digital transformation/digitalization.
	•	CI03: met — The abstract explicitly mentions process mining tools, software, Industry 4.0, and data-driven business insights.
	•	CI04: met — The paper presents a tactical roadmap and comparative analysis for selecting process mining tools/software.
	•	CI05: met — The title and abstract are written in English.
	•	CE01–CE04: CE03 applies — The abstract indicates that the paper “analyses and evaluates” tools and techniques, discusses core concepts, and provides comparative analysis for tool selection. Based only on title and abstract, it appears to be a review/conceptual/comparative analysis rather than a primary empirical study. Therefore, it should be excluded as a secondary-type study under CE03.</t>
  </si>
  <si>
    <t>**Score: 1**
**Justification:**
- **CI01: Met** — "Business process management (BPM)" is explicitly stated in the title and used repeatedly throughout the abstract ("BPM," "BPR program," "core concepts of BPM"). No ambiguity.
- **CI02: Met** — While the exact phrase "digital transformation" is not used, the abstract explicitly references "digitally enabled organisation" and grounds the study in "Industry 4.0," which is a well-established paradigm for industrial digitalization. The phrase "digitally enabled" directly implies a state of digitalization, and Industry 4.0 is intrinsically tied to digital transformation. Taken together, these constitute a sufficient explicit basis for CI02.
- **CI03: Met** — "Process mining" is explicitly named multiple times ("process mining tools," "process mining tool or software") and is directly listed among CI03's example technologies. Additionally, "data-driven business insights" and tool/software evaluation further reinforce a technology-focused contribution.
- **CI04: Met** — The study provides a comparative analysis and a "tactical roadmap" for selecting process mining tools, evaluates different types of models, and discusses adoption factors — constituting both an analytical contribution and applied guidance.
- **CI05: Met** — The title and abstract are written in English.
- **CE01: Does not apply** — The study is directly related to BPM, Industry 4.0 (digital transformation), and process mining technology.
- **CE02: Does not apply** — The study is explicitly focused on organizational and business contexts, addressing operational excellence, legacy system re-organisation, and microeconomics principles in Industry 4.0 settings.
- **CE03: Does not apply** — While the paper includes comparative analysis of tools, it is not described as a systematic literature review, mapping study, or literature review. It presents an original roadmap and evaluation framework, making it a primary analytical contribution.
- **CE04: Does not apply** — The abstract provides sufficient information for a clear and confident relevance assessment.</t>
  </si>
  <si>
    <t>Bhaskar H.L.</t>
  </si>
  <si>
    <t>Analysis and evaluation of business process management tools and techniques in the Industry 4.0</t>
  </si>
  <si>
    <r>
      <rPr>
        <rFont val="Helvetica Neue"/>
        <color rgb="FF1155CC"/>
        <u/>
      </rPr>
      <t>https://www.scopus.com/pages/publications/105007825601?origin=resultslist</t>
    </r>
  </si>
  <si>
    <t>The purpose of this paper is to analyse and evaluate the different tools and techniques of business process management (BPM) as well as selection and adoption factors for process mining tools in Industry 4.0 for BPM. This paper also discusses that how tools and techniques of process mining can be used to drive the pedals of microeconomics principles. This paper discusses the core concepts of BPM and process mining tool in Industry 4.0 as well as evaluation of different types of models, etc. A tactical roadmap has been provided with a lot of comparative analysis for selecting a process mining tool or software for initiating a business process optimisation or BPR program. This work lies in the fact that how the modern-day digitally enabled organisation, Industry 4.0 to be specific, can actually benefit and re-organise its legacy systems using data-driven business insights, in order to achieve operational excellence. Copyright © 2025 Inderscience Enterprises Ltd.</t>
  </si>
  <si>
    <t>10.1504/IJDMMM.2025.146584</t>
  </si>
  <si>
    <t>Score: 0
Justification:
	•	CI01: not met — The abstract mentions “process modelling,” “physical process,” “printing process,” and “selection process,” but it does not explicitly mention Business Process Management or BPM.
	•	CI02: not met — The abstract discusses Digital Twin and a “digital environment,” but it does not clearly address digital transformation, digitalization, or digital innovation.
	•	CI03: met — The study explicitly mentions technologies such as Digital Twin (DT), Machine Learning (ML), virtual modeling, and simulations.
	•	CI04: met — The study presents an application/model in an offset printing company, using real data, simulations, and ML models, with reported cost reduction.
	•	CI05: met — The title and abstract are written in English.
	•	CE01–CE04: CE01 applies partially — The study is related to technology and industrial process optimization, but it is not clearly related to BPM/Business Process Management or digital transformation. CE02 does not apply because it has an organizational/business context: an offset printing company. CE03 does not apply because it is not a secondary study.</t>
  </si>
  <si>
    <t>**Score: 0**
**Justification:**
- **CI01: Not met** — Neither "Business Process Management" nor the abbreviation "BPM" appears anywhere in the title or abstract. The study mentions "process modelling" and "decision process," but these are used in a technical/engineering sense, with no reference to BPM as a discipline or management framework.
- **CI02: Not met** — The abstract does not explicitly use the terms "digital transformation," "digitalization," or "digital innovation." While "digital" appears frequently (Digital Twin, digital copy, digital environment), these are descriptive attributes of the DT paradigm itself — not references to digital transformation as an organizational or strategic concept. Per the instructions, if a criterion is not clearly supported, it must be considered not met.
- **CI03: Met** — "Machine Learning (ML) models" are explicitly named and applied in the study. Machine learning is a form of AI, which is directly listed in CI03's examples. Digital Twin technology is also a relevant emerging technology explicitly applied.
- **CI04: Met** — The study presents a concrete applied model (DT-based virtual model for machine line selection) validated with real enterprise data, achieving a measurable 5% cost reduction — constituting an empirical application.
- **CI05: Met** — The title and abstract are written in English.
- **CE01: Applies** — The study is unrelated to BPM and does not address digital transformation in any organizational management sense. Its focus is on industrial optimization within a printing process using simulation and machine learning.
- **CE02: Does not apply** — The study is conducted in an industrial/business context (an offset printing company).
- **CE03: Does not apply** — This is a primary empirical study.
- **CE04: Does not apply** — The abstract provides sufficient detail to assess relevance.
The study is excluded due to **CI01** (no mention of BPM), **CI02** (no explicit reference to digital transformation, digitalization, or digital innovation), and **CE01** (the study is unrelated to BPM or digital transformation as organizational concepts).</t>
  </si>
  <si>
    <t>Skianis K.; Giannopoulos A.; Kalafatelis A.; Trakadas P.</t>
  </si>
  <si>
    <r>
      <rPr>
        <rFont val="Helvetica Neue"/>
        <color rgb="FF1155CC"/>
        <u/>
      </rPr>
      <t>https://www.scopus.com/pages/publications/85169440459?origin=resultslist</t>
    </r>
  </si>
  <si>
    <t>Digital Twin (DT) is an emerging paradigm that enables a virtual model to effectively represent a physical process. In this paper, we present the adoption of the DT scheme by an offset printing company towards industrial optimization. The considered DT model is a virtual representation that serves as the digital copy of the physical printing process within an industrial unit. A virtual model for selecting the optimal machine line was developed to ensure cost-efficient printing. The machine line selection process was modeled as a decision process and then analyzed through simulations in a safe and cost-efficient digital environment, provided by the DT. Moreover, Machine Learning (ML) models were exploited to extract knowledge for the machine selection task, taking full advantage of the DT experiment. Based on real data and selection policies of a printing enterprise, the results revealed an improvement during the selection process, followed by a 5% cost reduction on the examined dataset. © 2023 IEEE.</t>
  </si>
  <si>
    <t>Score: 0
Justification:
        •        CI01: met — The abstract explicitly mentions business process management (BPM) and states that the work “extends the knowledge on BPM.”
        •        CI02: met — The study directly addresses process digitalization projects, “digitalization,” and “business process digitalization.”
        •        CI03: met — The abstract explicitly mentions digital technologies (DTs) used to improve and innovate business processes.
        •        CI04: met — The study presents an exploratory study, interviews with 21 PDP team members, and proposes a PDP success model.
        •        CI05: met — The title and abstract are written in English.
        •        CE01–CE04: CE03 applies — The study includes a structured literature review as part of its method. However, it also includes interviews and model development. Based strictly on the exclusion criterion, if secondary studies/literature reviews are excluded, this should be excluded because the abstract explicitly states that it conducted a structured literature review.</t>
  </si>
  <si>
    <t>**Score: 0**
**Justification:**
- **CI01: Met** — "Business process management (BPM)" is explicitly stated in the abstract, with "BPM" used directly and repeatedly ("literature on BPM," "extends the knowledge on BPM"). Clearly met.
- **CI02: Met** — "Digitalization," "process digitalization," and "digital technologies (DTs)" are explicitly and extensively mentioned. "Business process digitalization" is framed as a central construct of the study.
- **CI03: Not met** — The abstract refers to "digital technologies (DTs)" as a broad, undifferentiated category but names no specific technology. No mention of AI, RPA, process mining, big data, blockchain, IoT, or specific software systems appears anywhere in the abstract. "Technology" is listed as one of seven success factor categories, but without identifying any concrete technology. Per the instructions, a generic reference to "digital technologies" is insufficient to satisfy CI03's requirement for explicit mention.
- **CI04: Met** — The study proposes an original "PDP success model" developed through a structured literature review and 21 expert interviews, identifying 38 success factor candidates structured across seven categories. This constitutes both a primary empirical study and a model contribution.
- **CI05: Met** — The title and abstract are written in English.
- **CE01: Does not apply** — The study is directly related to BPM and digitalization.
- **CE02: Does not apply** — The study is explicitly situated in an organizational/business context, addressing digital project implementation across organizations.
- **CE03: Does not apply** — Although the study includes a structured literature review as one component of its methodology, it also collects primary data through 21 interviews and proposes an original model. This is a primary mixed-methods study, not a purely secondary study.
- **CE04: Does not apply** — The abstract provides sufficient detail for a clear relevance assessment.
The study is excluded solely due to **CI03** — no specific technology is explicitly named or applied.</t>
  </si>
  <si>
    <t>Baier M.-S.; Lockl J.; Röglinger M.; Weidlich R.</t>
  </si>
  <si>
    <r>
      <rPr>
        <rFont val="Helvetica Neue"/>
        <color rgb="FF1155CC"/>
        <u/>
      </rPr>
      <t>https://www.scopus.com/pages/publications/85124625570?origin=resultslist</t>
    </r>
  </si>
  <si>
    <t>Purpose: In an exploratory approach, the authors conducted a structured literature review to extract candidate process digitalization project (PDP) success factors (SFs) from the literature on business process management (BPM), project management (PM) and digitalization. After that, the authors validated, refined and extended these intermediate results through interviews with 21 members of diverse PDP teams. Finally, the authors proposed the PDP success model by linking the candidate SFs with relevant success criteria. Design/methodology/approach: Digitalization substantially impacts organizations, which increasingly use digital technologies (DTs) to improve and innovate their business processes. While there are methods and tools for identifying process digitalization ideas and related projects (PDPs), guidance on the successful implementation of PDPs is missing. Hence, the authors set out to explore PDP SFs. Findings: The PDP success model covers 38 PDP success factor candidates, whereof 28 are already backed by the literature and ten have emerged during the interviews. Furthermore, the SFs are structured according to seven categories from the literature covering a broad range of sociotechnical topics (i.e. strategy, structure, culture, people, process, project and technology) as well as equipped with preliminary success rationales. Originality/value: The work is the first to systematically explore PDP SFs. The PDP success model shows that PDPs require a unique set of SFs, which combine established and hitherto underrepresented knowledge. It extends the knowledge on BPM and serves as foundation for future (confirmatory) research on business process digitalization and the successful implementation of PDPs. © 2022, Emerald Publishing Limited.</t>
  </si>
  <si>
    <t>Score: 0
Justification:
	•	CI01: met — The title explicitly mentions Business Process Management, and the abstract mentions BPM capabilities.
	•	CI02: met — The abstract addresses digitalisation of operations and business processes and the context of the Fourth Industrial Revolution.
	•	CI03: met — The study explicitly mentions digital technologies and Robotic Process Automation.
	•	CI04: not met — The abstract says the article aims to define the link “based on theoretical insights.” It does not clearly present an application, framework, model, method, or empirical analysis.
	•	CI05: met — The title includes an additional translated subtitle, but the main title and abstract are written in English.
	•	CE01–CE04: none clearly apply as a standalone exclusion criterion. The study is related to BPM, digitalisation, technology, and organizational context, and there is enough information to assess it. However, it should be excluded because CI04 is not clearly met.</t>
  </si>
  <si>
    <t>**Score: 0**
**Justification:**
- **CI01: Met** — "Business Process Management" is explicitly stated in the title and abstract, and "BPM" is used as a direct abbreviation. Clearly met.
- **CI02: Met** — "Digitalisation of operations and business processes" and "digital technologies" are explicitly mentioned. The "Fourth Industrial Revolution" is also referenced as a context strongly associated with digitalization.
- **CI03: Met** — "Robotic Process Automation" (RPA) is explicitly named in both the title and abstract, and is directly listed among CI03's example technologies.
- **CI04: Not met** — The abstract states the article aims "to define the link between the essential aspects of the Business Process Management capabilities and the benefit generated by Robotic Process Automation based on theoretical insights." The phrase "based on theoretical insights" signals a conceptual or discursive paper rather than one presenting an application, framework, model, method, or empirical analysis. No structured model, operational framework, research design, or empirical data collection is described anywhere in the abstract. Per the instructions, when a criterion is not clearly supported, it must be considered not met.
- **CI05: Met** — The English portion of the title and abstract is written in English (the study is bilingual, with Lithuanian secondary title and abstract).
- **CE01: Does not apply** — The study is related to BPM, digitalization, and RPA technology.
- **CE02: Does not apply** — The study is explicitly situated in an organisational context, discussing business processes and organisational performance.
- **CE03: Does not apply** — This appears to be a primary conceptual paper, not a secondary literature review or mapping study.
- **CE04: Does not apply** — The abstract provides sufficient information to assess relevance and determine that CI04 is not met.
The study is excluded solely due to **CI04** — the paper is described as a theoretical discussion based on conceptual insights, with no explicit framework, model, method, or empirical analysis presented.</t>
  </si>
  <si>
    <t>Stravinskiene I.; Serafinas D.</t>
  </si>
  <si>
    <t>THE LINK BETWEEN THE BUSINESS PROCESS MANAGEMENT CAPABILITIES AND THE BENEFITS CREATED BY ROBOTIC PROCESS AUTOMATION IN AN ORGANISATION; [RYŠYS TARP VERSLO PROCESŲ VALDYMO GALIMYBIŲ IR ROBOTIZUOTO PROCESŲ AUTOMATIZAVIMO ORGANIZACIJOJE TEIKIAMOS NAUDOS]</t>
  </si>
  <si>
    <r>
      <rPr>
        <rFont val="Helvetica Neue"/>
        <color rgb="FF1155CC"/>
        <u/>
      </rPr>
      <t>https://www.scopus.com/pages/publications/85189561519?origin=resultslist</t>
    </r>
  </si>
  <si>
    <t>In the context of the Fourth Industrial Revolution, as organisations are increasingly confronted with unclear and complex business environments, digital technologies are being used to acquire and maintain the dynamism, innovation, responsiveness to changing societal needs, and agility, which are essential in this time of changes. In the current competitive environment, organising the performance of an organisation solely on the basis of functions and assignments is no longer appropriate.There is a growing interest in the concept of the process-oriented organisation (Szelagowski, Berniak-Woźny, 2020) and a growing focus on the digitalisation of operations and business processes (Kirchmer, 2017; Siderska, 2020). This article aims to define the link between the essential aspects of the Business Process Management capabilities and the benefit generated by Robotic Process Automation based on theoretical insights. To sum up, the BPM capabilities impact the benefits generated by Robotic Process Automation in the organisation. © 2023, Vilnius University. All rights reserved.</t>
  </si>
  <si>
    <t>Score: 0
Justification:
	•	CI01: met — The title explicitly mentions BPM, and the abstract mentions “business process management (BPM).”
	•	CI02: met — The study addresses digital innovations and “the demands of a digital age society.”
	•	CI03: met — The abstract mentions digital innovations and integrated systems as part of the proposed research strands.
	•	CI04: met — The study proposes a framework and a research agenda.
	•	CI05: met — The title and abstract are written in English.
	•	CE01–CE04: CE03 applies — The study is explicitly a bibliometric and systematic literature review, based on 238 papers and an SLR of 15 selected papers. Therefore, it is a secondary study and should be excluded.</t>
  </si>
  <si>
    <t>**Score: 0**
**Justification:**
- **CI01: Met** — "Business process management (BPM)" is explicitly stated in the abstract, with "BPM" used directly and repeatedly throughout.
- **CI02: Met** — "Digital innovations" is explicitly mentioned in the title and throughout the abstract as a central construct linked to BPM strategies.
- **CI03: Not met** — No specific technology is named in the abstract. "Digital innovations" is a broad, non-specific concept, and "integrated systems" (one of the eight research strands) is too generic to constitute an explicit technology mention. No reference to AI, RPA, process mining, big data, blockchain, IoT, or specific software systems appears anywhere in the abstract.
- **CI04: Met (within the study's own scope)** — The study develops a framework comprising eight research strands and proposes a research agenda through bibliometric and content analysis.
- **CI05: Met** — The title and abstract are written in English.
- **CE01: Does not apply** — The study is related to BPM and digital innovation.
- **CE02: Does not apply** — The study addresses organizational BPM strategies in a business context.
- **CE03: Applies** — This is the decisive disqualifying criterion. The title explicitly states "a bibliometric and systematic literature review," and the abstract confirms: "A bibliometric analysis of 238 papers… was conducted. Additionally, a SLR was performed on 15 selected papers." This is unambiguously a secondary study combining two secondary research methodologies (bibliometric analysis and systematic literature review).
- **CE04: Does not apply** — The abstract is detailed and allows a clear relevance assessment.
The study is excluded on two grounds: **CE03** (it is explicitly a bibliometric analysis and systematic literature review — a secondary study) and **CI03** (no specific technology is explicitly named or applied).</t>
  </si>
  <si>
    <t>Moreira S.A.S.; Dallavalle S.</t>
  </si>
  <si>
    <r>
      <rPr>
        <rFont val="Helvetica Neue"/>
        <color rgb="FF1155CC"/>
        <u/>
      </rPr>
      <t>https://www.scopus.com/pages/publications/85206086225?origin=resultslist</t>
    </r>
  </si>
  <si>
    <t>Purpose: This study aims to perform a bibliometric and systematic literature review (SLR) to elucidate the current landscape and to propose a framework that defines and explores research strands to guide the formulation of business process management (BPM) strategies anchored in digital innovations. Design/methodology/approach: A bibliometric analysis of 238 papers from the last 10 years (2014–2023) that were correlated to BPM strategies and digital innovations was conducted. Additionally, a SLR was performed on 15 selected papers, making it possible to propose a framework that explored research strands through the content analysis. Findings: A framework comprising eight research strands (value creation; ambidexterity; governance; agility in processes; strategic process management; external context and culture and integrated systems) was developed. It proposes a research agenda and provides valuable insights as a reference for formulating BPM organizational strategies anchored in digital innovations. Research limitations/implications: This study acknowledges the limitation of utilizing a single software for bibliometric analysis. The framework developed in this study has not yet been validated. Practical implications: This paper provides insights to assist managers in comprehending BPM strategies anchored in digital innovations and calls for organizations to prepare for future digital needs. Social implications: This paper contributes to advancing our understanding of BPM aligned with the demands of a digital age society. Originality/value: The developed framework sheds light on the current landscape and research strands that explore the association between digital innovations and BPM strategies. This provides a valuable opportunity for future qualitative and quantitative studies to explore the eight research strands presented in the framework. © 2024, Emerald Publishing Limited.</t>
  </si>
  <si>
    <t>Score: 0
Justification:
	•	CI01: not met — The title mentions “process mining,” but it does not explicitly mention Business Process Management or BPM.
	•	CI02: not met — There is no abstract available, and the title does not clearly mention digital transformation, digitalization, or digital innovation.
	•	CI03: met — The title explicitly mentions process mining, which is a technology/technique relevant to process analysis.
	•	CI04: not met — With no abstract available, there is no clear evidence that the study presents an application, framework, model, method, or empirical analysis.
	•	CI05: met — The title is written in English.
	•	CE01–CE04: CE04 applies — There is not enough information in the title/abstract to assess relevance because the abstract is unavailable. Also, CI01, CI02, and CI04 are not clearly supported.</t>
  </si>
  <si>
    <t>**Score: 0**
**Justification:**
- **CI01: Not assessable** — The title references "process mining," which is a BPM-related technique, but does not explicitly mention "Business Process Management" or "BPM." Without an abstract, there is no further evidence to confirm this criterion.
- **CI02: Not assessable** — The title contains no explicit reference to digital transformation, digitalization, or digital innovation. Without an abstract, this criterion cannot be confirmed.
- **CI03: Met (from title)** — "Process mining" is explicitly stated in the title and is directly listed among CI03's example technologies.
- **CI04: Not assessable** — The title alone provides no indication of whether the study presents an application, framework, model, method, or empirical analysis.
- **CI05: Met** — The title is written in English.
- **CE01–CE03: Not assessable** — Insufficient information to evaluate these criteria.
- **CE04: Applies** — This is the decisive disqualifying criterion. No abstract is available, and the title alone does not provide sufficient information to assess CI01, CI02, or CI04. Per the protocol, when there is not enough information in the title or abstract to evaluate relevance, the study must be excluded.
The study is excluded solely due to **CE04** — the absence of an abstract makes it impossible to assess the majority of the inclusion criteria with confidence.</t>
  </si>
  <si>
    <t>Racis S.; Spano A.</t>
  </si>
  <si>
    <r>
      <rPr>
        <rFont val="Helvetica Neue"/>
        <color rgb="FF1155CC"/>
        <u/>
      </rPr>
      <t>https://www.scopus.com/pages/publications/85199208822?origin=resultslist</t>
    </r>
  </si>
  <si>
    <t>[No abstract available]</t>
  </si>
  <si>
    <t>Score: 1
Justification:
	•	CI01: met — The title explicitly mentions Business Process Management, and the abstract mentions “business process management (BPM).”
	•	CI02: met — The study directly addresses digital innovation, including “digital innovation-related opportunities” and “digital innovation initiatives.”
	•	CI03: met — The abstract explicitly mentions new digital technologies and the organizational IT application portfolio.
	•	CI04: met — The study presents an inductive multi-method empirical study, including a Delphi study and two rounds of follow-up interviews with top executives.
	•	CI05: met — The title and abstract are written in English.
	•	CE01–CE04: none apply — The study is directly related to BPM, digital innovation, digital technologies, and organizational/business context. It is not a secondary study, and the abstract provides enough information to assess relevance.</t>
  </si>
  <si>
    <t>**Score: 1**
**Justification:**
- **CI01: Met** — "Business process management (BPM)" is explicitly stated in the abstract, with "BPM" used repeatedly as the central construct of the study.
- **CI02: Met** — "Digital innovation" is explicitly and extensively referenced throughout the abstract ("digital innovation-related opportunities," "enable digital innovation," "digital innovation initiatives"). "New digital technologies" is also mentioned.
- **CI03: Met** — The abstract explicitly identifies "organizational IT application portfolio" as one of four dimensions through which BPM enables digital innovation. An IT application portfolio is a direct reference to software systems — a category explicitly listed in CI03. While no single named technology (e.g., AI, RPA) is specified, the explicit inclusion of IT applications as a structural dimension of the study satisfies the criterion.
- **CI04: Met** — The study employs a multi-method empirical design comprising a Delphi study and two rounds of follow-up interviews with top executives in Central Europe, yielding four theoretical conjectures. This constitutes both an empirical study and a conceptual framework contribution.
- **CI05: Met** — The title and abstract are written in English.
- **CE01: Does not apply** — The study is directly related to BPM, digital innovation, and IT/software systems.
- **CE02: Does not apply** — The study is explicitly situated in an organizational/business context, involving top executives and organizational capabilities, structure, and culture.
- **CE03: Does not apply** — This is a primary empirical study using Delphi methodology and interviews to generate original findings. It is not a review of existing literature.
- **CE04: Does not apply** — The abstract provides sufficient detail for a clear and confident relevance assessment.</t>
  </si>
  <si>
    <t>Plattfaut R.; Grisold T.</t>
  </si>
  <si>
    <r>
      <rPr>
        <rFont val="Helvetica Neue"/>
        <color rgb="FF1155CC"/>
        <u/>
      </rPr>
      <t>https://www.scopus.com/pages/publications/105025098764?origin=resultslist</t>
    </r>
  </si>
  <si>
    <t>Purpose – In light of the ever-increasing opportunities associated with new digital technologies, an emerging body of knowledge examines how and under what circumstances organizations leveraging business process management (BPM) can be receptive to and supportive of digital innovation-related opportunities. In this study, we ask: How can BPM be set up to enable digital innovation on a continuous basis? Design/methodology/approach – We conduct an inductive study with top executives in Central Europe. Our multi-method research consists of a Delphi study and two rounds of follow-up interviews. Findings – We theorize that BPM can enable digital innovation along four dimensions: organizational IT application portfolio, organizational structure, organizational culture and organizational capabilities. Based on this, we provide four conjectures on how BPM can enable digital innovation. Originality/value – Our study adds to the emerging debate around the connection between BPM and digital innovation by specifying how organizations can implement digital innovation initiatives while maintaining efficient and effective workflows. © 2025 Ralf Plattfaut and Thomas Grisold</t>
  </si>
  <si>
    <t>Score: 1
Justification:
	•	CI01: met — The abstract explicitly mentions BPM as one of the management system tools.
	•	CI02: met — The study explicitly addresses digital transformation of management systems and digital transformation of organizational management tools.
	•	CI03: met — The abstract mentions digital technologies, digital tools, ERP, CRM, BPM, and EDM.
	•	CI04: met — The article considers methods and a general methodology for building a comprehensive digital management system.
	•	CI05: met — The title and abstract are written in English.
	•	CE01–CE04: none apply — The study is related to BPM/tools, digital transformation, technologies, and an organizational/business context. It is not clearly a secondary study, and the abstract provides enough information to assess relevance.</t>
  </si>
  <si>
    <t>**Score: 1**
**Justification:**
- **CI01: Met** — "BPM" is explicitly named in the abstract as one of the established management system tools ("ERP, CRM, BPM, EDM etc."). The term appears directly and unambiguously.
- **CI02: Met** — "Digital transformation" is explicitly stated in the title ("Methods of Digital Transformation of Management Systems") and in the abstract ("digital transformation of the organization's management tools"), making it a central and defining theme of the study.
- **CI03: Met** — Multiple specific technologies and software systems are explicitly named: ERP (Enterprise Resource Planning), CRM (Customer Relationship Management), BPM, and EDM (Electronic Document Management). Additionally, "digital tools" are referenced in the context of business process execution. ERP, CRM, and EDM are clearly software systems as listed in CI03.
- **CI04: Met** — The article explicitly presents "individual approaches and methods of digital transformation" and "the general methodology for building a comprehensive digital management system that meets the requirements of international standards." This constitutes a methodological contribution.
- **CI05: Met** — The title and abstract are written in English.
- **CE01: Does not apply** — The study is directly related to BPM, digital transformation, and software technologies.
- **CE02: Does not apply** — The study is explicitly situated in an organizational/business context, addressing enterprise competitiveness, business process models, and management systems for companies.
- **CE03: Does not apply** — This is a primary paper presenting original methods and a methodology for digital management systems, not a review of existing literature.
- **CE04: Does not apply** — The abstract provides sufficient information for a confident relevance assessment.</t>
  </si>
  <si>
    <t>Aleksandrova S.V.; Vasiliev V.A.; Aleksandrov M.N.</t>
  </si>
  <si>
    <r>
      <rPr>
        <rFont val="Helvetica Neue"/>
        <color rgb="FF1155CC"/>
        <u/>
      </rPr>
      <t>https://www.scopus.com/pages/publications/85124166764?origin=resultslist</t>
    </r>
  </si>
  <si>
    <t>Introduction of digital technologies in the business models of companies is a trend of the current decade, every day the demand for digital technologies for business in the market is growing. A deep reorganization of business processes with the widespread use of digital tools for their execution, which leads to a significant increase in the effectiveness of the organization's process model for the entire product/service life cycle - is a necessary condition for ensuring competitiveness in the global market. Implementation of a management system based on well-known tools such as ERP, CRM, BPM, EDM etc. they do not fully allow you to build a proactive vertical management of the enterprise. The article considers both individual approaches and methods of digital transformation of the organization's management tools, and the general methodology for building a comprehensive digital management system that meets the requirements of international standards in the field of management systems. © 2021 IEEE.</t>
  </si>
  <si>
    <t>Score: 0
Justification:
	•	CI01: not met — The abstract mentions “processes,” “process digitization,” and “process optimization,” but it does not explicitly mention Business Process Management or BPM.
	•	CI02: met — The study addresses digitalization/digitization and explicitly mentions “digital transformation.”
	•	CI03: met — The abstract mentions digitization, process automation, and optimization in healthcare/dental practices.
	•	CI04: met — The study presents an empirical analysis using a structured literature review and semi-structured in-depth interviews with four dentists.
	•	CI05: met — The title and abstract are written in English.
	•	CE01–CE04: CI01 is the main reason for exclusion. CE03 may apply partially because the study uses a structured literature review, but it also includes interviews, so it is not purely a secondary study based on the abstract. CE01 and CE02 do not clearly apply because the study is related to digitalization, technology, processes, and an organizational healthcare context.</t>
  </si>
  <si>
    <t>**Score: 0**
**Justification:**
- **CI01: Not met** — Neither "Business Process Management" nor the abbreviation "BPM" appears anywhere in the title or abstract. The study discusses "process digitization," "process optimization," and "process digitalization," but these are used in a general operational sense with no reference to BPM as a discipline or framework.
- **CI02: Met** — "Digital transformation," "digitization," and "digitalization" are explicitly and repeatedly mentioned throughout the abstract, making this criterion clearly satisfied.
- **CI03: Not met** — No specific technology is named or applied in the abstract. References to "automate processes" and "digitization" are entirely generic, with no mention of AI, RPA, process mining, big data, blockchain, IoT, or specific software systems.
- **CI04: Met** — The study employs a structured literature review of 25 papers combined with semi-structured in-depth interviews with four dentists, constituting a mixed primary/secondary empirical study with original data collection.
- **CI05: Met** — The title and abstract are written in English.
- **CE01: Does not apply** — The study is related to digitalization and process optimization.
- **CE02: Does not apply** — The study is situated in an organizational context (dental practices in the German healthcare system), addressing administrative and operational processes within organizations.
- **CE03: Does not apply** — Although the study uses a structured literature review as a component of its methodology, it also collects primary data through expert interviews, making it a primary mixed-methods study rather than a purely secondary study.
- **CE04: Does not apply** — The abstract provides sufficient information to assess relevance.
The study is excluded due to **CI01** (no mention of BPM) and **CI03** (no specific technology named or applied).</t>
  </si>
  <si>
    <t>Bosch K.; Mosenthin L.; Schieder C.</t>
  </si>
  <si>
    <t>Digitalization of administrative process in the german healthcare system with the focus on dental practices</t>
  </si>
  <si>
    <r>
      <rPr>
        <rFont val="Helvetica Neue"/>
        <color rgb="FF1155CC"/>
        <u/>
      </rPr>
      <t>https://www.scopus.com/pages/publications/85117380556?origin=resultslist</t>
    </r>
  </si>
  <si>
    <t>The digitization of processes in healthcare offers the opportunity to reduce costs and at the same time increase the quality of treatment. A large number of studies show how digitization can optimize and automate processes in healthcare. However, no study has yet addressed the specific requirements of processes digitalization in dental practices. This paper examines the status quo and opportunities of process digitization for dental practices in the German healthcare system. A structured literature review was used to identify 25 previous relevant papers. Their categorization and analysis revealed existing research gaps, which were explored in detail based on semi-structured in-depth interviews with four dentists. The analysis shows that most organizations are at an early stage of digital transformation, but are actively working to improve the digitization of their processes. Our findings provide a detailed description of the current challenges and starting points for process digitization and optimization in dentistry. They serve as a basis for further development and help to improve the quality and efficiency of processes in healthcare. © 14th IADIS International Conf. Infor. Sys. 2021. All rights reserved.</t>
  </si>
  <si>
    <t>Score: 1
Justification:
	•	CI01: met — The abstract explicitly mentions Business Process Management (BPM) platforms.
	•	CI02: met — The abstract states that the proposed system could “accelerate the digital transformation workflow.”
	•	CI03: met — The study explicitly applies Large Language Models, natural language-based modeling, function calling, and mentions models such as GPT-5.1, Claude 4.5 Sonnet, and DeepSeek V3.
	•	CI04: met — The study presents a tool/application called BPMN Assistant and evaluates the approach against direct XML manipulation, reporting metrics such as success rates, F1 score, latency, and token count.
	•	CI05: met — The title and abstract are written in English.
	•	CE01–CE04: none apply — The study is directly related to BPM, digital transformation, AI/LLM technology, and business process modeling in enterprise BPM platforms. It is not a secondary study, and the title/abstract provide enough information to assess relevance.</t>
  </si>
  <si>
    <t>**Score: 1**
**Justification:**
- **CI01: Met** — "Business Process Management (BPM)" is explicitly stated in the abstract ("enterprise Business Process Management (BPM) platforms"), and BPMN (Business Process Model and Notation) is central to the study. No ambiguity.
- **CI02: Met** — "Digital transformation" is explicitly referenced: the system aims to "accelerate the digital transformation workflow," directly linking the tool's purpose to digital transformation enablement.
- **CI03: Met** — "Large Language Models (LLMs)" are explicitly named and applied as the core technology of the study. Specific AI models are also named (GPT-5.1, Claude 4.5 Sonnet, DeepSeek V3). AI and LLMs are directly listed among CI03's example technologies, making this criterion unambiguously satisfied.
- **CI04: Met** — The study presents a concrete tool (BPMN Assistant) and conducts a comparative empirical evaluation against direct XML manipulation across multiple state-of-the-art models, with quantitative results (F1 scores, latency reduction, token count reduction). This constitutes both an application and a rigorous empirical analysis.
- **CI05: Met** — The title and abstract are written in English.
- **CE01: Does not apply** — The study is directly related to BPM, digital transformation, and AI technology.
- **CE02: Does not apply** — The study is explicitly designed for enterprise BPM platforms, targeting business analysts in organizational settings.
- **CE03: Does not apply** — This is a primary study presenting an original tool and empirical evaluation results.
- **CE04: Does not apply** — The abstract is detailed and provides comprehensive information for a confident relevance assessment.</t>
  </si>
  <si>
    <t>Licardo J.T.; Tanković N.; Etinger D.</t>
  </si>
  <si>
    <t>BPMN Assistant: An LLM-Based Approach to Business Process Modeling</t>
  </si>
  <si>
    <r>
      <rPr>
        <rFont val="Helvetica Neue"/>
        <color rgb="FF1155CC"/>
        <u/>
      </rPr>
      <t>https://www.scopus.com/pages/publications/105032643711?origin=resultslist</t>
    </r>
  </si>
  <si>
    <t>Featured Application: The proposed system is designed for integration into enterprise Business Process Management (BPM) platforms, with the aim of assisting non-technical business analysts in drafting and modifying executable BPMN models using natural language. This potential to reduce the dependency on technical modeling experts could accelerate the digital transformation workflow. This paper presents BPMN Assistant, a tool that leverages Large Language Models for natural language-based creation and editing of BPMN diagrams. While direct XML generation is common, it is verbose, slow, and prone to syntax errors during complex modifications. We introduce a specialized JSON-based intermediate representation designed to facilitate atomic editing operations through function calling. We evaluate our approach against direct XML manipulation using a suite of state-of-the-art models, including GPT-5.1, Claude 4.5 Sonnet, and DeepSeek V3. Results demonstrate that the JSON-based approach significantly outperforms direct XML in editing tasks, achieving higher or equivalent success rates across all evaluated models. Conformance checking evaluation confirms that generated models preserve executable semantics, with JSON achieving an average F1 score of 0.72 compared to 0.69 for XML, though frontier models like GPT-5.1 and Claude 4.5 Sonnet demonstrated superior precision with direct XML generation. Furthermore, despite requiring more input context, our approach reduces generation latency by approximately 43% and output token count by over 75%, offering a more reliable and responsive solution for interactive process modeling. © 2026 by the authors.</t>
  </si>
  <si>
    <t>10.3390/app16052213</t>
  </si>
  <si>
    <t>Score: 0
Justification:
	•	CI01: met — The title and abstract explicitly mention Business Process Management (BPM).
	•	CI02: not met — The abstract mentions digitalization only in the policy implication, when saying policymakers should support digitalization. However, the study itself does not clearly address digital transformation, digitalization, or digital innovation as a central research focus.
	•	CI03: met — The abstract mentions technological sophistication, technology, and digitalization as relevant organizational factors.
	•	CI04: met — The study presents an empirical analysis based on a survey of 746 practitioners across 26 countries, using k-means clustering, ANOVA, Tukey’s HSD tests, and Spearman’s coefficients.
	•	CI05: met — The title and abstract are written in English.
	•	CE01–CE04: none clearly apply as standalone exclusion criteria — The study is related to BPM and organizational context, is not a secondary study, and provides enough information. However, it should be excluded because CI02 is not clearly met: digitalization appears only as a recommendation/support condition, not as the main object of the study.</t>
  </si>
  <si>
    <t>**Score: 0**
**Justification:**
- **CI01: Met** — "Business Process Management (BPM)" is explicitly stated in both the title and the abstract, with "BPM" used directly and the relationship between EMA and BPM positioned as a central research question.
- **CI02: Met** — "Digitalization" is explicitly mentioned in the abstract ("support for digitalization"), and "technological sophistication" is used as a key variable in the analysis.
- **CI03: Not met** — No specific technology is named or applied in the abstract. References to "technological sophistication," "technology," and "digitalization" are entirely generic and used as organizational variables rather than as explicitly identified technologies. No mention of AI, RPA, process mining, big data, blockchain, IoT, or specific software systems appears anywhere in the abstract. Per the instructions, generic references to "technology" are insufficient to satisfy CI03.
- **CI04: Met** — The study presents a rigorous empirical analysis based on a large-scale survey of 746 practitioners across 26 countries, employing k-means clustering, one-way ANOVA with Tukey's HSD post hoc tests, and Spearman's correlation coefficients.
- **CI05: Met** — The title and abstract are written in English.
- **CE01: Does not apply** — The study is related to BPM and digitalization.
- **CE02: Does not apply** — The study is firmly grounded in an organizational/business context, examining practitioners across companies of varying sizes and sectors in 26 countries.
- **CE03: Does not apply** — This is a primary empirical study with original survey data collection and statistical analysis.
- **CE04: Does not apply** — The abstract provides sufficient information for a clear relevance assessment.
The study is excluded solely due to **CI03** — no specific technology is explicitly mentioned or applied.</t>
  </si>
  <si>
    <t>Dratwińska-Kania B.; Karmańska A.M.</t>
  </si>
  <si>
    <t>Environmental Management Accounting—Determinants, Factors, and Relationship with Business Process Management</t>
  </si>
  <si>
    <r>
      <rPr>
        <rFont val="Helvetica Neue"/>
        <color rgb="FF1155CC"/>
        <u/>
      </rPr>
      <t>https://www.scopus.com/pages/publications/105027410502?origin=resultslist</t>
    </r>
  </si>
  <si>
    <t>Driven by the increasing importance of sustainable development, Environmental Management Accounting (EMA) has become a key focus in modern accounting. However, the factors influencing EMA use and its relationship with Business Process Management (BPM) remain underexplored. This study aims to identify the organizational factors that determine EMA intensity and to empirically examine its correlation with BPM—a relationship that has been theorized but not yet empirically verified. The research is based on a survey of 746 practitioners across 26 countries, conducted in December 2024. Data analysis involved k-means clustering validated by one-way ANOVA with Tukey’s HSD post hoc tests and Spearman’s coefficients. The results show that EMA intensity is highly dependent on organizational context. Four distinct profiles were identified: “Market Leaders,” “Laggards,” “Micros,” and “Average.” Additionally, high EMA intensity (mean = 3.25) strictly correlates with larger company size, greater technological sophistication, and decentralized decision-making, as seen in the “Market Leaders” group. Conversely, “Micros” and “Laggards” demonstrated significantly lower adoption levels (means of 2.15 and 1.37, respectively), suggesting that resource availability and technology are prerequisites for advanced EMA. Notably, no link was found between EMA intensity and environmental uncertainty. Importantly, the study provides new empirical evidence of a significant positive relationship between EMA and BPM intensities. These findings indicate that standardized reporting regulations (e.g., EU CSRD) may disproportionately burden smaller, less technologically advanced organizations. Therefore, policymakers should combine environmental mandates with support for digitalization, especially in developing economies where organizational maturity often necessitates capacity-building initiatives. © 2025 by the authors.</t>
  </si>
  <si>
    <t>10.3390/su18010162</t>
  </si>
  <si>
    <t>Score: 1
Justification:
	•	CI01: met — The title explicitly mentions Business Process Management, and the abstract explicitly mentions “Business Process Management (BPM)” and “BPM practice.”
	•	CI02: met — The abstract explicitly connects the model to “organizational and digital transformation initiatives.”
	•	CI03: met — The study explicitly mentions technologies such as low-code (LC), hyperautomation (HA), automation, LC-BPM environments, and process observability.
	•	CI04: met — The study introduces an empirically grounded iBPM lifecycle model, developed using a modified Delphi method with ten experts and validated through formative evaluation workshops.
	•	CI05: met — The title and abstract are written in English.
	•	CE01–CE04: none apply — The study is directly related to BPM, digital transformation, technologies, and organizational/business contexts. It is not a secondary study, and the abstract provides enough information to assess relevance.</t>
  </si>
  <si>
    <t>**Score: 1**
**Justification:**
- **CI01: Met** — "Business Process Management (BPM)" is explicitly stated in the title and used extensively throughout the abstract ("traditional BPM lifecycle," "LC-BPM environments," "BPM practice," "BPM projects," "intelligent BPM"). No ambiguity whatsoever.
- **CI02: Met** — "Digital transformation" is explicitly referenced: the iBPM lifecycle is described as strengthening "BPM's strategic role in organizational and digital transformation initiatives." Met without ambiguity.
- **CI03: Met** — Multiple specific technologies are explicitly named: "Low-code (LC) technology" and "hyperautomation (HA)" are the central technologies studied. Hyperautomation encompasses automation technologies including RPA and AI, and low-code is a software development platform category. Both are explicitly and repeatedly named as the technological focus of the study.
- **CI04: Met** — The study introduces an original model (the iBPM lifecycle), developed through a modified Delphi method with ten domain experts and validated through formative evaluation workshops across three industry sectors (manufacturing, financial services, IT consulting). This constitutes both a model contribution and a rigorous empirical study.
- **CI05: Met** — The title and abstract are written in English.
- **CE01: Does not apply** — The study is directly and comprehensively related to BPM, digital transformation, and named technologies (low-code, hyperautomation).
- **CE02: Does not apply** — The study is explicitly grounded in organizational/business contexts, validated in manufacturing, financial services, and IT consulting organizations.
- **CE03: Does not apply** — This is a primary empirical study introducing an original model; it is not a review of existing literature.
- **CE04: Does not apply** — The abstract is rich and detailed, enabling a fully confident relevance assessment.</t>
  </si>
  <si>
    <t>Arno P.; Gabryelczyk R.</t>
  </si>
  <si>
    <r>
      <rPr>
        <rFont val="Helvetica Neue"/>
        <color rgb="FF1155CC"/>
        <u/>
      </rPr>
      <t>https://www.scopus.com/pages/publications/105018181611?origin=resultslist</t>
    </r>
  </si>
  <si>
    <t>Low-code (LC) technology and hyperautomation (HA) are reshaping Business Process Management (BPM) practice by enabling faster, more agile, and more accessible process design and automation. This technological convergence challenges the relevance of the traditional BPM lifecycle, which is increasingly misaligned with the proactive, user-centric capabilities now available in LC-BPM environments augmented with HA capabilities. This study introduces the intelligent BPM (iBPM) lifecycle – an empirically grounded model that redefines the traditional BPM approach in light of new technological advances. The iBPM lifecycle model reflects HA capabilities and LC democratization, integrating them into BPM practices to proactively enhance user experience and efficiency in BPM projects. The model was developed using a modified Delphi method with ten experts from leading LC-BPM vendors and validated through formative evaluation workshops in manufacturing, financial services, and IT consulting organizations. Findings show that the iBPM lifecycle unifies process design, application design, and process observability within an integrated, augmented environment, reducing reliance on professional developers and accelerating process transformation. By explicitly incorporating LC and HA capabilities, the iBPM lifecycle provides both a theoretical revision of the traditional BPM lifecycle and a practical roadmap for intelligent process management and automation, strengthening BPM’s strategic role in organizational and digital transformation initiatives. © 2013 IEEE.</t>
  </si>
  <si>
    <t>Score: 0
Justification:
	•	CI01: not met — The abstract mentions “business process synchronizing” and automation, but it does not explicitly mention Business Process Management or BPM.
	•	CI02: met — The study directly addresses digitalization and digital supply chain integration.
	•	CI03: met — The abstract explicitly mentions digital technologies such as Internet of Things, artificial intelligence, and cloud computing.
	•	CI04: not met — The title identifies the study as a literature review. Although it analyzes aspects of digital supply chain integration, it does not present a primary application, framework, model, method, or empirical analysis.
	•	CI05: met — The title and abstract are written in English.
	•	CE01–CE04: CE03 applies — The study is explicitly a literature review, so it is a secondary study. It should also be excluded because CI01 is not met, since there is no explicit mention of BPM/Business Process Management.</t>
  </si>
  <si>
    <t>**Score: 0**
**Justification:**
- **CI01: Not met** — Neither "Business Process Management" nor the abbreviation "BPM" appears anywhere in the title or abstract. The abstract contains one reference to "business process synchronizing" as a general operational outcome, but this does not constitute an explicit mention of BPM as a discipline or framework.
- **CI02: Met** — "Digitalization" is explicitly and repeatedly referenced in both the title and abstract ("supply chain integration and digitalization," "digital supply chain integration," "digital technologies"). Clearly met.
- **CI03: Met** — "Internet of things," "artificial intelligence," and "cloud computing" are explicitly named as digital technologies. Both IoT and AI are directly listed among CI03's example technologies.
- **CI04: Met (within the study's scope)** — The paper analyzes the main aspects of digital supply chain integration, though the depth of contribution is limited by its nature as a literature review.
- **CI05: Met** — The title and abstract are written in English.
- **CE01: Does not apply** — The study is related to digitalization and technologies (IoT, AI).
- **CE02: Does not apply** — The study is explicitly situated in a business/organizational context, addressing supply chain management and firms' competitiveness.
- **CE03: Applies** — This is the decisive disqualifying criterion. The title explicitly identifies the study as "A literature review," and the abstract confirms the paper "seeks to cultivate a fundamental understanding… by analyzing its main aspects" — characteristic of a secondary review study. This criterion applies unambiguously.
- **CE04: Does not apply** — The abstract provides sufficient information for a clear relevance assessment.
The study is excluded on two grounds: **CI01** (no explicit mention of BPM) and **CE03** (explicitly identified as a literature review — a secondary study).</t>
  </si>
  <si>
    <t>Najat T.; Alaa Eddine E.M.</t>
  </si>
  <si>
    <r>
      <rPr>
        <rFont val="Helvetica Neue"/>
        <color rgb="FF1155CC"/>
        <u/>
      </rPr>
      <t>https://www.scopus.com/pages/publications/85198094259?origin=resultslist</t>
    </r>
  </si>
  <si>
    <t>Since the onset of the Covid19 pandemic crisis, supply chain integration and digitalization have emerged as essential strategies for all firms due to flow disruption and considerable market uncertainty. Firms' managers recognize the imperative need to cultivate a new business model to enhance connectivity with both upstream and downstream chain links. The intended outcomes encompass effective collaborative planning, information sharing, and the establishment of relationships with targeted customers through tailored and innovative offers designed to meet their specific requirements. To achieve this, a suitable level of supply chain integration and effective use of digital technologies such as internet of things, artificial intelligence, and cloud computing are essential. Supply chain integration and digitalization lead to business process synchronizing, automation, flexibility, and the efficient analysis and management of data, thereby, enhancing firms' profitability and competitiveness. This paper seeks to cultivate a fundamental understanding of the digital supply chain integration by analyzing it main aspects. Additionally, it illuminates the significance of leveraging specific digital technologies to ensure effective supply chain management and optimization. © 2024 IEEE.</t>
  </si>
  <si>
    <t>Score: 0
Justification:
	•	CI01: not met — The abstract mentions “business processes,” “processes,” and “process mining,” but it does not explicitly mention Business Process Management or BPM.
	•	CI02: met — The abstract explicitly mentions digital transformation (DX) and process digitization.
	•	CI03: met — The study explicitly mentions software visualization and process mining as technologies/techniques.
	•	CI04: met — The study proposes a new approach, Digital TwinCity, describes a tool implementing it, and presents its first application in a company.
	•	CI05: met — The title and abstract are written in English.
	•	CE01–CE04: none clearly apply as a standalone exclusion criterion. The study is related to digital transformation, technology, business processes, and an organizational/company context. It is not a secondary study, and the abstract provides enough information. However, it should be excluded because CI01 is not met: there is no explicit mention of BPM/Business Process Management.</t>
  </si>
  <si>
    <t>**Score: 0**
**Justification:**
- **CI01: Not met** — Neither "Business Process Management" nor the abbreviation "BPM" appears anywhere in the title or abstract. The title refers to "business processes" generically, and the abstract uses "processes" and "twin processes," but none of these constitute an explicit mention of BPM as a discipline or management framework.
- **CI02: Met** — "Digital transformation (DX)" is explicitly stated and positioned as the primary context of the study ("as a company digitizes processes in its digital transformation (DX) journey").
- **CI03: Met** — "Process mining" is explicitly named as a core component of the proposed approach. Process mining is directly listed among CI03's example technologies. "Software visualization" also references software tools.
- **CI04: Met** — The paper proposes an original holistic approach (Digital TwinCity) combining software visualization and process mining, and presents its first application in a real company. This constitutes both a methodological contribution and an empirical application.
- **CI05: Met** — The title and abstract are written in English.
- **CE01: Does not apply** — The study is related to digital transformation and process mining technology.
- **CE02: Does not apply** — The study is applied in a company context, addressing business process changes during digital transformation.
- **CE03: Does not apply** — This is a primary study proposing and applying an original approach.
- **CE04: Does not apply** — The abstract provides sufficient information for a clear relevance assessment.
The study is excluded solely due to **CI01** — "Business Process Management" or "BPM" is never explicitly mentioned, despite the study addressing business processes and process mining in a digital transformation context.</t>
  </si>
  <si>
    <t>Saito S.</t>
  </si>
  <si>
    <t>Digital twincity: A holistic approach towards comparative analysis of business processes</t>
  </si>
  <si>
    <r>
      <rPr>
        <rFont val="Helvetica Neue"/>
        <color rgb="FF1155CC"/>
        <u/>
      </rPr>
      <t>https://www.scopus.com/pages/publications/85142928507?origin=resultslist</t>
    </r>
  </si>
  <si>
    <t>As a company digitizes processes in its digital transformation (DX) journey, it is important to understand changes before and after processes for assessing the success of the journey. This paper proposes a new holistic approach, Digital TwinCity. By combining software visualization and process mining, the approach enables you to have an understanding of the relationship between all of the parts of the twin processes (e.g, before and after processes). After describing a tool implementing the proposed approach, we introduce its first application in a company. © 2022 ACM.</t>
  </si>
  <si>
    <t>10.1145/3550356.3559086</t>
  </si>
  <si>
    <t>Score: 1
Justification:
	•	CI01: met — The abstract explicitly mentions Business Process Management, BPM, and “intelligent business process management framework.”
	•	CI02: met — The study explicitly addresses the digitalization era, digital transformation, and “digitalization of BPM itself.”
	•	CI03: met — The abstract mentions technologies and technical approaches such as automation, knowledge-intensive systems, intelligent agent technologies, agent-oriented software engineering, and cognitive capabilities.
	•	CI04: met — The study presents a framework, agileBPM, with a modeling methodology, agent-based process execution environment, experimental studies, and comparative evaluations.
	•	CI05: met — The title and abstract are written in English.
	•	CE01–CE04: none apply — The study is directly related to BPM, digital transformation/digitalization, technologies, and business/organizational process management. It is not a secondary study, and the abstract provides enough information to assess relevance.</t>
  </si>
  <si>
    <t>**Score: 1**
**Justification:**
- **CI01: Met** — "Business process management" is explicitly stated in both the title and the opening sentence of the abstract, with "BPM" used repeatedly throughout ("digitalization of BPM itself," "automation of BPM," "agileBPM," "BPM life-cycle"). No ambiguity.
- **CI02: Met** — "Digitalization era," "digital transformation," and "digitalization of BPM itself" are all explicitly mentioned, with digital transformation framed as the core motivation for the study's proposed approach.
- **CI03: Met** — "Intelligent agent technologies," "knowledge-intensive systems," "agent-oriented software engineering," and "cognitive capabilities" (including goal-driven planning, norm compliance, and dynamic cooperation) are all explicitly named and applied. These fall within the AI and software systems categories listed in CI03.
- **CI04: Met** — The study presents an original framework (agileBPM) with a modeling methodology, an agent-based process execution environment, experimental studies, and comparative evaluations demonstrating its comprehensiveness. This constitutes a framework contribution validated through empirical experimentation.
- **CI05: Met** — The title and abstract are written in English.
- **CE01: Does not apply** — The study is directly and comprehensively related to BPM, digital transformation, and AI/intelligent agent technologies.
- **CE02: Does not apply** — The study explicitly targets companies and business environments, addressing enterprise strategies, organization policies, and knowledge workers' decision-making tasks.
- **CE03: Does not apply** — This is a primary study proposing an original framework and conducting original experimental evaluations.
- **CE04: Does not apply** — The abstract is detailed and provides comprehensive information for a fully confident relevance assessment.</t>
  </si>
  <si>
    <t>Kir H.; Erdogan N.</t>
  </si>
  <si>
    <r>
      <rPr>
        <rFont val="Helvetica Neue"/>
        <color rgb="FF1155CC"/>
        <u/>
      </rPr>
      <t>https://www.scopus.com/pages/publications/85091035439?origin=resultslist</t>
    </r>
  </si>
  <si>
    <t>Business process management has been the driving force of optimization and operational efficiency for companies until now, but the digitalization era we have been experiencing requires businesses to be agile and responsive as well. In order to be a part of this digital transformation, delivering new levels of automation-fueled agility through digitalization of BPM itself is required. However, the automation of BPM cannot be achieved by solely focusing on process space and classical planning techniques. It requires a holistic approach that also captures the social aspects of the business environment, such as corporate strategies, organization policies, negotiations, and cooperation. For this purpose, we combine BPM, knowledge-intensive systems and intelligent agent technologies, and yield one consolidated intelligent business process management framework, namely agileBPM, that governs the entire BPM life-cycle. Accordingly, agileBPM proposes a modeling methodology to semantically capture the business interests, enterprise environment and process space in accordance with the agent-oriented software engineering paradigm. The proposed agent-based process execution environment provides cognitive capabilities (such as goal-driven planning, norm compliance, knowledge-driven actions, and dynamic cooperation) on top of the developed business models to support knowledge workers’ multi-criteria decision making tasks. The context awareness and exception handling capabilities of the proposed approach have been presented with experimental studies. Through comparative evaluations, it is shown that agileBPM is the most comprehensive knowledge-intensive process management solution. © 2020</t>
  </si>
  <si>
    <r>
      <t>10.1016/</t>
    </r>
    <r>
      <rPr>
        <rFont val="Helvetica Neue"/>
        <color rgb="FF1155CC"/>
        <u/>
      </rPr>
      <t>j.is</t>
    </r>
    <r>
      <rPr>
        <rFont val="Helvetica Neue"/>
      </rPr>
      <t>.2020.101639</t>
    </r>
  </si>
  <si>
    <t>Score: 0
Justification:
	•	CI01: not met — The abstract mentions “business processes,” “process improvement,” and “process flow,” but it does not explicitly mention Business Process Management or BPM.
	•	CI02: met — The title and abstract address digitalization of work observation and analysis, including the lack of a “process digital footprint.”
	•	CI03: met — The study explicitly mentions Process Mining, Machine Learning, MES solutions/systems, automated controlling, and advanced systems using AI.
	•	CI04: met — The study presents a designed, implemented, and verified Workplace Performance Measurement (WPM) method, with practical results such as improved production process efficiency and better process flow visibility.
	•	CI05: met — The title and abstract are written in English.
	•	CE01–CE04: none clearly apply as the main exclusion reason — The study is related to digitalization, technologies, business processes, and an organizational/production context. It is not a secondary study, and the abstract provides enough information. However, it should be excluded because CI01 is not met: there is no explicit mention of BPM/Business Process Management.</t>
  </si>
  <si>
    <t>**Score: 0**
**Justification:**
- **CI01: Not met** — Neither "Business Process Management" nor the abbreviation "BPM" appears anywhere in the title or abstract. The abstract mentions "business processes" once in its closing sentence, but this is a generic operational reference — not an explicit mention of BPM as a discipline or management framework.
- **CI02: Met** — "Digitalization" is explicitly stated in the title ("digitalization of work observation and analysis"), and "process digital footprint" is referenced in the abstract. Met without ambiguity.
- **CI03: Met** — "Process Mining" and "Machine Learning" are explicitly named and applied as core components of the WPM method. "AI" is also referenced explicitly ("advanced systems using AI"). Process mining and AI/ML are directly listed among CI03's example technologies.
- **CI04: Met** — The authors explicitly "designed, implemented, and verified" a new work measurement method (WPM), including an automated controlling solution validated with real results (increased production efficiency, improved process flow visibility). This constitutes an original method contribution with empirical validation.
- **CI05: Met** — The title and abstract are written in English.
- **CE01: Does not apply** — The study is related to digitalization and named technologies (process mining, ML, AI).
- **CE02: Does not apply** — The study is conducted in a production/manufacturing organizational context, addressing process improvement initiatives and business process data quality for operational systems (MES).
- **CE03: Does not apply** — This is a primary study with original method design, implementation, and empirical verification.
- **CE04: Does not apply** — The abstract provides sufficient information for a clear relevance assessment.
The study is excluded solely due to **CI01** — "Business Process Management" or "BPM" is never explicitly mentioned, despite the study applying process mining and machine learning to business process analysis.</t>
  </si>
  <si>
    <t>Nesterak J.; Szelągowski M.; Radziszewski P.</t>
  </si>
  <si>
    <r>
      <rPr>
        <rFont val="Helvetica Neue"/>
        <color rgb="FF1155CC"/>
        <u/>
      </rPr>
      <t>https://www.scopus.com/pages/publications/85194750259?origin=resultslist</t>
    </r>
  </si>
  <si>
    <t>Process improvement initiatives require access to frequently updated and good quality data. This is an extremely difficult task in the area of production processes, where the lack of a process digital footprint is a very big challenge. To solve this problem, the authors of this article designed, implemented, and verified the results of a new work measurement method. The Workplace Performance Measurement (WPM) method is focused not only on the measurement of task duration and frequency, but also on searching for potential anomalies and their reasons. The WPM method collects a wide range of workspace parameters, including workers' activities, workers' physiological parameters, and tool usage. An application of Process Mining and Machine Learning solutions has allowed us to not only significantly increase the quality of analysis (compared to analog work sampling methods), but also to implement an automated controlling solution. The genuine value of the WPM is attested to by the achieved results, like increased efficiency of production processes, better visibility of process flow, or delivery of input data to MES solutions. MES systems require good quality, frequently updated information, and this is the role played by the WPM, which can provide this type of data for Master Data as well as for Production Orders. The presented authorial WPM method reduces the gap in available scholarship and practical solutions, enabling the collection of reliable data on the actual flow of business processes without their disruption, relevant for i.a. advanced systems using AI. © The Author(s) 2024.</t>
  </si>
  <si>
    <t>All Open Access; Hybrid Gold Open Access</t>
  </si>
  <si>
    <t>Score: 0
Justification:
	•	CI01: not met — The abstract mentions “processes,” “work processes,” and process mining/learning, but it does not explicitly mention Business Process Management or BPM.
	•	CI02: met — The abstract explicitly addresses digitalization of knowledge work.
	•	CI03: met — The study mentions technologies/technical approaches such as an evolving graph of integrated data objects and tasks, mining, learning of process knowledge, and privacy-preserving sharing/mining.
	•	CI04: met — The study proposes a bottom-up approach, tests it in a real-world setting, and presents initial results of a novel dependency-based mining approach.
	•	CI05: met — The title and abstract are written in English.
	•	CE01–CE04: none clearly apply as the main exclusion reason — The study is related to digitalization, technologies, processes, and an organizational/knowledge-work context. It is not a secondary study, and the abstract provides enough information. However, it should be excluded because CI01 is not met: there is no explicit mention of BPM/Business Process Management.</t>
  </si>
  <si>
    <t>**Score: 0**
**Justification:**
- **CI01: Not met** — Neither "Business Process Management" nor the abbreviation "BPM" appears anywhere in the title or abstract. The abstract discusses "work processes," "administrative tasks," and "knowledge-intensive work," but none of these constitute an explicit mention of BPM as a discipline or framework.
- **CI02: Met** — "Digitalization of knowledge work" is explicitly stated in the opening sentence of the abstract, clearly satisfying this criterion.
- **CI03: Not met (borderline)** — The title mentions "mining of processes" and the abstract presents "a novel dependency-based mining approach to learn data-dependent task sequences." While these concepts are related to process mining, the specific term "process mining" is never used, and the approach described is a custom graph-based mining technique distinct from what is conventionally understood as process mining technology. Per the instructions, when a criterion is not clearly supported, it must be considered not met.
- **CI04: Met** — The paper proposes a bottom-up approach using a continuously evolving graph model, tests it in a real-world intellectual property setting, and presents initial results of a novel mining method. This constitutes both an original method and an empirical application.
- **CI05: Met** — The title and abstract are written in English.
- **CE01: Does not apply** — The study is related to digitalization and process/data management.
- **CE02: Does not apply** — The study is applied in an organizational/professional context (intellectual property protection domain, legal organizations, administrative and knowledge workers).
- **CE03: Does not apply** — This is a primary study proposing an original approach with real-world testing.
- **CE04: Does not apply** — The abstract provides sufficient information for a clear relevance assessment.
The study is excluded due to **CI01** (no mention of BPM) and **CI03** (process mining is not explicitly named; the described approach is a custom graph-based technique not clearly identified as process mining technology).</t>
  </si>
  <si>
    <t>Hübscher G.; Geist V.; Auer D.; Ekelhart A.; Mayer R.; Nadschläger S.; Küng J.</t>
  </si>
  <si>
    <r>
      <rPr>
        <rFont val="Helvetica Neue"/>
        <color rgb="FF1155CC"/>
        <u/>
      </rPr>
      <t>https://www.scopus.com/pages/publications/85111540234?origin=resultslist</t>
    </r>
  </si>
  <si>
    <t>Digitalization of knowledge work in communication-intensive domains such as intellectual property protection poses great challenges but also opportunities to improve today's working environments. The legal domain is strongly characterized by knowledge work, whereby, despite a common legal framework, creativity of individual experts is decisive. This knowledge-intensive work deals with a great amount of data objects, not only as a working basis, but also as a result. While experts heavily follow individual working styles, they still rely on a vast amount of administrative tasks, which are carried out by the supporting staff. These tasks are expected to be performed regularly, reliably and without errors, despite necessary adjustments to the current case and the changing legal framework. Today, knowledge work and administrative tasks are typically supported by different tools that are hardly integrated. Therefore, the tracing of continuous work processes based on exchanged data objects is a great challenge. This traceability is crucial, not only for legal security reasons, but also to enable mining and learning of applicable knowledge about processes. In this paper, we propose a bottom-up approach, which applies a continuously evolving graph of integrated data objects and tasks to model and store static and dynamic aspects of administrative as well as knowledge work, and test the approach in a real-world setting in the domain of intellectual property. We further present initial results of a novel dependency-based mining approach to learn data-dependent task sequences in the graph-based model and discuss several methods for enabling privacy-preserving sharing and mining. © 2021 The Authors</t>
  </si>
  <si>
    <r>
      <t>10.1016/</t>
    </r>
    <r>
      <rPr>
        <rFont val="Helvetica Neue"/>
        <color rgb="FF1155CC"/>
        <u/>
      </rPr>
      <t>j.is</t>
    </r>
    <r>
      <rPr>
        <rFont val="Helvetica Neue"/>
      </rPr>
      <t>.2021.101844</t>
    </r>
  </si>
  <si>
    <t>All Open Access; Green Open Access; Hybrid Gold Open Access</t>
  </si>
  <si>
    <t>Score: 0
Justification:
	•	CI01: not met — The abstract mentions “business processes,” but it does not explicitly mention Business Process Management or BPM.
	•	CI02: met — The abstract mentions Industry 4.0 and states that the dominant concept identified was digital transformation resulting in changes to business processes.
	•	CI03: met — The study refers to eleven recognised technologies of Industry 4.0 and industrial information systems.
	•	CI04: met — The study presents a literature review method, including database search, screening, detailed querying, and a concept-centric matrix.
	•	CI05: met — The title and abstract are written in English.
	•	CE01–CE04: CE03 applies — The study is explicitly a literature review, so it is a secondary study. It should also be excluded because CI01 is not met, since there is no explicit mention of BPM/Business Process Management.</t>
  </si>
  <si>
    <t>**Score: 0**
**Justification:**
- **CI01: Not met** — Neither "Business Process Management" nor the abbreviation "BPM" appears anywhere in the title or abstract. The abstract contains one reference to "changes to business processes," but this is an incidental finding rather than an explicit mention of BPM as a discipline or framework.
- **CI02: Met** — "Digital transformation" is explicitly mentioned as the dominant concept revealed by the analysis ("digital transformation resulting in changes to business processes").
- **CI03: Not met** — The abstract references "the eleven recognised technologies of Industry 4.0" generically, without naming any specific technology. No mention of AI, RPA, process mining, big data, blockchain, IoT, or specific software systems appears explicitly in the abstract. A generic reference to unnamed "technologies of Industry 4.0" is insufficient to satisfy CI03's requirement for explicit identification.
- **CI04: Met (within the study's scope)** — The paper produces a concept-centric matrix based on analysis of 770 screened papers, constituting a structured analytical contribution.
- **CI05: Met** — The title and abstract are written in English.
- **CE01: Does not apply** — The study relates to digital transformation and industrial information systems.
- **CE02: Does not apply** — The study is situated in an industrial/manufacturing organizational context.
- **CE03: Applies** — This is the decisive disqualifying criterion. The abstract opens with "This paper is a literature review," making its secondary nature explicit and unambiguous. A literature review is directly listed among CE03's examples of excluded study types.
- **CE04: Does not apply** — The abstract provides sufficient information for a clear relevance assessment.
The study is excluded on three grounds: **CI01** (no mention of BPM), **CI03** (no specific technology named), and **CE03** (explicitly a literature review — a secondary study).</t>
  </si>
  <si>
    <t>O'Sullivan J.; O'Flaherty B.; O'Kane T.</t>
  </si>
  <si>
    <t>Rediscovering the Forgotten Field of Industrial Applications in Information Systems Research: A Literature Review of Industry 4.0</t>
  </si>
  <si>
    <r>
      <rPr>
        <rFont val="Helvetica Neue"/>
        <color rgb="FF1155CC"/>
        <u/>
      </rPr>
      <t>https://www.scopus.com/pages/publications/85143084001?origin=resultslist</t>
    </r>
  </si>
  <si>
    <t>This paper is a literature review to determine if industrial applications are appropriately represented in information systems (IS) scholarship. The field of Industry 4.0 was used as a representative sample of industrial information systems and the Association for Information Systems (AIS) Senior Scholars' Basket of Journals was used as a representative, albeit highly ranked, sample of IS literature. Keywords representing the eleven recognised technologies of Industry 4.0 were chosen and used to search the eight IS journals over a time period corresponding with the lifecycle of Industry 4.0. This resulted in 1305 papers being discovered. After calibrating the search terms, a second search yielded 770 papers. These papers were screened for relevance to Industry 4.0 and for use of a manufacturing application. The resulting 20 papers were queried in detail to establish the concepts used and a concept centric matrix was produced. The analysis shows that industrial information applications are rarely used to undertake IS research in the academic field. The dominant concept revealed was digital transformation resulting in changes to business processes. The contribution to the literature is to highlight that substantial research studies can be conducted in the industrial manufacturing arena, but very few have been conducted in the last decade. Therefore, it is an area worth exploring for future IS research. Copyright © 2022 by SCITEPRESS - Science and Technology Publications, Lda. All rights reserved.</t>
  </si>
  <si>
    <t>Score: 1
Justification:
	•	CI01: met — The title explicitly mentions business process management, and the abstract explicitly mentions business process management (BPM).
	•	CI02: met — The abstract mentions digital innovations and discusses adaptation to “constantly emerging new technological solutions.”
	•	CI03: met — The study explicitly addresses IT systems, new information technologies, databases, digital innovations, and IT use for data processing.
	•	CI04: met — The study presents an empirical analysis based on a diagnostic survey with 107 enterprises across private and public sectors and multiple industries.
	•	CI05: met — The title and abstract are written in English.
	•	CE01–CE04: none apply — The study is related to BPM, digital innovation/technologies, organizational/business context, and empirical analysis. It is not a secondary study, and the title/abstract provide enough information to assess relevance.</t>
  </si>
  <si>
    <t>**Score: 1**
**Justification:**
- **CI01: Met** — "Business process management (BPM)" is explicitly stated in the abstract, with "BPM" used repeatedly ("BPM integration," "BPM and MK elements," "BPM often fails to integrate"). Clearly met.
- **CI02: Met** — "Digital innovations" is explicitly listed as one of the key BPM and knowledge management elements identified by the study. "New information technologies" and "modern technologies" are also explicitly referenced as central contextual drivers.
- **CI03: Met** — "IT systems" are explicitly and repeatedly named throughout the abstract — in the title ("IT systems' perspective"), in the research goal ("identifying the approach… in the context of using new information technologies"), and in the findings ("the key importance of… IT use for data processing," "using IT systems"). IT systems constitute software systems as listed in CI03. "Databases" are also explicitly named.
- **CI04: Met** — The study presents a diagnostic survey of 107 enterprises (large, medium, small, and micro) operating across multiple sectors in Poland, generating original empirical findings. It also provides actionable guidelines for managers. This constitutes a rigorous empirical analysis.
- **CI05: Met** — The title and abstract are written in English.
- **CE01: Does not apply** — The study is directly related to BPM, digital innovation, and IT/software systems.
- **CE02: Does not apply** — The study is explicitly grounded in an organizational/business context, covering Polish enterprises across production, logistics, banking, insurance, healthcare, and other sectors.
- **CE03: Does not apply** — This is a primary empirical study based on original survey data from 107 organizations, not a review of existing literature.
- **CE04: Does not apply** — The abstract is detailed and provides comprehensive information for a confident relevance assessment.</t>
  </si>
  <si>
    <t>Bitkowska A.; Detyna B.; Detyna J.</t>
  </si>
  <si>
    <t>Towards integration of business process management and knowledge management. IT systems' perspective</t>
  </si>
  <si>
    <r>
      <rPr>
        <rFont val="Helvetica Neue"/>
        <color rgb="FF1155CC"/>
        <u/>
      </rPr>
      <t>https://www.scopus.com/pages/publications/85182438047?origin=resultslist</t>
    </r>
  </si>
  <si>
    <t>The processes of globalisation, the ongoing threat of the COVID-19 epidemic, the continuing war in Ukraine, and constantly emerging new technological solutions require organisations to adapt to changes constantly. Meanwhile, implemented business process management (BPM) often fails to integrate processes and knowledge resources. The awareness of the IT systems' role in management processes is still lacking. These premises influenced the implementation of the main research goal to identify the approach of Polish private and public enterprises and various industries to the BPM integration with knowledge management (MK) in the context of using new information technologies. The presented research results justify the usefulness of building relationships between the process and knowledge resources under dynamically changing conditions using IT systems. The diagnostic survey results confirmed the key importance of developing such BPM and MK elements as evidence-based decisions, strategic goals, measurement systems, databases, digital innovations, and IT use for data processing. The presented material can support managers of various organisation types in decision-making processes by fully understanding the IT systems' role and potential in process and knowledge management. Also, the article's implications are a source of guidelines, helping organisations to implement management systems based on modern technologies. The value of the publication is a wide range of respondents: 107 large, medium, small, and micro-enterprises operating in Poland. The article's research results also concern economic activities such as production, logistics, transport, banking, insurance, IT, telecommunications/media, public administration, healthcare/pharmaceuticals, consulting, energy, and construction. © 2023 De Gruyter Open Ltd. All rights reserved.</t>
  </si>
  <si>
    <t>10.2478/emj-2023-0027</t>
  </si>
  <si>
    <t>Score: 0
Justification:
	•	CI01: met — The title explicitly mentions BPM, and the abstract refers to “the literature on BPM” and “technologies on the BPM.”
	•	CI02: met — The abstract explicitly mentions digital transformation (DT) and digitization of organizations.
	•	CI03: met — The abstract explicitly mentions Industry 4.0, cyber-physical systems (CPS), information and communication technologies (ICT), artificial intelligence (AI), and Internet of Things (IoT).
	•	CI04: met — The paper presents a bibliometric analysis of BPM in the digital industry era.
	•	CI05: met — The title and abstract are written in English.
	•	CE01–CE04: CE03 applies — The study is explicitly a bibliometric analysis of the literature on BPM, so it is a secondary study. Therefore, it should be excluded even though the inclusion criteria are otherwise supported.</t>
  </si>
  <si>
    <t>**Score: 0**
**Justification:**
- **CI01: Met** — "BPM" is explicitly stated in the title and used repeatedly throughout the abstract ("impact of I4.0 concepts… on BPM," "main BPM issues"). Clearly met.
- **CI02: Met** — "Digital transformation (DT)" and "digitization of organizations" are explicitly mentioned, with digital transformation positioned as a central concept driving the study's focus.
- **CI03: Met** — "Artificial intelligence (AI)" and "Internet of Things (IoT)" are both explicitly named in the abstract. Both are directly listed among CI03's example technologies.
- **CI04: Met (within the study's scope)** — The study conducts a bibliometric analysis, which constitutes a structured analytical method applied to the BPM literature.
- **CI05: Met** — The title and abstract are written in English.
- **CE01: Does not apply** — The study is directly related to BPM, digital transformation, and named technologies (AI, IoT).
- **CE02: Does not apply** — The study addresses organizational contexts, referencing business processes, products, and competencies within digitized organizations.
- **CE03: Applies** — This is the decisive disqualifying criterion. The abstract explicitly states the paper is "dedicated to analyze the literature on BPM in the digital industry era through a bibliometric analysis." A bibliometric analysis of existing literature is a secondary study, directly covered by CE03's examples of excluded study types.
- **CE04: Does not apply** — The abstract provides sufficient detail for a clear relevance assessment.
The study is excluded solely due to **CE03** — it is explicitly a bibliometric analysis of existing literature, making it a secondary study.</t>
  </si>
  <si>
    <t>Khider H.; Hammoudi S.; Meziane A.; Cuzzocrea A.</t>
  </si>
  <si>
    <t>BPM in the Era of Industry 4.0: A Bibliometric Analysis</t>
  </si>
  <si>
    <r>
      <rPr>
        <rFont val="Helvetica Neue"/>
        <color rgb="FF1155CC"/>
        <u/>
      </rPr>
      <t>https://www.scopus.com/pages/publications/85160866837?origin=resultslist</t>
    </r>
  </si>
  <si>
    <t>s: In the age of today's technological development, with the advancement of the digitization of organizations, Industry 4.0 (I4.0) has evolved as a consequence of the fourth industrial revolution, leading industry to face a digital transformation (DT). This transformation is based on the use of cyber-physical systems (CPS) and information and communication technologies (ICT), in particular artificial intelligence (AI) and the Internet of Things (IoT). This new paradigm has brought changes in various areas of the functioning of the organization through a DT that holistically affects business processes, products, relationships and competencies which is a major challenge for organizations. This paper is dedicated to analyze the literature on BPM in the digital industry era through a bibliometric analysis, in order to analyze the impact of the I4.0 concepts and their associated technologies on the BPM, which will allow to determine the main BPM issues. Copyright © 2023 by SCITEPRESS – Science and Technology Publications, Lda. Under CC license (CC BY-NC-ND 4.0)</t>
  </si>
  <si>
    <t>10.5220/0011995200003467</t>
  </si>
  <si>
    <t>Score: 1
Justification:
	•	CI01: met — The title explicitly mentions Business Process Management, and the abstract explicitly mentions “business process management (BPM).”
	•	CI02: met — The study directly addresses digitalization and how it affects BPM capabilities.
	•	CI03: met — The abstract mentions novel technologies, automation, and socio-technical changes brought by digitalization.
	•	CI04: met — The study presents a Delphi study with international experts and results in an updated BPM capability framework.
	•	CI05: met — The title and abstract are written in English.
	•	CE01–CE04: none apply — The study is directly related to BPM, digitalization, technologies, and organizational/business processes. It is not a secondary study, and the abstract provides enough information to assess relevance.</t>
  </si>
  <si>
    <t>**Score: 0**
**Justification:**
- **CI01: Met** — "Business process management (BPM)" is explicitly stated in the abstract and used extensively throughout ("BPM capability frameworks," "BPM capability areas," "BPM to drive corporate success"). No ambiguity.
- **CI02: Met** — "Digitalization" is the central and explicit driver of the entire study, referenced repeatedly as the force requiring updated BPM capabilities ("socio-technical changes such as those brought about by digitalization," "digitalization calls for new capability areas").
- **CI03: Not met** — No specific technology is named anywhere in the abstract. References to "novel technologies," "new forms of automation," and "socio-technical changes" are entirely generic. While these terms imply technology broadly, they do not constitute an explicit mention of any specific technology such as AI, RPA, process mining, big data, blockchain, IoT, or software systems. Per the instructions, if a criterion is not clearly supported, it must be considered not met.
- **CI04: Met** — The study employs a Delphi method with international experts from industry and academia, producing an updated BPM capability framework with insights into challenges and opportunities. This constitutes both an empirical study and a framework contribution.
- **CI05: Met** — The title and abstract are written in English.
- **CE01: Does not apply** — The study is directly related to BPM and digitalization.
- **CE02: Does not apply** — The study addresses BPM in organizational and corporate contexts, involving industry experts and academic practitioners.
- **CE03: Does not apply** — This is a primary empirical study using the Delphi method with original expert consultation, not a review of existing literature.
- **CE04: Does not apply** — The abstract provides sufficient information for a clear relevance assessment.
The study is excluded solely due to **CI03** — no specific technology is explicitly named or applied in the abstract.</t>
  </si>
  <si>
    <t>Kerpedzhiev G.D.; König U.M.; Röglinger M.; Rosemann M.</t>
  </si>
  <si>
    <t>An Exploration into Future Business Process Management Capabilities in View of Digitalization: Results from a Delphi Study</t>
  </si>
  <si>
    <r>
      <rPr>
        <rFont val="Helvetica Neue"/>
        <color rgb="FF1155CC"/>
        <u/>
      </rPr>
      <t>https://www.scopus.com/pages/publications/85084200018?origin=resultslist</t>
    </r>
  </si>
  <si>
    <t>Business process management (BPM) is a mature discipline that drives corporate success through effective and efficient business processes. BPM is commonly structured via capability frameworks, which describe and bundle capability areas relevant for implementing process orientation in organizations. Despite their comprehensive use, existing BPM capability frameworks are being challenged by socio-technical changes such as those brought about by digitalization. In line with the uptake of novel technologies, digitalization transforms existing and enables new processes due to its impact on individual behavior and needs, intra- and inter-company collaboration, and new forms of automation. This development led the authors to presume that digitalization calls for new capability areas and that existing frameworks need to be updated. Hence, this study explored which BPM capability areas will become relevant in view of digitalization through a Delphi study with international experts from industry and academia. The study resulted in an updated BPM capability framework, accompanied by insights into challenges and opportunities of BPM. The results show that, while there is a strong link between current and future capability areas, a number of entirely new and enhanced capabilities are required for BPM to drive corporate success in view of digitalization. © 2020, The Author(s).</t>
  </si>
  <si>
    <t>10.1007/s12599-020-00637-0</t>
  </si>
  <si>
    <t>Score: 0
Justification:
	•	CI01: not met — The abstract mentions “processes,” “process analysis,” and “business performance,” but it does not explicitly mention Business Process Management or BPM.
	•	CI02: met — The abstract explicitly mentions digital transformation and digitalisation of process tasks.
	•	CI03: met — The abstract explicitly mentions ICT tools and adopted technologies in the product design process.
	•	CI04: met — The study proposes a methodology and presents two case applications in a manufacturing company.
	•	CI05: met — The title and abstract are written in English.
	•	CE01–CE04: none clearly apply as the main exclusion reason — The study is related to digital transformation, technologies, organizational processes, and a manufacturing company context. It is not a secondary study, and the abstract provides enough information. However, it should be excluded because CI01 is not met: there is no explicit mention of BPM/Business Process Management.</t>
  </si>
  <si>
    <t>**Score: 0**
**Justification:**
- **CI01: Not met** — Neither "Business Process Management" nor the abbreviation "BPM" appears anywhere in the title or abstract. The abstract discusses "processes," "process tasks," and "process evaluation" in a generic operational sense, with no reference to BPM as a discipline or management framework.
- **CI02: Met** — "Digital transformation" is explicitly stated in the opening sentence ("The digital transformation is shaping practices and investments of companies"), making this criterion clearly satisfied.
- **CI03: Not met** — No specific technology is named in the abstract. "New ICT tools" and "adopted technologies" are generic references without identifying any particular technology (e.g., AI, RPA, process mining, big data, IoT, or specific software systems). Per the instructions, vague references to unnamed "tools" and "technologies" are insufficient to satisfy CI03.
- **CI04: Met** — The paper proposes a methodology to evaluate processes and presents two case applications in the product design process of a manufacturing company, constituting both a methodological contribution and empirical validation.
- **CI05: Met** — The title and abstract are written in English.
- **CE01: Does not apply** — The study is related to digital transformation and process evaluation.
- **CE02: Does not apply** — The study is explicitly applied in a manufacturing company context, addressing management decisions and investments.
- **CE03: Does not apply** — This is a primary study proposing an original methodology with real-world case applications.
- **CE04: Does not apply** — The abstract provides sufficient information for a clear relevance assessment.
The study is excluded due to **CI01** (no mention of BPM) and **CI03** (no specific technology explicitly named or applied).</t>
  </si>
  <si>
    <t>Lazoi M.; Vecchio V.D.; Scialpi A.; D’Alessano F.; Margarito A.</t>
  </si>
  <si>
    <t>A processes-based methodology for product design assessment</t>
  </si>
  <si>
    <r>
      <rPr>
        <rFont val="Helvetica Neue"/>
        <color rgb="FF1155CC"/>
        <u/>
      </rPr>
      <t>https://www.scopus.com/pages/publications/105027172274?origin=resultslist</t>
    </r>
  </si>
  <si>
    <t>The digital transformation is shaping practices and investments of companies, it is considered a mean to be more innovative and resilient and to improve business performance. The introduction of new ICT tools can digitalise some processes’ tasks, but can also have other relevant impacts (e.g., on time, cost, quality). A deep analysis of the processes can support companies to take decisions and avoid errors, bottlenecks and unprofitable investments. The paper aims to propose a methodology to evaluate a process, to identify the adopted technologies in terms of complexity, time, quality, and to support more aware actions as well as taking the right decisions of management and investments. Two case applications are presented in the product design process of a manufacturing company, referring to different programs. The application of the methodology demonstrates its validity and the value of its results leading to better actions and decisions inside the companies. Copyright © 2025 Inderscience Enterprises Ltd.</t>
  </si>
  <si>
    <t>10.1504/IJPLM.2025.150921</t>
  </si>
  <si>
    <t>Score: 0
Justification:
	•	CI01: not met — The abstract mentions “process optimization,” “operational processes,” and “business practices,” but it does not explicitly mention Business Process Management or BPM.
	•	CI02: met — The abstract explicitly mentions digital transformation and data-driven policymaking.
	•	CI03: met — The study refers to data-driven policymaking, quantitative approaches, and introduces a novel tool with advanced functionalities.
	•	CI04: met — The study introduces a novel tool, CPOT, designed to optimize processes and support decision-makers/stakeholders.
	•	CI05: met — The title and abstract are written in English.
	•	CE01–CE04: none clearly apply as the main exclusion reason — The study is related to process optimization, digital transformation, technology/tool support, and public/private organizational contexts. It is not a secondary study, and the abstract provides enough information. However, it should be excluded because CI01 is not met: there is no explicit mention of BPM/Business Process Management.</t>
  </si>
  <si>
    <t>**Score: 0**
**Justification:**
- **CI01: Not met** — Neither "Business Process Management" nor the abbreviation "BPM" appears anywhere in the title or abstract. The abstract discusses "process optimization," "operational processes," and "business practices," but none of these constitute an explicit mention of BPM as a discipline or framework.
- **CI02: Met** — "Digital transformation" is explicitly mentioned ("a global shift toward digital transformation and data-driven policymaking"), satisfying this criterion.
- **CI03: Not met** — No specific technology is named in the abstract. The paper introduces "a novel tool incorporating advanced functionalities," but the tool itself is not described or named in terms of its underlying technology. "Data-driven" is a generic qualifier, and no specific technology (AI, RPA, process mining, big data, IoT, or software systems) is explicitly identified.
- **CI04: Met** — The paper introduces a novel toolkit (CPOT) designed to optimize processes and support decision-makers. This constitutes an original tool/application contribution.
- **CI05: Met** — The title and abstract are written in English.
- **CE01: Does not apply** — The study relates to process optimization and digital transformation.
- **CE02: Does not apply** — The study is explicitly situated in both public sector and private organizational contexts, addressing governance, service delivery, and strategic planning.
- **CE03: Does not apply** — This is a primary study presenting an original tool.
- **CE04: Does not apply** — The abstract provides sufficient information for a clear relevance assessment.
The study is excluded due to **CI01** (no mention of BPM) and **CI03** (no specific technology explicitly named or applied).</t>
  </si>
  <si>
    <t>Vesaghi A.; Mansouri M.</t>
  </si>
  <si>
    <r>
      <rPr>
        <rFont val="Helvetica Neue"/>
        <color rgb="FF1155CC"/>
        <u/>
      </rPr>
      <t>https://www.scopus.com/pages/publications/105034963102?origin=resultslist</t>
    </r>
  </si>
  <si>
    <t>Everyday, public and private sectors face escalating pressure to demonstrate efficiency, accountability, and responsiveness in service delivery. The increasing complexity of modern challenges over the last decade has significantly heightened the demand for enhanced governmental and business practices. Consequently, organizations in both competitive private sectors and public service domains are consistently compelled to optimize resource utilization, minimize operational waste, and adapt swiftly to dynamic internal and external environmental changes. This trend is further amplified by a global shift toward digital transformation and data-driven policymaking, underscoring the escalating relevance of quantitative approaches in governance. This strong challenge firmly establishes process optimization as a fundamental element for strategic planning and operational execution. Process optimization is formally defined as a systematic, analytical methodology encompassing the identification, analysis, design, and continuous refinement of existing operational processes. Its primary objective is to achieve specific organizational aims, including improved accuracy, speed, quality, and adaptability. Historically, an ongoing issue across diverse organizational structures has been the perpetuation of suboptimal processes. These inefficiencies commonly manifest as redundant steps, critical bottlenecks, misallocated resources, and an acceptable lack of transparency and accountability within operational frameworks. In this paper, we introduce a novel tool incorporating advanced functionalities designed to significantly expand the range of options available to decision-makers and stakeholders. © 2025 IEEE.</t>
  </si>
  <si>
    <t>Score: 1
Justification:
	•	CI01: met — The title explicitly mentions BPM, and the abstract explicitly mentions “Business Process Management (BPM)” and the “BPM lifecycle.”
	•	CI02: met — The abstract states that BPM offers a pathway to digital transformation.
	•	CI03: met — The study explicitly mentions low-code platforms/technologies, workflow automation, AI, and process mining.
	•	CI04: met — The study presents an empirical analysis using a triangulated research design, including a rapid literature review and an expert survey of BPM practitioners in SMEs.
	•	CI05: met — The title and abstract are written in English.
	•	CE01–CE04: none clearly apply — Although the study includes a rapid literature review, it also includes an expert survey and empirical insights, so it is not solely a secondary study. The study is related to BPM, digital transformation, technologies, and an organizational/business context, with enough information to assess relevance.</t>
  </si>
  <si>
    <t>**Score: 1**
**Justification:**
- **CI01: Met** — "Business Process Management (BPM)" is explicitly stated in the abstract, with "BPM" used extensively throughout ("BPM lifecycle," "BPM practitioners," "BPM theory," "adaptive BPM frameworks"). No ambiguity.
- **CI02: Met** — "Digital transformation" is explicitly referenced: "BPM offers a strategic pathway to operational efficiency and digital transformation," positioning it as a central enabler framing the study.
- **CI03: Met** — Multiple specific technologies are explicitly named: "low-code technologies," "low-code platforms," "AI," "process mining," and "workflow automation." Both AI and process mining are directly listed among CI03's example technologies, making this criterion unambiguously satisfied.
- **CI04: Met** — The study employs a triangulated empirical research design combining a rapid literature review with an expert survey of BPM practitioners in SMEs, generating original empirical findings about BPM lifecycle adoption and low-code utilization. This constitutes a rigorous empirical study.
- **CI05: Met** — The title and abstract are written in English.
- **CE01: Does not apply** — The study is directly related to BPM, digital transformation, and named technologies (AI, process mining, low-code).
- **CE02: Does not apply** — The study is explicitly grounded in an organizational/business context, targeting small and medium-sized enterprises (SMEs) and their BPM practices.
- **CE03: Does not apply** — Although the study includes a rapid literature review as one methodological component, it also collects primary data through an expert survey of BPM practitioners. This is a primary mixed-methods empirical study, not a purely secondary study.
- **CE04: Does not apply** — The abstract is detailed and provides comprehensive information for a fully confident relevance assessment.</t>
  </si>
  <si>
    <t>Arno P.</t>
  </si>
  <si>
    <r>
      <rPr>
        <rFont val="Helvetica Neue"/>
        <color rgb="FF1155CC"/>
        <u/>
      </rPr>
      <t>https://www.scopus.com/pages/publications/105010037742?origin=resultslist</t>
    </r>
  </si>
  <si>
    <t>Small and medium-sized enterprises (SMEs) face growing pressure to adapt to dynamic, competitive markets. Business Process Management (BPM) offers a strategic pathway to operational efficiency and digital transformation. While the BPM lifecycle and low-code platforms are frequently presented as key enablers for SMEs, few empirical studies examine their practical implementation. This study addresses two research questions: 1) how SMEs use low-code technologies to support BPM, and 2) how they apply – or deviate from – the traditional BPM lifecycle. Using a triangulated research design combining a rapid literature review and an expert survey of BPM practitioners in SMEs, the study finds that low-code tools are widely adopted for basic BPM tasks such as process modeling and workflow automation. However, advanced features like AI and process mining are underutilized. Likewise, SMEs often skip or adapt BPM lifecycle phases due to organizational constraints. These findings highlight a gap between BPM theory and SME practice, emphasizing the need for more adaptive BPM frameworks and accessible low-code solutions tailored to SME contexts. © 2013 IEEE.</t>
  </si>
  <si>
    <t>Score: 1
Justification:
	•	CI01: met — The title explicitly mentions Business Process Management, and the abstract says the model was established by applying Business Process Management and Lean Manufacturing.
	•	CI02: met — The study directly addresses digital transformation, including “efficient and digital strategies” and a model “based on digital transformation.”
	•	CI03: met — The abstract explicitly mentions an ERP system, a self-service digital platform, and simulation using Arena software version 16.
	•	CI04: met — The study presents a proposed model, applies it to an administrative area of a Peruvian aeronautical company, and validates it through simulation with reported productivity/process performance results.
	•	CI05: met — The title and abstract are written in English.
	•	CE01–CE04: none apply — The study is related to BPM, digital transformation, technologies, and an organizational/business context. It is not a secondary study, and the abstract provides enough information to assess relevance.</t>
  </si>
  <si>
    <t>**Score: 1**
**Justification:**
- **CI01: Met** — "Business Process Management" is explicitly stated in both the title and the abstract ("a new model based on digital transformation was established by applying Business Process Management and Lean Manufacturing"). No ambiguity.
- **CI02: Met** — "Digital transformation" is explicitly and centrally referenced in both the title ("Digital Transformation Model") and the abstract ("a new model based on digital transformation," "efficient and digital strategies"). Clearly met.
- **CI03: Met** — "ERP system" is explicitly named and implemented as a core component of the proposed model ("implementation of an ERP system connected to a self-service digital platform"). Additionally, "Arena software version 16" is used for simulation. ERP systems fall squarely within the "software systems" category of CI03.
- **CI04: Met** — The study proposes an original digital transformation model, applies it to a real administrative area in a Peruvian aeronautical company, and validates it through simulation in Arena software, producing measurable quantitative results (26.4% increase in attention rate, 87.37% reduction in cycle time, 18.62% productivity increase). This constitutes both a model contribution and a rigorous empirical application.
- **CI05: Met** — The title and abstract are written in English.
- **CE01: Does not apply** — The study is directly related to BPM, digital transformation, and ERP/software systems.
- **CE02: Does not apply** — The study is explicitly situated in an organizational/business context — the Maintenance Administrative Area of a Peruvian aeronautical company.
- **CE03: Does not apply** — This is a primary study presenting an original model validated through simulation with real organizational data.
- **CE04: Does not apply** — The abstract is detailed and provides comprehensive information for a fully confident relevance assessment.</t>
  </si>
  <si>
    <t>Ladera-Mejia A.G.; Pun-Gutierrez X.S.; Quiroz-Flores J.C.; Flores-Perez A.E.</t>
  </si>
  <si>
    <t>Digital Transformation Model Based on Business Process Management and Lean Manufacturing to Increase the Productivity of the Administrative Area of a Peruvian Aeronautical Company</t>
  </si>
  <si>
    <r>
      <rPr>
        <rFont val="Helvetica Neue"/>
        <color rgb="FF1155CC"/>
        <u/>
      </rPr>
      <t>https://www.scopus.com/pages/publications/85147442038?origin=resultslist</t>
    </r>
  </si>
  <si>
    <t>The aviation sector has suffered the effects of the pandemic as the industry's problems have become more evident due to operational constraints. The challenging and uncertain scenario has made the airline industry adapt its business to innovative alternatives based on efficient and digital strategies associated with the sector's low productivity and the efficiency of each process. According to the reports, a series of failures were observed in the Maintenance Administrative Area, which is in charge of managing the work shifts of each technician in charge of aircraft maintenance, identifying that the most significant productivity problem in the area is based on the inefficient attention of requests to technical personnel. Therefore, a new model based on digital transformation was established by applying Business Process Management and Lean Manufacturing, in which the implementation of an ERP system connected to a self-service digital platform stands out. The main objective of this research is to increase productivity through the proposed new model and reduce unproductive times. Initially, the current case was analyzed, the improvements were identified, and the simulation was performed in the Arena software version 16; giving as a result of the validation, the increase of attention rate by 26.4%, the reduction of the rejection rate by 2.09%, the increase of the registration efficiency by 32.59%, and a significant reduction of the cycle time by 87.37%; obtaining as a key result the increase of productivity by 18.62%, achieving a precedent that contributes to the optimization of the processes in the aeronautical sector. © 2022 ACM.</t>
  </si>
  <si>
    <t>10.1145/3568834.3568852</t>
  </si>
  <si>
    <t>All Open Access; Green Open Access</t>
  </si>
  <si>
    <t>Score: 0
Justification:
	•	CI01: not met — The abstract mentions “processes,” “practices,” and “model software development practices,” but it does not explicitly mention Business Process Management or BPM.
	•	CI02: met — The abstract explicitly mentions the digitalization era and discusses digitalized/software development practices in organizations.
	•	CI03: met — The study explicitly mentions Robotic Process Automation (RPA), intelligent automation, DevSecOps, Agile software development, and information security.
	•	CI04: met — The paper presents an analysis and proposal for continuous improvement of an intelligent automation platform in a large-scale multinational organization.
	•	CI05: met — The title and abstract are written in English.
	•	CE01–CE04: none clearly apply as the main exclusion reason — The study is related to digitalization, technologies, and organizational/business activities, and it is not clearly a secondary study. However, it should be excluded because CI01 is not met: there is no explicit mention of BPM/Business Process Management.</t>
  </si>
  <si>
    <t>**Score: 0**
**Justification:**
- **CI01: Not met** — Neither "Business Process Management" nor the abbreviation "BPM" appears anywhere in the title or abstract. The study mentions "Robotic Process Automation" (RPA) and "development and operation processes," but BPM as a discipline or framework is never referenced.
- **CI02: Met** — "Digitalization era" is explicitly mentioned ("In the digitalization era, teams increasingly need a collaborative method"), satisfying this criterion.
- **CI03: Met** — "Robotic Process Automation (RPA)" is explicitly named and is the central technology studied. RPA is directly listed among CI03's example technologies. "Intelligent automation platform" and "DevSecOps" are also referenced as software-related concepts.
- **CI04: Met** — The paper presents an analysis and proposal for continuous improvement of an intelligent automation platform at a large-scale multinational organization, and examines resistance factors to DevSecOps implementation in RPA code development. This constitutes an empirical analysis and applied proposal.
- **CI05: Met** — The title and abstract are written in English.
- **CE01: Does not apply** — The study relates to automation technology and digitalization.
- **CE02: Does not apply** — The study is explicitly applied in a large-scale multinational organizational context, addressing business activities, security, and software development practices.
- **CE03: Does not apply** — This is a primary study presenting original analysis and proposals.
- **CE04: Does not apply** — The abstract provides sufficient information for a clear relevance assessment.
The study is excluded solely due to **CI01** — "Business Process Management" or "BPM" is never explicitly mentioned, despite the study addressing RPA in an organizational context.</t>
  </si>
  <si>
    <t>Neves Â.; Araújo V.</t>
  </si>
  <si>
    <t>Smart Automation for Enhancing Cybersecurity</t>
  </si>
  <si>
    <r>
      <rPr>
        <rFont val="Helvetica Neue"/>
        <color rgb="FF1155CC"/>
        <u/>
      </rPr>
      <t>https://www.scopus.com/pages/publications/85154065454?origin=resultslist</t>
    </r>
  </si>
  <si>
    <t>In an intelligent automation ecosystem, namely in the context of Robotic Process Automation, there is a need to review the development and operation processes and practices. One must combine competences from these two areas for any organization’s security. It is with security that quality, efficiency, and profitability become possible. The elaboration of guidelines and best practices for the application of a DevSecOps culture is absolutely essential for Agile software development at any organization. In the digitalization era, teams increasingly need a collaborative method to involve several competencies and capabilities, from analysis to the implementation and evolution of a software product. Information security must be an integral part throughout the entire product’s lifecycle, as without it, fundamental aspects of confidentiality, integrity, and availability put information and software security at risk of serious implications for the organization’s business activities. Without losing focus on customer needs, it is necessary to model software development practices, following more agile methodologies. In this way, teams can model the software throughout its lifecycle, focusing on adding value for the customer and ensuring they have greater certainty that requirements, plans, and results are 100% aligned with their needs. This paper presents an analysis of and proposal for the continuous improvement of an intelligent automation platform at a large-scale multinational organization. In parallel, aspects that generate resistance to the implementation of a DevSecOps methodology within the scope of RPA code development are considered. © 2023 by the authors.</t>
  </si>
  <si>
    <t>10.17323/2500-2597.2023.1.89.97</t>
  </si>
  <si>
    <t>Score: 0
Justification:
	•	CI01: not met — The abstract mentions Business Process Modeling and Notation (BPMN) and “business processes,” but it does not explicitly mention Business Process Management or BPM. Under your strict criterion, BPMN is not enough.
	•	CI02: met — The abstract explicitly addresses digitalization in the context of Industry 4.0.
	•	CI03: met — The study mentions Industry 4.0, technology incorporation strategy, distributed manufacturing, and BPMN extension.
	•	CI04: met — The paper presents a BPMN extension named IOBP 4.0, developed through two design science research cycles.
	•	CI05: met — The title and abstract are written in English.
	•	CE01–CE04: none clearly apply as the main exclusion reason — The study is related to digitalization, technologies, business processes, and an organizational/manufacturing context. It is not a secondary study, and the abstract provides enough information. However, it should be excluded because CI01 is not met: there is no explicit mention of BPM/Business Process Management.</t>
  </si>
  <si>
    <t>**Score: 0**
**Justification:**
- **CI01: Not met** — Neither "Business Process Management" nor the abbreviation "BPM" appears anywhere in the title or abstract. The abstract references "Business Process Modeling and Notation (BPMN)" and "business processes," but BPMN stands for "Business Process *Model* and Notation" — not "Business Process *Management*." These are related but distinct concepts, and BPM as a discipline is never explicitly invoked.
- **CI02: Met** — "Digitalization" is explicitly mentioned in the opening sentence ("Industry 4.0 brings new challenges to the digitalization and decentralization of business processes"). Clearly met.
- **CI03: Not met** — No specific technology is named in the abstract. "Technology incorporation strategy" is a generic reference without identifying any particular technology. BPMN is a modeling notation standard, not a technology from the CI03 list (AI, RPA, process mining, big data, blockchain, IoT, or software systems). Per the instructions, generic references to "technology" are insufficient.
- **CI04: Met** — The study produces the IOBP 4.0 BPMN extension through two design science research cycles, constituting both an original modeling framework and a methodologically grounded contribution.
- **CI05: Met** — The title and abstract are written in English.
- **CE01: Does not apply** — The study relates to digitalization and business process modeling.
- **CE02: Does not apply** — The study addresses inter-organizational manufacturing and industrial collaboration contexts, which are organizational/business environments.
- **CE03: Does not apply** — This is a primary design science research study producing an original artifact.
- **CE04: Does not apply** — The abstract provides sufficient information for a clear relevance assessment.
The study is excluded due to **CI01** (no explicit mention of BPM or the term "BPM") and **CI03** (no specific technology explicitly named or applied).</t>
  </si>
  <si>
    <t>Ribeiro V.; Barata J.; da Cunha P.R.</t>
  </si>
  <si>
    <t>Modeling Boundary-Spanning Business Processes in Industry 4.0: Incorporating Risk-Based Design</t>
  </si>
  <si>
    <r>
      <rPr>
        <rFont val="Helvetica Neue"/>
        <color rgb="FF1155CC"/>
        <u/>
      </rPr>
      <t>https://www.scopus.com/pages/publications/85128762831?origin=resultslist</t>
    </r>
  </si>
  <si>
    <t>Industry 4.0 brings new challenges to the digitalization and decentralization of business processes. This paper contributes with a Business Process Modeling and Notation (BPMN) Extension that addresses the inter-organizational nature of the fourth industrial revolution and the need to address risk-by-design since the early stages of industrial collaboration. The proposal results from two design science research cycles. The extension named IOBP 4.0 provides an integrated description of (1) private/shared process elements, (2) local/distributed manufacturing stages, (3) technology incorporation strategy in the production network, and (4) risk situations. IOBP 4.0 can be useful for companies certified by the ISO 9001 quality standard that need to disclose their processes and third-party collaborations, following a risk-based approach. Moreover, incorporating risk-based process design in Industry 4.0 may improve business process resilience in manufacturing networks. © 2022, The Author(s), under exclusive license to Springer Nature Switzerland AG.</t>
  </si>
  <si>
    <t>10.1007/978-3-030-95354-6_9</t>
  </si>
  <si>
    <t>Score: 1
Justification:
	•	CI01: met — The title explicitly mentions BPM, and the abstract explicitly mentions “business process management (BPM).”
	•	CI02: met — The study directly addresses digital transformation (DT) and discusses DT strategies for modern enterprises.
	•	CI03: met — The abstract explicitly mentions robotic process automation (RPA), artificial intelligence (AI), machine learning (ML), automation, and data-driven systems.
	•	CI04: met — The study presents a strategic approach and practical guidance on integrating RPA, BPM, and DT in the context of Industry 4.0 and 5.0.
	•	CI05: met — The title and abstract are written in English.
	•	CE01–CE04: none clearly apply — The study is related to BPM, digital transformation, technologies, and organizational/business context. It is not explicitly presented as a literature review or secondary study in the title/abstract, and there is enough information to assess relevance.</t>
  </si>
  <si>
    <t>**Score: 0**
**Justification:**
- **CI01: Met** — "Business process management (BPM)" is explicitly stated in both the title and the abstract, with "BPM" used repeatedly. No ambiguity.
- **CI02: Met** — "Digital transformation (DT)" is explicitly named in the title and positioned as one of three central constructs of the study, alongside RPA and BPM.
- **CI03: Met** — "Robotic process automation (RPA)," "artificial intelligence (AI)," and "machine learning (ML)" are all explicitly named. RPA and AI are directly listed among CI03's example technologies.
- **CI04: Not met** — The abstract describes the paper as contributing "a comprehensive and updated perspective on how RPA, BPM, and DT interrelate" and "theoretical insights and practical guidance." This language characterizes a conceptual or discursive paper rather than one presenting an application, framework, model, method, or empirical analysis. No research design, data collection procedure, formal model, or structured framework is described. Per the instructions, when a criterion is not clearly supported, it must be considered not met.
- **CI05: Met** — The title and abstract are written in English.
- **CE01: Does not apply** — The study is directly related to BPM, digital transformation, and named technologies (RPA, AI, ML).
- **CE02: Does not apply** — The study addresses enterprises and organizational performance, clearly situated in a business context.
- **CE03: Does not apply** — The paper does not explicitly identify itself as a literature review or bibliometric study, though its conceptual nature is noted under CI04.
- **CE04: Does not apply** — The abstract provides sufficient information to assess relevance and identify the study's conceptual nature.
The study is excluded solely due to **CI04** — no application, framework, model, method, or empirical analysis is explicitly presented; the study is described in terms of providing a theoretical perspective and conceptual insights.</t>
  </si>
  <si>
    <t>Quang T.B.; Quoc H.D.; Cam V.N.T.; Nguyen-Duc A.</t>
  </si>
  <si>
    <t>Integrating RPA, BPM, and DT in the context of Industry 4.0 and 5.0: a strategic approach for modern enterprises</t>
  </si>
  <si>
    <r>
      <rPr>
        <rFont val="Helvetica Neue"/>
        <color rgb="FF1155CC"/>
        <u/>
      </rPr>
      <t>https://www.scopus.com/pages/publications/105024114993?origin=resultslist</t>
    </r>
  </si>
  <si>
    <t>This paper examines the interaction between robotic process automation (RPA), business process management (BPM), and digital transformation (DT)-three critical components in improving operational efficiency and driving business modernization. RPA automates repetitive tasks, reduces errors, accelerates processing, and optimizes resource use. When combined with artificial intelligence (AI) and machine learning (ML), it further enhances data analysis and decision-making. BPM focuses on analyzing, designing, and optimizing business processes to ensure organizational agility. DT provides a technological foundation for broader innovation in processes and structures. The paper contributes a comprehensive and updated perspective on how RPA, BPM, and DT interrelate—not only functioning independently but also reinforcing one another to create greater business value. It emphasizes that their integration is a strategic approach to improving performance, responsiveness, and continuous innovation. Importantly, the research is relevant to both Industry 4.0 and Industry 5.0. While Industry 4.0 (I4.0) prioritizes automation and data-driven systems, Industry 5.0 (I5.0) highlights human–technology collaboration for more adaptive and human-centric organizations. This study enriches theoretical insights and offers practical guidance for building effective and sustainable DT strategies. © 2025 Institute of Advanced Engineering and Science. All rights reserved.</t>
  </si>
  <si>
    <t>10.11591/eei.v14i6.10535</t>
  </si>
  <si>
    <t>Score: 0
Justification:
	•	CI01: met — The abstract explicitly mentions “a business process management approach.”
	•	CI02: not met — The study addresses the introduction of a new technology and IoT-based solutions, but it does not clearly mention digital transformation, digitalization, or digital innovation.
	•	CI03: met — The study explicitly focuses on Internet of Things (IoT) solutions and technological infrastructure.
	•	CI04: met — The study proposes and demonstrates a framework using design science research (DSR), with empirical demonstration in a single case.
	•	CI05: met — The title and abstract are written in English.
	•	CE01–CE04: none clearly apply as standalone exclusion criteria — The study is related to BPM, IoT technology, production operations, and organizational performance. It is not a secondary study, and the abstract provides enough information. However, it should be excluded because CI02 is not clearly met: digital transformation/digitalization/digital innovation is not explicitly supported in the title or abstract.</t>
  </si>
  <si>
    <t>**Score: 0**
**Justification:**
- **CI01: Met** — "A business process management approach" is explicitly stated in the abstract ("A process excellence perspective, operationalized through a business process management approach"), constituting a clear and direct mention of BPM.
- **CI02: Not met** — Neither "digital transformation," "digitalization," nor "digital innovation" appears anywhere in the title or abstract. The study concerns IoT solution design and production operations improvement, but none of the three qualifying terms from CI02 are explicitly used. Per the instructions, if a criterion is not clearly supported, it must be considered not met.
- **CI03: Met** — "Internet of Things (IoT)" is explicitly named in both the title and the abstract as the core technology of the study. IoT is directly listed among CI03's example technologies.
- **CI04: Met** — The study proposes and demonstrates an original framework developed through design science research (DSR), validated via an empirical single-case demonstration. This constitutes both a framework contribution and an empirical application.
- **CI05: Met** — The title and abstract are written in English.
- **CE01: Does not apply** — The study relates to BPM and IoT technology.
- **CE02: Does not apply** — The study is applied in a production/manufacturing organizational context, addressing operational performance and business potential.
- **CE03: Does not apply** — This is a primary design science research study with empirical demonstration.
- **CE04: Does not apply** — The abstract provides sufficient information for a clear relevance assessment.
The study is excluded solely due to **CI02** — none of the terms "digital transformation," "digitalization," or "digital innovation" appear explicitly in the title or abstract, despite the study addressing IoT integration in a production context.</t>
  </si>
  <si>
    <t>Colli M.; Nygaard Uhrenholt J.; Madsen O.; Waehrens B.V.</t>
  </si>
  <si>
    <r>
      <rPr>
        <rFont val="Helvetica Neue"/>
        <color rgb="FF1155CC"/>
        <u/>
      </rPr>
      <t>https://www.scopus.com/pages/publications/85113749238?origin=resultslist</t>
    </r>
  </si>
  <si>
    <t>Purpose: This research proposes and demonstrates a framework that can be used to systematically address the idiosyncratic design of Internet of Things (IoT)-based solutions, and to match the explorative aspects of introducing a new technology to the exploitative needs, to improve the performance of production operations. Design/methodology/approach: Due to the applied nature of this research, a design science research (DSR) framework was adopted in order to ensure both the rigor and applicability of the outcomes. Findings: A process excellence perspective, operationalized through a business process management approach, is applied to scope the solution space according to its exploitative potential. The mapping of the information flow that needs to be established defines the technological infrastructure of the solution. Research limitations/implications: The theoretical generalizability of the proposed framework is limited by a testing sample of a single case. The research implications are related to a call for the contextualization of IoT applications. Further research will involve the application of this approach to a diverse range of industrial settings. While the domain is far from saturated, a framework that can facilitate such investigations has been provided. Practical implications: The proposed framework provides practitioners with an approach to designing IoT solutions that can consistently address their needs for operational performance improvements. Originality/value: This research proposes a framework that links the enabling of transparency via the integration of IoT in production operations to contextual characteristics and business potential. Furthermore, it highlights the developmental drivers of IoT solutions, which emerged during the empirical demonstration of this framework. © 2021, Emerald Publishing Limited.</t>
  </si>
  <si>
    <t>Score: 1
Justification:
        •        CI01: met — The title explicitly mentions business process management, and the abstract mentions BPM several times.
        •        CI02: met — The study directly addresses digital innovation and the relationship between digital innovation and BPM.
        •        CI03: met — The abstract refers to digital innovation activities and BPM-driven digital innovation. Although it does not name a specific technology such as AI or RPA, “digital innovation” itself is explicitly technology-related in the scope of the study.
        •        CI04: met — The study presents empirical/practice-based analysis using a large-scale online workshop series, discussions, and two surveys with practitioners and academics.
        •        CI05: met — The title and abstract are written in English.
        •        CE01–CE04: none apply — The study is related to BPM, digital innovation, organizational practice, and empirical data from workshops and surveys. It is not presented as a secondary study, and the title/abstract provide enough information to assess relevance.</t>
  </si>
  <si>
    <t>**Score: 0**
**Justification:**
- **CI01: Met** — "Business process management" and "BPM" are explicitly stated and used repeatedly throughout the abstract ("digital innovation and BPM context," "BPM's role in digital innovation," "BPM projects," "BPM-driven digital innovation"). No ambiguity.
- **CI02: Met** — "Digital innovation" is one of the two central constructs of the study, explicitly mentioned throughout the abstract as a primary research focus.
- **CI03: Not met** — No specific technology is named anywhere in the abstract. "Digital innovation" is a broad conceptual term, not a specific technology. No reference to AI, RPA, process mining, big data, blockchain, IoT, or specific software systems appears. Per the instructions, generic references to "digital innovation" are insufficient to satisfy CI03's requirement for explicit technology identification.
- **CI04: Met** — The study collects empirical data from practitioner workshops (four sessions, averaging 120 participants each) and two surveys, identifying research directions grounded in practitioner insights. This constitutes an empirical study with primary data collection.
- **CI05: Met** — The title and abstract are written in English.
- **CE01: Does not apply** — The study is directly related to BPM and digital innovation.
- **CE02: Does not apply** — The study is grounded in organizational practice, involving practitioners from real organizations and focusing on practical challenges in BPM and digital innovation contexts.
- **CE03: Does not apply** — This is a primary empirical study based on original workshop discussions and survey data, not a review of existing literature.
- **CE04: Does not apply** — The abstract provides sufficient information for a clear relevance assessment.
The study is excluded solely due to **CI03** — no specific technology is explicitly mentioned or applied in the abstract.</t>
  </si>
  <si>
    <t>Grisold T.; Vom Brocke J.; Gross S.; Mendling J.; Röglinger M.; Stelzl K.</t>
  </si>
  <si>
    <t>Digital innovation and business process management: Opportunities and challenges as perceived by practitioners</t>
  </si>
  <si>
    <r>
      <rPr>
        <rFont val="Helvetica Neue"/>
        <color rgb="FF1155CC"/>
        <u/>
      </rPr>
      <t>https://www.scopus.com/pages/publications/85115184919?origin=resultslist</t>
    </r>
  </si>
  <si>
    <t>In this report, we summarize a large-scale online workshop series focusing on the connection between digital innovation and business process management. The workshop series—which contained four sessions in total that each lasted for an hour and involved on average of 120 practitioners and several academics—focused on complementing the primarily conceptual claims in this research area with in-depth insights from organizational practice. Each workshop shed light on specific aspects that appear important in the digital innovati on and BPM context. We collected data from discussions during the sessions and from two surveys. Based on our findings, we identify three research directions to advance research at the intersection between digital innovation and BPM. We suggest that researchers 1) explore BPM’s role in digital innovation, 2) scope digital innovation activities in BPM projects, and 3) examine how to align organizational structures to support BPM-driven digital innovation activities. We point to several concrete avenues for future empirical research in this field. © 2021, Association for Information Systems. All rights reserved.</t>
  </si>
  <si>
    <t>10.17705/1CAIS.04927</t>
  </si>
  <si>
    <t>Score: 1
Justification:
	•	CI01: met — The title and abstract explicitly mention Business Process Management and “business process management (BPM).”
	•	CI02: met — The study directly addresses digital transformation in a financial institution.
	•	CI03: met — The abstract mentions information technology, IT structures, and digital initiatives as part of transformation and BPM maturity.
	•	CI04: met — The study presents an empirical qualitative single case study, using semi-structured interviews, internal documents, project artefacts, and the BPM Maturity Model.
	•	CI05: met — The title and abstract are written in English.
	•	CE01–CE04: none apply — The study is directly related to BPM, digital transformation, technology/IT, and an organizational/business context. It is not a secondary study, and the title/abstract provide enough information to assess relevance.</t>
  </si>
  <si>
    <t>**Score: 0**
**Justification:**
- **CI01: Met** — "Business process management (BPM)" is explicitly stated in both the title and the abstract, with "BPM" used extensively throughout ("BPM maturity," "BPM Maturity Model," "BPM capabilities," "BPM-digital transformation cycle"). No ambiguity.
- **CI02: Met** — "Digital transformation" is explicitly referenced in the title and throughout the abstract as the central phenomenon being examined ("digital transformation initiatives," "BPM-digital transformation cycle," "digital initiatives"). Clearly met.
- **CI03: Not met** — No specific technology is named or applied in the abstract. While "information technology" appears as one of the BPM maturity dimensions studied ("strategic alignment, governance and information technology"), this is used as a generic organizational dimension rather than as a specific identified technology. No mention of AI, RPA, process mining, big data, blockchain, IoT, or specific software systems appears anywhere in the abstract. Per the instructions, a generic reference to "information technology" as a maturity dimension is insufficient to satisfy CI03's requirement for explicit technology identification.
- **CI04: Met** — The study applies Rosemann and De Bruin's BPM Maturity Model through a qualitative single case study at a financial institution, with semi-structured interviews, internal documents, and project artefacts. It also introduces the original concept of "perceptive dissonance." This constitutes both a rigorous empirical case study and a conceptual contribution.
- **CI05: Met** — The title and abstract are written in English.
- **CE01: Does not apply** — The study is directly related to BPM and digital transformation.
- **CE02: Does not apply** — The study is explicitly situated in an organizational/business context — a large financial institution in an emerging economy.
- **CE03: Does not apply** — This is a primary qualitative case study with original data collection.
- **CE04: Does not apply** — The abstract is rich and detailed, enabling a fully confident relevance assessment.
The study is excluded solely due to **CI03** — no specific technology is explicitly named or applied in the abstract.</t>
  </si>
  <si>
    <t>Segala S.X.; Seabra S.N.; Guimarães A.R.S.</t>
  </si>
  <si>
    <t>Business Process Management Maturity and Digital Transformation: Evidence From a Financial Institution in an Emerging Economy</t>
  </si>
  <si>
    <r>
      <rPr>
        <rFont val="Helvetica Neue"/>
        <color rgb="FF1155CC"/>
        <u/>
      </rPr>
      <t>https://www.scopus.com/pages/publications/105036018031?origin=resultslist</t>
    </r>
  </si>
  <si>
    <t xml:space="preserve">This study examines how business process management (BPM) maturity shapes digital transformation in a large financial institution operating in a highly regulated, emerging-economy context. Drawing on a qualitative single case study, the research applies Rosemann and De Bruin's BPM Maturity Model to analyse how different maturity dimensions evolve and interact during transformation initiatives. Data were collected through semi-structured interviews with senior managers and process specialists, complemented by internal documents and project artefacts. The findings reveal an asymmetric BPM maturity profile: technical-structural dimensions—strategic alignment, governance and information technology—reached the defined level (Level 3), while socio-organisational dimensions—methods, people and culture—remained at the repeatable level (Level 2), indicating a relative delay in the development of behavioural and methodological capabilities compared to formal governance and IT structures. Transformation initiatives reinforce governance and IT capabilities but simultaneously expose weaknesses in process understanding, methodological consistency and cross-functional collaboration. To explain this pattern, the study introduces the concept of perceptive dissonance, defined as divergent interpretive frames between process-oriented and execution-oriented units regarding the role of BPM in organisational transformation. This interpretive misalignment constrains the development of socio-organisational BPM capabilities and limits the emergence of a virtuous BPM-digital transformation cycle. The study contributes to BPM and knowledge-oriented process research by offering a factor-level qualitative analysis of BPM maturity and by identifying a cognitive mechanism that helps explain persistent maturity asymmetries during transformation. Practical implications are discussed for organisations seeking to align process governance, digital initiatives and organisational understanding. © 2026 The Author(s). Knowledge and Process Management published by John Wiley &amp; Sons Ltd.
</t>
  </si>
  <si>
    <t>10.1002/kpm.70079</t>
  </si>
  <si>
    <t>Score: 1
Justification:
	•	CI01: met — The title explicitly mentions business process management, and the abstract explicitly mentions “business process management (BPM).”
	•	CI02: met — The study directly addresses digitalization and the relationship between BPM and digitalization in organizations.
	•	CI03: met — The abstract mentions digital technologies, “modern digital technologies,” and digitalization of business processes.
	•	CI04: met — The study presents an exploratory empirical analysis using a questionnaire-based survey with 104 respondents and proposes six design principles for the interplay between BPM and digitalization.
	•	CI05: met — The title and abstract are written in English.
	•	CE01–CE04: none apply — The study is directly related to BPM, digitalization, digital technologies, and organizational/business context. It is not a secondary study, and the title/abstract provide enough information to assess relevance.</t>
  </si>
  <si>
    <t>**Score: 0**
**Justification:**
- **CI01: Met** — "Business process management (BPM)" is explicitly stated in the title and used extensively throughout the abstract ("BPM and digitalization," "BPM practices," "core elements of BPM," "integrating BPM and digitalization"). No ambiguity.
- **CI02: Met** — "Digitalization" is the second central construct of the study, explicitly and repeatedly referenced throughout the entire abstract ("interplay between BPM and digitalization," "digitalization outcomes," "digitalization of business processes"). Clearly met.
- **CI03: Not met** — No specific technology is named anywhere in the abstract. "Digital technology" and "modern digital technologies" appear once each in the practical and social implications sections, but these are entirely generic references without identifying any specific technology (AI, RPA, process mining, big data, blockchain, IoT, or software systems). Per the instructions, generic references to "digital technologies" are insufficient to satisfy CI03.
- **CI04: Met** — The study employs a questionnaire-based expert survey (104 respondents) and proposes six original design principles for integrating BPM and digitalization, grounded in Rosemann and vom Brocke's BPM framework. This constitutes both an empirical study and a principled framework contribution.
- **CI05: Met** — The title and abstract are written in English.
- **CE01: Does not apply** — The study is directly related to BPM and digitalization.
- **CE02: Does not apply** — The study is explicitly situated in an organizational context, addressing how organizations integrate BPM and digitalization practices, with practical implications for managers.
- **CE03: Does not apply** — This is a primary empirical study based on original survey data from 104 expert respondents, not a review of existing literature.
- **CE04: Does not apply** — The abstract is extensive and provides comprehensive information for a confident relevance assessment.
The study is excluded solely due to **CI03** — no specific technology is explicitly named or applied in the abstract.</t>
  </si>
  <si>
    <t>Iden J.; Danilova K.B.; Eikebrokk T.</t>
  </si>
  <si>
    <r>
      <rPr>
        <rFont val="Helvetica Neue"/>
        <color rgb="FF1155CC"/>
        <u/>
      </rPr>
      <t>https://www.scopus.com/pages/publications/105001070924?origin=resultslist</t>
    </r>
  </si>
  <si>
    <t>Purpose: This study investigated the interplay between business process management (BPM) and digitalization in organizations and developed principles for designing their interaction. Design/methodology/approach: This study was explorative and used a questionnaire-based survey that involved experts in BPM and digitalization who were actively engaged in these two domains in their organizations to come up with the design principles. The survey and the design principles were based on Rosemann and vom Brocke's (2010) six core elements of BPM. Findings: Digitalization was seen as influencing how BPM is practiced in organizations by strengthening organizations’ focus on BPM, and conversely, BPM was perceived as beneficial for digitalization and digitalization outcomes. In addition, based on Rosemann and vom Brocke’s six core elements of BPM, we proposed six principles for designing the interplay of BPM and digitalization in organizations. Research limitations/implications: Our empirical investigation was situated in a Norwegian context and included 104 respondents. While we have no reason to believe that our findings should not be valid and useful in other regions, this is a limitation in generalizing our findings, and a natural follow-up would be to investigate our research questions in other geographical areas. We are also aware of the potential response bias in our sample. Moreover, to outline the principles for designing the interactions of BPM and digitalization, we applied the six core elements of BPM by Rosemann and vom Brocke (2010) as our theoretical lens. We acknowledge that there are more issues related to the interplay of BPM and digitalization than we have dealt with in this study. Practical implications: This study has several implications for organizations. First, managers may use our proposed design principles to decide how to integrate BPM and digitalization. Second, although this study showed that each discipline nurtures its own culture, building an organizational culture that combines values from each discipline can enable a process-oriented organization to innovate its operations and services with digital technology. Third, managers should align the responsibilities and tasks of process owners with the demands for the digitalization of business processes. Fourth, managers, when integrating BPM and digitalization, should take care not to impede the generative attributes of each discipline. Social implications: Processes and digital technologies play important roles in society at all levels. BPM seeks to understand how processes unfold and explores how new practices may better serve individuals, organizations and society (vom Brocke et al., 2021), while digitalization is concerned with how various kinds of modern digital technologies may trigger organizational and social changes (Markus and Rowe, 2023; Suri and Jack, 2016). Originality/value: This study is one of the first studies to investigate the interplay between BPM and digitalization – how digitalization affects BPM practices in organizations and how BPM influences digitalization outcomes. In addition, this study offers novel principles for designing the interaction between BPM and digitalization. © 2024, Emerald Publishing Limited.</t>
  </si>
  <si>
    <t>Score: 0
Justification:
	•	CI01: not met — The abstract mentions “process-oriented systems” and “processes,” but it does not explicitly mention Business Process Management or BPM.
	•	CI02: met — The abstract explicitly mentions digital transformation.
	•	CI03: met — The study explicitly mentions AI, cyber-physical process systems, IoT environments, networked devices, and semantic modeling.
	•	CI04: met — The study presents an AI-CPPS framework with three layers and solution outlines for application.
	•	CI05: met — The title and abstract are written in English.
	•	CE01–CE04: none clearly apply as the main exclusion reason — The study is related to digital transformation, technologies, process-oriented systems, and broader socio-technical/application contexts. It is not clearly a secondary study, and the abstract provides enough information. However, it should be excluded because CI01 is not met: there is no explicit mention of BPM/Business Process Management.</t>
  </si>
  <si>
    <t>**Score: 0**
**Justification:**
- **CI01: Not met** — Neither "Business Process Management" nor the abbreviation "BPM" appears anywhere in the title or abstract. The abstract references "process-oriented systems," "higher-level process-oriented systems," and a "targeted process," but these are engineering/systems terms rather than explicit mentions of BPM as a management discipline or framework.
- **CI02: Met** — "Digital transformation" is explicitly stated in the opening sentence ("Digital transformation is both an opportunity and a challenge"), clearly satisfying this criterion.
- **CI03: Met** — "AI" (artificial intelligence) and "IoT" (Internet of Things) are both explicitly named and applied throughout the abstract ("AI-Based Self-Adaptive Cyber-Physical Process Systems," "integration of IoT environments," "profitably integrating AI and IoT"). Both are directly listed among CI03's example technologies.
- **CI04: Met** — The paper explicitly presents the AI-CPPS framework consisting of three layers (processes, semantic modeling, and systems and actors), with challenges and solution outlines described for each layer. This is a concrete framework contribution.
- **CI05: Met** — The title and abstract are written in English.
- **CE01: Does not apply** — The study relates to digital transformation and named technologies (AI, IoT).
- **CE02: Does not apply** — The framework addresses organizational and societal applications, with humans as actors in process-oriented systems targeting real-world domains (environmental protection, mobility).
- **CE03: Does not apply** — This is a primary study presenting an original framework.
- **CE04: Does not apply** — The abstract provides sufficient information for a clear relevance assessment.
The study is excluded solely due to **CI01** — "Business Process Management" or "BPM" is never explicitly mentioned, despite the study addressing process-oriented systems and digital transformation with AI and IoT.</t>
  </si>
  <si>
    <t>Guldner A.; Hoffmann M.; Lohr C.; MacHhamer R.; Malburg L.; Morgen M.; Rodermund S.C.; Schäfer F.; Schaupeter L.; Schneider J.; Theusch F.; Bergmann R.; Dartmann G.; Kuhn N.; Naumann S.; Timm I.J.; Vette-Steinkamp M.; Weyers B.</t>
  </si>
  <si>
    <t>A framework for AI-based self-adaptive cyber-physical process systems</t>
  </si>
  <si>
    <r>
      <rPr>
        <rFont val="Helvetica Neue"/>
        <color rgb="FF1155CC"/>
        <u/>
      </rPr>
      <t>https://www.scopus.com/pages/publications/85162805612?origin=resultslist</t>
    </r>
  </si>
  <si>
    <t>Digital transformation is both an opportunity and a challenge. To take advantage of this opportunity for humans and the environment, the transformation process must be understood as a design process that affects almost all areas of life. In this paper, we investigate AI-Based Self-Adaptive Cyber-Physical Process Systems (AI-CPPS) as an extension of the traditional CPS view. As contribution, we present a framework that addresses challenges that arise from recent literature. The aim of the AI-CPPS framework is to enable an adaptive integration of IoT environments with higher-level process-oriented systems. In addition, the framework integrates humans as actors into the system, which is often neglected by recent related approaches. The framework consists of three layers, i.e., processes, semantic modeling, and systems and actors, and we describe for each layer challenges and solution outlines for application. We also address the requirement to enable the integration of new networked devices under the premise of a targeted process that is optimally designed for humans, while profitably integrating AI and IoT. It is expected that AI-CPPS can contribute significantly to increasing sustainability and quality of life and offer solutions to pressing problems such as environmental protection, mobility, or demographic change. Thus, it is all the more important that the systems themselves do not become a driver of resource consumption. © 2023 the author(s), published by De Gruyter, Berlin/Boston.</t>
  </si>
  <si>
    <t>10.1515/itit-2023-0001</t>
  </si>
  <si>
    <t>Score: 0
Justification:
        •        CI01: met — The title explicitly mentions BPM, and the abstract explicitly mentions Business Process Management (BPM).
        •        CI02: met — The abstract explicitly addresses digital transformation in the context of Industry 4.0.
        •        CI03: met — The study explicitly mentions cyber-physical systems, information and communication technologies, artificial intelligence, and Internet of Things.
        •        CI04: not met — The abstract says the paper aims to identify challenges, limitations, opportunities, and future research directions. It does not clearly present an application, framework, model, method, or empirical analysis.
        •        CI05: met — The title and abstract are written in English.
        •        CE01–CE04: CE03 likely applies — The abstract suggests a conceptual/review-oriented paper focused on identifying challenges, limitations, opportunities, and future research directions, rather than a primary empirical or design study. Even if CE03 were not applied, the study should be excluded because CI04 is not clearly met.</t>
  </si>
  <si>
    <t>**Score: 0**
**Justification:**
- **CI01: Met** — "Business Process Management (BPM)" is explicitly stated in the abstract, with "BPM" used directly and repeatedly. No ambiguity.
- **CI02: Met** — "Digital transformation" is explicitly and extensively referenced throughout the abstract as the central context driving the study ("a digital transformation," "This digital transformation has profoundly impacted..."). Clearly met.
- **CI03: Met** — "Artificial intelligence" and "Internet of Things" are explicitly named in the abstract. Both are directly listed among CI03's example technologies.
- **CI04: Not met** — The abstract states the paper "aims to identify and define the main challenges, limitations, and opportunities of BPM" and "to identify potential future research directions." This language characterizes a conceptual or exploratory discussion paper. No research methodology, data collection procedure, empirical study, framework, or model is described anywhere in the abstract. The verbs "identify," "define," and "analyze" in this context describe a conceptual scoping exercise rather than an application, framework, model, method, or empirical analysis. Per the instructions, when a criterion is not clearly supported, it must be considered not met.
- **CI05: Met** — The title and abstract are written in English.
- **CE01: Does not apply** — The study relates to BPM, digital transformation, and AI/IoT technologies.
- **CE02: Does not apply** — The study addresses the management of organizations and their business processes in the context of Industry 4.0.
- **CE03: Does not apply** — The paper does not explicitly describe itself as a literature review, though its conceptual/exploratory nature is noted under CI04.
- **CE04: Does not apply** — The abstract provides sufficient information to assess relevance and determine CI04 is not met.
The study is excluded solely due to **CI04** — no application, framework, model, method, or empirical analysis is explicitly described; the study is framed as an exploratory conceptual identification of challenges, opportunities, and future research directions.</t>
  </si>
  <si>
    <t>Khider H.; Meziane A.; Hammoudi S.</t>
  </si>
  <si>
    <t>The Future of BPM in the Era of Industry 4.0: Exploring New Opportunities for Innovation</t>
  </si>
  <si>
    <r>
      <rPr>
        <rFont val="Helvetica Neue"/>
        <color rgb="FF1155CC"/>
        <u/>
      </rPr>
      <t>https://www.scopus.com/pages/publications/105020389016?origin=resultslist</t>
    </r>
  </si>
  <si>
    <t>In today's digital age, the fourth industrial revolution has given rise to Industry 4.0. This new paradigm has brought new challenges for organizations, through a digital transformation. This digital transformation has profoundly impacted the way businesses operate, leading to a fundamental shift in the Business Process Management (BPM), affecting business models, processes, products, relationships and competencies. This transformation is based on the use of cyber-physical systems and information and communication technologies, in particular artificial intelligence and the Internet of Things. This paper aims to identify and define the main challenges, limitations, and opportunities of BPM in the era of Industry 4.0. Furthermore, it aims to identify potential future research directions. in addition to analyzing the impact of Industry 4.0 concepts and related technologies on the management of organizations and their business processes. Copyright © 2025 by Paper published under CC license (CC BY-NC-ND 4.0)</t>
  </si>
  <si>
    <t>10.5220/0013477300003929</t>
  </si>
  <si>
    <t>Score: 1
Justification:
	•	CI01: met — The abstract explicitly mentions Business Process Management as one of the digital technologies considered in the study.
	•	CI02: met — The study directly addresses digital transformation, digitalization, and automation in sourcing/procurement and tender management processes.
	•	CI03: met — The abstract explicitly mentions digital technologies, Business Process Management, Robotic Process Automation, and Natural Language Processing.
	•	CI04: met — The study presents an empirical analysis focused on a Malaysian multinational electricity and utility company, examining the impact of digital transformation and business process reengineering on employee job satisfaction.
	•	CI05: met — The title and abstract are written in English.
	•	CE01–CE04: none apply — The study is related to BPM, digital transformation, technologies, and an organizational/business context. It is not presented as a secondary study, and the title/abstract provide enough information to assess relevance.</t>
  </si>
  <si>
    <t>**Score: 1**
**Justification:**
- **CI01: Met** — "Business Process Management" is explicitly named in the abstract as one of the digital technologies applied in the study. "Business Process Reengineering" is also referenced. No ambiguity.
- **CI02: Met** — "Digital Transformation" is the central subject of the entire study, explicitly stated in the title and throughout the abstract. "Digitalization" is also explicitly referenced.
- **CI03: Met** — "Robotic Process Automation" (RPA) and "Natural Language Processing" (NLP) are explicitly named as applied technologies. RPA is directly listed among CI03's example technologies, and NLP is a form of AI — also listed in CI03.
- **CI04: Met** — The study conducts an empirical analysis of the impact of digital transformation and BPM on employee job satisfaction in a Malaysian multinational electricity company (case organization). It analyzes process gaps, assesses improvement potential, and targets findings for the procurement division's senior management. This constitutes an applied empirical case study.
- **CI05: Met** — The title and abstract are written in English.
- **CE01: Does not apply** — The study is directly related to BPM, digital transformation, and named technologies (RPA, NLP).
- **CE02: Does not apply** — The study is explicitly situated in an organizational/business context — the Procurement Division of a Malaysian multinational electricity and utility company.
- **CE03: Does not apply** — This is a primary empirical case study focused on a specific organization, not a review of existing literature.
- **CE04: Does not apply** — The abstract provides comprehensive information for a confident relevance assessment.</t>
  </si>
  <si>
    <t>Mukherjee D.; Ahmad S.</t>
  </si>
  <si>
    <r>
      <rPr>
        <rFont val="Helvetica Neue"/>
        <color rgb="FF1155CC"/>
        <u/>
      </rPr>
      <t>https://www.scopus.com/pages/publications/85163826647?origin=resultslist</t>
    </r>
  </si>
  <si>
    <t>This Digital Transformation is a methodology of leveraging emerging digital technologies &amp; platforms to re-imagine and re-engineer AS-IS business/operational processes, organizational culture, and user experiences to meet evolving global business requirements. Hence, reimagining the business in the digital age with technological innovation &amp; adoption is the essence of digital transformation. Job Satisfaction is measured as the extent to which employees prefer their job or specific aspects of jobs, like the profile of work or quality of the job and has a direct relationship with employee Work-life Balance, Work Performance Management, Job Rotation/Distribution &amp; Skill Management. Key objective of this research is focused on the Analysis of the Impact of Digital Transformation &amp; Business Process Reengineering in the areas of E2E Sourcing/Procurement Management &amp; Tender Life Cycle Management eco-system on the Employee Job Satisfaction Index. This study is intended to deal with existing issues, to analyze process gaps &amp; to assess potential improvement in the team's job satisfaction of Sourcing &amp; Category Managers of the Procurement Division with the help of Digital Technologies - Business Process Management, Robotic Process Automation, Natural Language Processing, specifically in the context of a Malaysian Multinational Electricity &amp; Utility Company (to be referred as Case-Organization). The intended research finding analysis should help senior management of the procurement division to focus their attention to digitalization &amp; automation activities from internal human resource &amp; leadership perspectives to leverage if digital transformation brings any value in effective work allocation, better job rotation, improved work-life balance, enhanced work quality and efficient performance management etc. © 2023 IEEE.</t>
  </si>
  <si>
    <t>Score: 0
Justification:
	•	CI01: met — The title and abstract explicitly mention Business Process Management (BPM).
	•	CI02: met — The study directly addresses Digital Innovation (DI) and Digital Transformation (DT).
	•	CI03: met — The abstract mentions the use of digital technology to create new value for organizations and customers.
	•	CI04: met — The study presents a Systematic Literature Review (SLR) with search results, inclusion/exclusion criteria, relevance assessment, and 34 relevant articles.
	•	CI05: met — The title and abstract are written in English.
	•	CE01–CE04: CE03 applies — The study is explicitly a Systematic Literature Review (SLR), so it is a secondary study. Therefore, it should be excluded even though the inclusion criteria are otherwise met.</t>
  </si>
  <si>
    <t>**Score: 0**
**Justification:**
- **CI01: Met** — "Business Process Management (BPM)" is explicitly stated in the title and abstract, with "BPM" used directly throughout.
- **CI02: Met** — "Digital Innovation (DI)" and "Digital Transformation (DT)" are explicitly defined and positioned as the two central phenomena of the study alongside BPM.
- **CI03: Not met** — No specific technology is named in the abstract. "Digital technology" appears once as a generic reference ("use of digital technology to create new value"), without identifying any particular technology such as AI, RPA, process mining, big data, blockchain, IoT, or software systems.
- **CI04: Met (within the study's scope)** — The study applies a Systematic Literature Review methodology, yielding 34 relevant articles through defined inclusion/exclusion criteria and relevance assessment.
- **CI05: Met** — The title and abstract are written in English.
- **CE01: Does not apply** — The study is directly related to BPM and digital transformation/innovation.
- **CE02: Does not apply** — The study addresses organizational performance and business processes in organizational contexts.
- **CE03: Applies** — This is the decisive disqualifying criterion. The title explicitly identifies this as "A Systematic Literature Review," and the abstract confirms: the study applies an SLR methodology, yielding 34 relevant articles through "search results, inclusion and exclusion criteria, and relevance assessment." A systematic literature review is directly listed among CE03's examples of secondary studies.
- **CE04: Does not apply** — The abstract provides sufficient information for a clear relevance assessment.
The study is excluded on two grounds: **CE03** (explicitly a systematic literature review — a secondary study) and **CI03** (no specific technology explicitly named or applied).</t>
  </si>
  <si>
    <t>Putra H.; Mahendrawathi E.R.</t>
  </si>
  <si>
    <r>
      <rPr>
        <rFont val="Helvetica Neue"/>
        <color rgb="FF1155CC"/>
        <u/>
      </rPr>
      <t>https://www.scopus.com/pages/publications/85193201369?origin=resultslist</t>
    </r>
  </si>
  <si>
    <t>Business Process Management (BPM) is an approach that aims to improve organizational performance and flexibility through managing business processes. Digital Innovation (DI) and Digital Transformation (DT) are phenomena that relate to the use of digital technology to create new value for organizations and customers. This article explores the role of BPM in supporting DI and DT in organizations and how to implement BPM in an organization with a Systematic Literature Review (SLR). The search results, inclusion and exclusion criteria, and relevance assessment yielded 34 relevant articles. We found that BPM, DI, and DT interact with each other in various ways and have some theoretical and practical implications for researchers and practitioners. © 2023 The Authors. Published by Elsevier B.V.</t>
  </si>
  <si>
    <t>Score: 0
Justification:
	•	CI01: met — The title and abstract explicitly mention business process management (BPM).
	•	CI02: met — The abstract identifies Digital Transformation as an emerging trend in BPM.
	•	CI03: met — The abstract mentions technologies such as IoT and Artificial Intelligence in relation to BPM.
	•	CI04: met — The study presents a bibliometric analysis of 729 BPM articles using SCOPUS and VOSviewer.
	•	CI05: met — The title and abstract are written in English.
	•	CE01–CE04: CE03 applies — The study is explicitly a bibliometric analysis of scientific production/literature, so it is a secondary study. Therefore, it should be excluded even though the inclusion criteria are otherwise supported.</t>
  </si>
  <si>
    <t>**Score: 0**
**Justification:**
- **CI01: Met** — "Business process management (BPM)" is explicitly stated in both the title and abstract, with "BPM" used repeatedly throughout.
- **CI02: Met** — "Digital Transformation" is explicitly identified as one of the significant emerging trends revealed by the analysis.
- **CI03: Met** — "Artificial Intelligence" and "IoT" are both explicitly mentioned in the practical implications section of the abstract. Both are directly listed among CI03's example technologies.
- **CI04: Met (within the study's scope)** — The study conducts a bibliometric analysis of 729 BPM articles using SCOPUS and VOSviewer, constituting a structured analytical method.
- **CI05: Met** — The title and abstract are written in English.
- **CE01: Does not apply** — The study is directly related to BPM and digital transformation.
- **CE02: Does not apply** — The study addresses BPM in management and business contexts.
- **CE03: Applies** — This is the decisive disqualifying criterion. The abstract explicitly states: "We conducted a bibliometric analysis of 729 BPM articles from management and business journals using the SCOPUS database and VOSviewer software." The title also describes the study as "a comprehensive bibliometric analysis." Bibliometric analysis of existing literature is a secondary study methodology, directly covered under CE03.
- **CE04: Does not apply** — The abstract provides sufficient information for a clear relevance assessment.
The study is excluded solely due to **CE03** — it is explicitly a bibliometric analysis of existing literature, making it a secondary study.</t>
  </si>
  <si>
    <r>
      <rPr>
        <rFont val="Helvetica Neue"/>
        <color rgb="FF1155CC"/>
        <u/>
      </rPr>
      <t>https://www.scopus.com/pages/publications/85199247455?origin=resultslist</t>
    </r>
  </si>
  <si>
    <t>Purpose: This study aims to analyze international scientific production from 1960 to 2023 on business process management (BPM), highlighting the latest trends in BPM in the field of management and business during the 21st century. Design/methodology/approach: We conducted a bibliometric analysis of 729 BPM articles from management and business journals using the SCOPUS database and VOSviewer software to map the scholarly landscape. Findings: Nearly 45% of the papers were published between 2018 and 2023, prominently featuring the Business Process Management Journal. The University of São Paulo and Queensland University of Technology were the most prolific institutions. Significant emerging trends identified include Strategic Management, Digital Transformation, and IoT. Author Röglinger was noted for the highest publication rate. Research limitations/implications: The analysis was restricted to journal articles from one database, potentially overlooking insights from conferences, books, and other formats. Practical implications: The study highlights the significant benefits of integrating technologies like Artificial Intelligence and IoT in BPM, improving operational efficiency, competitiveness, and innovation in adaptability and service personalization. Social implications: Technological advancements in BPM could enhance employment, require new skills, support a sustainable economy, and improve organizational transparency and service accessibility, bolstering corporate social responsibility and inclusion. Originality/value: This research offers a unique overview of the integration of emerging technologies in BPM, shedding light on their strategic and social implications, and providing critical insights for optimizing processes and fostering business innovation. © 2024, Emerald Publishing Limited.</t>
  </si>
  <si>
    <t>Score: 0
Justification:
	•	CI01: not met — The abstract mentions “process management,” “process redesign,” and “performance management,” but it does not explicitly mention Business Process Management or BPM.
	•	CI02: met — The abstract explicitly mentions digital transformation as a driver for service and process redesign.
	•	CI03: met — The study explicitly mentions Process Mining and a data-driven approach to process management.
	•	CI04: met — The paper describes an application/case of Process Mining in a major public hospital in Italy, involving an organizational and change management perspective.
	•	CI05: met — The title and abstract are written in English.
	•	CE01–CE04: none clearly apply as the main exclusion reason — The study is related to digital transformation, technology, process redesign/management, and an organizational healthcare context. It is not a secondary study, and the abstract provides enough information. However, it should be excluded because CI01 is not met: there is no explicit mention of BPM/Business Process Management.</t>
  </si>
  <si>
    <t>**Score: 0**
**Justification:**
- **CI01: Not met** — Neither "Business Process Management" nor the abbreviation "BPM" appears anywhere in the title or abstract. The abstract uses "process management" and "data-driven approach to process management" in generic terms, but BPM as a specific discipline is never explicitly invoked.
- **CI02: Met** — "Digital transformation" is explicitly referenced as a driver: "Process Mining… constitutes a powerful tool to leverage the digital transformation as a driver for service and process redesign."
- **CI03: Met** — "Process Mining" is explicitly named and applied throughout the abstract as the core technology of the study. Process mining is directly listed among CI03's example technologies.
- **CI04: Met** — The paper describes a real-world case study in which the Italian consulting firm Partners4Innovation implemented Process Mining at a major Italian public hospital (Azienda Ospedaliero-Universitaria of Ferrara), constituting an empirical application.
- **CI05: Met** — The title and abstract are written in English.
- **CE01: Does not apply** — The study relates to digital transformation and process mining technology.
- **CE02: Does not apply** — The study is explicitly situated in an organizational context — a major public hospital managing strategic and day-to-day operations.
- **CE03: Does not apply** — This is a primary applied case study, not a review of existing literature.
- **CE04: Does not apply** — The abstract provides sufficient information for a clear relevance assessment.
The study is excluded solely due to **CI01** — "Business Process Management" or "BPM" is never explicitly mentioned, despite the study addressing process management and applying process mining in a healthcare organization undergoing digital transformation.</t>
  </si>
  <si>
    <t>Aiello S.; Bardasi P.; Carradori T.; Cipriani V.; Fa-Coetti P.; Flecchia L.; Grotti A.; Longhitano E.; Solvi S.; Strada A.; Tarantino M.</t>
  </si>
  <si>
    <t>Process Mining applied to Emergency Room: an organizational and change management perspective</t>
  </si>
  <si>
    <r>
      <rPr>
        <rFont val="Helvetica Neue"/>
        <color rgb="FF1155CC"/>
        <u/>
      </rPr>
      <t>https://www.scopus.com/pages/publications/85128403132?origin=resultslist</t>
    </r>
  </si>
  <si>
    <t>Struggling with the need to comply with strict budget constraints and the mission of delivering high-quality care services to their patients, healthcare organizations are increasingly interested in finding innovative solutions to tackle process pains and improve performance management. Among those, Process Mining plays an increasingly important role, as it constitutes a powerful tool to leverage the digital transformation as a driver for service and process redesign, putting the concept of patient care at the center. This paper describes how Italian consulting firm Partners4Innovation helped a major public hospital located in northern Italy, Azienda Ospedaliero-Universitaria of Ferrara, introducing Process Mining as part of the practices to manage its strategic and day-to-day operations, leveraging what has already been done several times in this field. The distinctiveness of the approach presented lies above all in having understood that the introduction of Process Mining requires a radical evolution of the organizational culture and skillset, which if not properly addressed threatens not only the return on investment in the medium term but also the organization's ability to root the data-driven approach to process management required by the current and future competitive landscape. Copyright © 2021 for this paper by its authors</t>
  </si>
  <si>
    <t>Score: 1
Justification:
	•	CI01: met — The title and abstract explicitly mention business process management capabilities (BPMC).
	•	CI02: met — The study directly addresses sustainable digital transformation (ESDT).
	•	CI03: met — The abstract mentions the application of digital technology and evaluates digital transformation in SMEs.
	•	CI04: met — The study presents an empirical analysis using data from 712 SME respondents, structural equation modeling, SmartPLS, and AMOS.
	•	CI05: met — The title and abstract are written in English.
	•	CE01–CE04: none apply — The study is related to BPM, digital transformation, digital technology, and an organizational/business context. It is not a secondary study, and the title/abstract provide enough information to assess relevance.</t>
  </si>
  <si>
    <t>**Score: 0**
**Justification:**
- **CI01: Met** — "Business process management capabilities (BPMC)" is explicitly stated in both the title and the abstract, with "business process management" fully spelled out as a core construct of the study.
- **CI02: Met** — "Sustainable digital transformation" and "digital transformation" are explicitly and repeatedly referenced throughout the abstract as the central outcome variable of the research.
- **CI03: Not met** — No specific technology is named or applied in the abstract. "Digital technology" appears once in the practical implications section ("promote the application of digital technology"), but this is a generic reference without identifying any specific technology such as AI, RPA, process mining, big data, blockchain, IoT, or software systems. SmartPLS and AMOS are mentioned as statistical analysis tools used in the research methodology — not as technologies under investigation.
- **CI04: Met** — The study employs the hypothetico-deductive technique with structural equation modeling (SEM) applied to survey data from 712 respondents across SMEs in Vietnam, using SmartPLS and AMOS for measurement and structural model evaluation. This constitutes a rigorous quantitative empirical analysis.
- **CI05: Met** — The title and abstract are written in English.
- **CE01: Does not apply** — The study is related to BPM and digital transformation.
- **CE02: Does not apply** — The study is explicitly grounded in an organizational/business context, focusing on SMEs in Vietnam.
- **CE03: Does not apply** — This is a primary empirical study with original survey data collection and statistical analysis.
- **CE04: Does not apply** — The abstract provides sufficient information for a clear relevance assessment.
The study is excluded solely due to **CI03** — no specific technology is explicitly named or applied in the abstract.</t>
  </si>
  <si>
    <t>Huy P.Q.; Phuc V.K.</t>
  </si>
  <si>
    <r>
      <rPr>
        <rFont val="Helvetica Neue"/>
        <color rgb="FF1155CC"/>
        <u/>
      </rPr>
      <t>https://www.scopus.com/pages/publications/86000463474?origin=resultslist</t>
    </r>
  </si>
  <si>
    <t>Purpose: This research aims at investigating how business process management capabilities (BPMC) impact the effectiveness of sustainable digital transformation (ESDT). Furthermore, it delves into the mediation of dynamic decision-making (DDM) in the relationship between BPMC and ESDT. Design/methodology/approach: This research employed the hypothetico-deductive technique. The statistical database was generated from sample of 712 respondents from small and medium companies (SMEs) in Vietnam, utilizing convenience and snowball sampling methods. The two-step process utilizing structural equation modeling, supported by SmartPLS version 4.1.0.9 and AMOS 28, was employed to assess the measurement model, while SmartPLS version 4.1.0.9 was used to evaluate the structural model. Findings: The results of the analysis emphasize significant and positive correlations between the proposed constructs related to significance and effect size. The statistical results indicated that BPMC had a significant and beneficial effect on ESDT. This relationship was partially mediated by DMM. Practical implications: The salient point emphasized that practitioners should prioritize enhancing focus on BPMC and DDM, as this would significantly facilitate more comprehensive solutions, enabling SMEs to achieve optimal success in sustainable digital transformation. Policymakers and government influencers are urged to concentrate on innovative attributes and ensure a conducive environment for the implementation of innovation by enacting regulations that promote the application of digital technology. Originality/value: The findings of this study will broaden scholars’ understanding of the influence of BPMC on ESDT. The originality of the research is to provide research directions for advancing studies on the role of DDM in the context of sustainable digital transformation. © 2025, Pham Quang Huy and Vu Kien Phuc.</t>
  </si>
  <si>
    <t>All Open Access; Bronze Open Access</t>
  </si>
  <si>
    <t>Score: 0
Justification:
	•	CI01: met — The title mentions BPM, and the abstract explicitly refers to “business process management.”
	•	CI02: not met — The abstract only mentions “digitalization of the assessment tool” as a future research direction. It does **not clearly address digital transformation, digitalization, or digital innovation as part of the study’s central focus.
	•	CI03: not met — The abstract mentions an accompanying tool, but it does not clearly mention or apply digital technologies such as AI, RPA, process mining, IoT, software systems, or digital systems in the actual study.
	•	CI04: met — The study develops and validates a prescriptive method and accompanying tool, using a design-oriented methodology, expert assessment, exploratory studies, and empirical evaluation.
	•	CI05: met — The title and abstract are written in English.
	•	CE01–CE04: none clearly apply as a standalone exclusion criterion. The study is related to BPM and organizational context, is not purely a secondary study, and provides enough information. However, it should be excluded because CI02 and CI03 are not clearly met.</t>
  </si>
  <si>
    <t>**Score: 0**
**Justification:**
- **CI01: Met** — "BPM" appears in the title and "business process management" is explicitly stated in the abstract ("assessing the maturity of business process management," "improving organizational processes"). Clearly met.
- **CI02: Not met** — The word "digitalization" appears once in the final sentence of the abstract as a future research direction ("digitalization of the assessment tool"), not as a theme the study itself addresses. The study is focused on BPM maturity assessment methodology and organizational process improvement. A single passing reference to digitalization as future work is insufficient to establish that the study "addresses" digital transformation, digitalization, or digital innovation. Per the instructions, if a criterion is not clearly supported, it must be considered not met.
- **CI03: Not met** — No specific technology is named or applied in the abstract. "An accompanying tool" is referenced, but the tool itself is not described in technological terms. No mention of AI, RPA, process mining, big data, blockchain, IoT, or specific software systems appears anywhere in the abstract.
- **CI04: Met** — The paper explicitly develops and validates a prescriptive method and tool for BPM maturity assessment, integrating diagnostic and recommendation functions. The research combines a systematic literature review, expert assessment, exploratory studies, and empirical evaluation across organizations of different sizes and sectors — a comprehensive methodological and empirical contribution.
- **CI05: Met** — The title and abstract are written in English.
- **CE01: Does not apply** — The study is related to BPM.
- **CE02: Does not apply** — The study addresses organizational process improvement across multiple sectors and organizational sizes.
- **CE03: Does not apply** — Although the study uses a systematic literature review as one component of its methodology, it also includes expert assessment, exploratory studies, and empirical evaluation — making it a primary design-oriented study.
- **CE04: Does not apply** — The abstract provides sufficient information for a clear relevance assessment.
The study is excluded due to **CI02** (digitalization only mentioned as a future direction, not addressed by the study) and **CI03** (no specific technology explicitly named or applied).</t>
  </si>
  <si>
    <t>Szelagowski M.; Sliz P.</t>
  </si>
  <si>
    <t>BPM Maturity Assessment: An Exploratory Study Perspective</t>
  </si>
  <si>
    <r>
      <rPr>
        <rFont val="Helvetica Neue"/>
        <color rgb="FF1155CC"/>
        <u/>
      </rPr>
      <t>https://www.scopus.com/pages/publications/105029428693?origin=resultslist</t>
    </r>
  </si>
  <si>
    <t>This paper develops and validates a prescriptive method and an accompanying tool for assessing the maturity of business process management. The study responds to a gap in existing maturity models, which are weakly connected to the needs of managers responsible for improving organizational processes, insufficiently practical, and rarely empirically validated. The proposed assessment method integrates diagnostic and recommendation functions and is designed to support both the evaluation of the current state and the identification of actionable steps leading to higher maturity levels. The research follows a design-oriented methodology and combines a systematic literature review, expert assessment, exploratory studies, and an empirical evaluation among organizations of different sizes and sectors. The resulting method introduces a structured set of obligatory and optional criteria, as well as tailored recommendations that can be further adapted to the context of specific organizations. Empirical findings demonstrate that users perceive the method as clear, useful, and aligned with organizational practice, and that the recommendations provide meaningful guidance for improvement. The study shows that integrating prescriptive mechanisms with maturity assessment reduces the gap between diagnosis and implementation and enables the design of realistic development trajectories. The article concludes with a discussion of limitations, practical implications, and directions for future research, including sector-specific validation and digitalization of the assessment tool. © 2013 IEEE.</t>
  </si>
  <si>
    <t>10.1109/ACCESS.2026.3660050</t>
  </si>
  <si>
    <t>Score: 0
Justification:
	•	CI01: not met — The abstract mentions “business processes,” “process data,” and “process execution time,” but it does not explicitly mention Business Process Management or BPM.
	•	CI02: not met — The abstract discusses digital/software technologies for process optimization, but it does not clearly address digital transformation, digitalization, or digital innovation.
	•	CI03: met — The study explicitly mentions Service-Oriented Architecture (SOA), microservices, recommendation systems, machine learning, K-Means clustering, Apriori-based association rule mining, real-time process data, and predictive models.
	•	CI04: met — The study proposes a comprehensive algorithm, presents a detailed implementation, and reports preliminary case-study results in e-commerce and financial services.
	•	CI05: met — The title and abstract are written in English.
	•	CE01–CE04: none clearly apply as the main exclusion reason — The study is related to technology, process optimization, and organizational/business contexts. It is not a secondary study, and the abstract provides enough information. However, it should be excluded because CI01 and CI02 are not clearly met.</t>
  </si>
  <si>
    <t>**Score: 0**
**Justification:**
- **CI01: Not met** — Neither "Business Process Management" nor the abbreviation "BPM" appears anywhere in the title or abstract. The study discusses "business processes," "process optimization," and "business conditions," but none of these constitute an explicit mention of BPM as a management discipline or framework.
- **CI02: Not met** — Neither "digital transformation," "digitalization," nor "digital innovation" appears anywhere in the title or abstract. The study addresses operational efficiency, real-time optimization, and modular architectures, but none of the three qualifying CI02 terms are explicitly used. Per the instructions, if a criterion is not clearly supported, it must be considered not met.
- **CI03: Met** — Multiple specific technologies are explicitly named: Service-Oriented Architecture (SOA), microservices, machine learning, K-Means clustering, Apriori-based association rule mining, and recommendation systems. Machine learning falls under AI, and SOA/microservices are software systems — both directly referenced in CI03's examples.
- **CI04: Met** — The paper proposes a comprehensive algorithm and demonstrates its implementation through case studies in e-commerce and financial services, yielding quantitative results (20% improvement in process execution time, 15% increase in customer satisfaction). This constitutes both a methodological contribution and empirical validation.
- **CI05: Met** — The title and abstract are written in English.
- **CE01: Does not apply** — The study relates to technologies and process optimization.
- **CE02: Does not apply** — The study is applied in e-commerce and financial services — clearly organizational/business contexts.
- **CE03: Does not apply** — This is a primary study presenting an original algorithm and case study results.
- **CE04: Does not apply** — The abstract provides sufficient information for a clear relevance assessment.
The study is excluded due to **CI01** (no mention of BPM) and **CI02** (no explicit reference to digital transformation, digitalization, or digital innovation).</t>
  </si>
  <si>
    <t>Trabelsi F.Z.; Khtira A.; Asri B.E.</t>
  </si>
  <si>
    <t>Algorithmic Business Process Optimization: Empowering Operational Excellence with Service-Oriented Architecture (SOA) and Microservices</t>
  </si>
  <si>
    <r>
      <rPr>
        <rFont val="Helvetica Neue"/>
        <color rgb="FF1155CC"/>
        <u/>
      </rPr>
      <t>https://www.scopus.com/pages/publications/85213278941?origin=resultslist</t>
    </r>
  </si>
  <si>
    <t>This paper introduces a novel approach to optimizing business processes by integrating principles from Service-Oriented Architecture (SOA), micro-services, and recommendation systems. Our approach leverages specific machine learning techniques such as clustering algorithms for behavioral segmentation and association rule mining for pattern identification, combined with data-driven insights derived from real-time process data. We propose a comprehensive algorithm that identifies inefficiencies in existing workflows, utilizing K-Means clustering and Apriori-based association rule mining to recommend optimized, modular architectures based on interoperable services. Additionally, the system provides personalized recommendations for ongoing improvements using predictive models. Through a detailed implementation, we demonstrate how our method enhances operational efficiency by reducing process redundancies, scalability through modular micro-services, and user satisfaction by streamlining service delivery. Preliminary results from case studies in the e-commerce and financial services sectors show up to 20% improvement in process execution time and 15% increase in customer satisfaction. Our approach differentiates itself from existing methods by offering a seamless integration of modular service architectures with real-time optimization and personalized feedback, creating a continuous improvement loop that adapts to changing business conditions. Finally, we discuss future research directions, including refining recommendation models, developing real-time optimization capabilities, and exploring applications in industry-specific contexts. ©2024 The authors. This article is published by IIETA and is licensed under the CC BY 4.0 license.</t>
  </si>
  <si>
    <t>10.18280/isi.290627</t>
  </si>
  <si>
    <t>Score: 0
Justification:
	•	CI01: not met — The abstract mentions Business Process Model (BPMo), but it does not explicitly mention Business Process Management or BPM. Under the strict criterion, BPMo/business process model is not enough.
	•	CI02: met — The study directly addresses digitalization of maritime container shipping companies and its impact on operations/processes.
	•	CI03: met — The abstract mentions an inventory of digital applications, deployment of applications, KPIs, and balanced scorecard updates.
	•	CI04: met — The study presents an analysis/method using a Business Process Model, an inventory of digital applications, performance dimensions, KPIs, and identified “quick win” applications.
	•	CI05: met — The title and abstract are written in English.
	•	CE01–CE04: none clearly apply as the main exclusion reason — The study is related to digitalization, technologies/digital applications, business processes, and an organizational/business context. It is not a secondary study, and the abstract provides enough information. However, it should be excluded because CI01 is not met.</t>
  </si>
  <si>
    <t>**Score: 0**
**Justification:**
- **CI01: Not met** — Neither "Business Process Management" nor the abbreviation "BPM" appears anywhere in the title or abstract. The abstract references "Business Process Model (BPMo)" — a distinct term using the abbreviation "BPMo" — which refers to a process modeling artifact, not to Business Process Management as a discipline or framework.
- **CI02: Met** — "Digitalization" is explicitly and repeatedly referenced throughout the abstract as the central theme ("importance of the digitalization," "introducing digitalization in their operations," "impact of maritime container shipping companies' digitalization," "impact of digitalization"). Clearly met.
- **CI03: Not met** — No specific technology is explicitly named in the abstract. "Digital applications" is a generic, undifferentiated reference to unnamed software tools. No mention of AI, RPA, process mining, big data, blockchain, IoT, or specific software systems appears. Per the instructions, generic references to unnamed "digital applications" are insufficient to satisfy CI03.
- **CI04: Met** — The study analyzes the impact of digitalization across process dimensions (Cost, Time, Quality, Flexibility), identifies 10 "quick win" applications, and defines KPIs for deployment tracking. This constitutes an applied empirical analysis with practical outputs.
- **CI05: Met** — The title and abstract are written in English.
- **CE01: Does not apply** — The study is related to digitalization and process management.
- **CE02: Does not apply** — The study is explicitly applied in an industrial/business context (maritime container shipping companies).
- **CE03: Does not apply** — This is a primary study conducting original impact analysis, not a review of existing literature.
- **CE04: Does not apply** — The abstract provides sufficient information for a clear relevance assessment.
The study is excluded due to **CI01** (no explicit mention of BPM or the term "BPM") and **CI03** (no specific technology explicitly named or applied).</t>
  </si>
  <si>
    <t>Sanchez-Gonzalez P.-L.; Díaz-Gutiérrez D.; Núñez-Rivas L.R.</t>
  </si>
  <si>
    <t>Digitalizing Maritime Containers Shipping Companies: Impacts on Their Processes</t>
  </si>
  <si>
    <r>
      <rPr>
        <rFont val="Helvetica Neue"/>
        <color rgb="FF1155CC"/>
        <u/>
      </rPr>
      <t>https://www.scopus.com/pages/publications/85125811253?origin=resultslist</t>
    </r>
  </si>
  <si>
    <t>Key analysts are emphasizing the importance of the digitalization especially of the supply chain. This work aims to improve maritime shipping companies by introducing digitalization in their operations. This objective is achieved analyzing the impact of maritime container shipping companies’ digitalization. This analysis requires as input the Business Process Model (BPMo) and an inventory of digital applications to verify how the BPMo changes when deploying the applications, define the prerequisites necessary for this deployment, and identify the key performance indicators (KPIs) to track it. The impact of the deployment of the applications has been quantified by using four performance dimensions: Costs, Time, Quality, and Flexibility. The results show that the impacts are different per application, with changes in the processes, the addition of new ones, and the decommissioning of others. The impact of digitalization is high when trying to deploy all the applications at the same time. Companies can leverage this work, which requires reviewing the documented impacts in their processes and the applications’ prerequisites as well as updating their existing balanced scorecard, incorporating the application’s KPIs. A list of 10 applications has been identified as “quick wins”; then, applications can be the starting point for digitalizing a company. © 2022 by the authors. Licensee MDPI, Basel, Switzerland.</t>
  </si>
  <si>
    <t>10.3390/app12052532</t>
  </si>
  <si>
    <t>Score: 1
Justification:
	•	CI01: met — The title and abstract explicitly mention Business Process Management (BPM).
	•	CI02: met — The study directly addresses Digital Transformation (DT) and the integration between BPM and digital transformation.
	•	CI03: met — The abstract mentions digital technologies, data, analytics, and automation tools.
	•	CI04: met — The paper proposes a new approach called DT4BPM, including a lifecycle with phases and sub-phases derived from BPM and DT lifecycles.
	•	CI05: met — The title and abstract are written in English.
	•	CE01–CE04: none apply — The study is directly related to BPM, digital transformation, digital technologies, and organizational/business operations. It is not presented as a secondary study, and the title/abstract provide enough information to assess relevance.</t>
  </si>
  <si>
    <t>**Score: 0**
**Justification:**
- **CI01: Met** — "Business Process Management (BPM)" is explicitly stated in both the title and abstract, with "BPM" used extensively throughout. No ambiguity.
- **CI02: Met** — "Digital Transformation (DT)" is explicitly named in the title and is one of the two central constructs of the study, referenced throughout the abstract.
- **CI03: Not met** — No specific technology is named anywhere in the abstract. References to "digital technologies," "data, analytics, and automation tools" are entirely generic and do not identify any particular technology such as AI, RPA, process mining, big data, blockchain, IoT, or specific software systems. Per the instructions, generic references to unnamed "digital technologies" and "automation tools" are insufficient to satisfy CI03's requirement for explicit technology identification.
- **CI04: Met** — The paper proposes a new approach (DT4BPM) combining BPM and Digital Transformation, with a defined lifecycle including phases and sub-phases derived from positioning both BPM and DT lifecycles. This constitutes an original framework/methodology contribution.
- **CI05: Met** — The title and abstract are written in English.
- **CE01: Does not apply** — The study is directly related to BPM and digital transformation.
- **CE02: Does not apply** — The study is explicitly aimed at organizations seeking to integrate BPM and digital transformation, with implications for business operations and customer experience.
- **CE03: Does not apply** — This is a primary study proposing an original approach and lifecycle framework.
- **CE04: Does not apply** — The abstract provides sufficient information for a clear relevance assessment.
The study is excluded solely due to **CI03** — no specific technology is explicitly named or applied in the abstract.</t>
  </si>
  <si>
    <t>Saidane M.; Hassani A.; Ghannouchi S.A.</t>
  </si>
  <si>
    <r>
      <rPr>
        <rFont val="Helvetica Neue"/>
        <color rgb="FF1155CC"/>
        <u/>
      </rPr>
      <t>https://www.scopus.com/pages/publications/85201320867?origin=resultslist</t>
    </r>
  </si>
  <si>
    <t>Business Process Management (BPM) and Digital Transformation (DT) are two interconnected concepts. BPM involves identifying, analyzing, and improving business processes, while Digital Transformation leverages digital technologies to transform business operations. BPM provides the foundation for digital transformation by optimizing processes, and digital technologies enhance BPM by providing data, analytics, and automation tools. Together, BPM and digital transformation enhance business operations and lead to better customer experiences and increased profitability. Ultimately, the integration of BPM and digital transformation is a strategic imperative for organizations seeking to thrive in today's digitally driven landscape. A new approach combining BPM and DT named DT4BPM is proposed in this paper. DT4BPM takes advantage from both approaches and will have a lifecycle which includes in the proper way phases and sub-phases that were obtained through a positioning of each of the lifecycles of BPM and DT. © 2024 The Author(s). Published by Elsevier B.V.</t>
  </si>
  <si>
    <t>Score: 0
Justification:
	•	CI01: met — The abstract explicitly mentions Business Process Management, stating that BPA is an established area in Business Process Management.
	•	CI02: not met — The abstract focuses on business process automation, but it does not clearly address digital transformation, digitalization, or digital innovation as a central topic.
	•	CI03: met — The abstract explicitly mentions technologies/tools such as Robotic Process Automation (RPA), Cognitive-Robotic Process Automation (C-RPA), Workflow Management Systems (WfMS), Enterprise Resource Planning (ERP), and Blockchain.
	•	CI04: met — The study presents a Systematic Literature Review covering more than 300 research papers and identifying implementation paths, process characteristics, and critical factors.
	•	CI05: met — The title and abstract are written in English.
	•	CE01–CE04: CE03 applies — The study is explicitly a Systematic Literature Review (SLR), so it is a secondary study. It should be excluded even though it is related to BPM and technologies.</t>
  </si>
  <si>
    <t>**Score: 0**
**Justification:**
- **CI01: Met** — "Business Process Management" is explicitly stated in the abstract ("BPA is an established area in Business Process Management"). Met.
- **CI02: Not met** — Neither "digital transformation," "digitalization," nor "digital innovation" appears anywhere in the title or abstract. The abstract uses "transforming business processes," but this refers to process change through automation — not digital transformation as a strategic or organizational concept. Per the instructions, if a criterion is not clearly supported, it must be considered not met.
- **CI03: Met** — Multiple specific technologies are explicitly named: "Robotic Process Automation (RPA)," "Cognitive-Robotic Process Automation (C-RPA)," "Workflow Management Systems (WfMS)," "Enterprise Resource Planning (ERP)," and "Blockchain." RPA and Blockchain are directly listed among CI03's example technologies.
- **CI04: Met (within the study's scope)** — The study covers more than 300 research papers and identifies paths, process characteristics, and critical success factors for BPA, constituting a structured analytical contribution.
- **CI05: Met** — The title and abstract are written in English.
- **CE01: Does not apply** — The study relates to BPM and automation technologies.
- **CE02: Does not apply** — The study is situated in an organizational/business context, focusing on SMEs and their process automation.
- **CE03: Applies** — This is the decisive disqualifying criterion. The abstract explicitly identifies the study as "a Systematic Literature Review (SLR)" covering "more than 300 research papers." The title also states "A Systematic Literature Review." A systematic literature review is directly listed among CE03's examples of secondary studies.
- **CE04: Does not apply** — The abstract provides sufficient information for a clear relevance assessment.
The study is excluded on two grounds: **CI02** (no explicit reference to digital transformation, digitalization, or digital innovation) and **CE03** (explicitly a systematic literature review — a secondary study).</t>
  </si>
  <si>
    <t>Moreira S.; Mamede H.S.; Santos A.</t>
  </si>
  <si>
    <r>
      <rPr>
        <rFont val="Helvetica Neue"/>
        <color rgb="FF1155CC"/>
        <u/>
      </rPr>
      <t>https://www.scopus.com/pages/publications/85194871651?origin=resultslist</t>
    </r>
  </si>
  <si>
    <t>Business Process Automation has been gaining increasing importance in the management of companies and organizations since it reduces the time needed to carry out routine tasks, freeing employees for other, more creative and exciting things. It can be applied in the most varied business areas. Organizations from any sector of activity can also adopt it. Given these benefits, the granted success in transforming business processes would be expected. However, automation initiatives still fail. Adopting this technology can raise social, technological, ethical, methodical, and organizational issues. These facts have triggered the necessity for a summary that could extract more information about how to implement Business Process Automation (BPA), attending to the administrative processes, especially when applied in Small and Medium-sized Enterprises (SMEs). This study aims not only to review the available literature on how to implement BPA but also to typify the processes that can be automated, which technologies or tools exist for making that change, and influence factors in the procedure of BPA. We have covered more than 300 research papers published between 2016 and 2023 in reputable scientific data sources like Scopus, Web of Science/Clarivate, and ScienceDirect/Elsevier. The review revealed some paths for BPA, with some common steps. In addition, some common process characteristics fundamental to automation are exposed, as well as factors that are critical to an organization for successful automation. The results indicate that BPA is an established area in Business Process Management related to technologies/tools like Robotic Process Automation (RPA) or Cognitive-Robotic Process Automation (C-RPA), Workflow Management Systems (WfMS), Enterprise Resource Planning (ERP), and Blockchain. As far as we observed, this Systematic Literature Review (SLR) is a unique study that covers all the environmental variables for applying automation in business processes. © 2013 IEEE.</t>
  </si>
  <si>
    <t>Score: 1
Justification:
	•	CI01: met — The abstract explicitly mentions “business process management (BPM) paradigm.”
	•	CI02: met — The study directly addresses digital transformation in the context of Industry 4.0 and industrial organizations.
	•	CI03: met — The abstract explicitly mentions technologies such as IIoT, interconnected machines, sensors, software, smart factories, IoT-based decision support system, cognitive automation, and industrial informatics.
	•	CI04: met — The study proposes and evaluates an IoT-DSS-CA mechanism/method, comparing it with an original solution using sensing and decision-making features, SAW, and AHP.
	•	CI05: met — The title and abstract are written in English.
	•	CE01–CE04: none apply — The study is related to BPM, digital transformation, technologies, and an organizational/industrial context. It is not presented as a secondary study, and the title/abstract provide enough information to assess relevance.</t>
  </si>
  <si>
    <t>**Score: 1**
**Justification:**
- **CI01: Met** — "Business process management (BPM)" is explicitly stated in the abstract ("the suggested method uses the business process management (BPM) paradigm to give a systematic approach"). No ambiguity.
- **CI02: Met** — "Digital transformation" is explicitly referenced multiple times in the abstract ("companies to embrace digital transformation," "elements frequently neglected during digital transformation"), making it a central contextual theme.
- **CI03: Met** — "Internet of Things" (IoT) is explicitly named and applied as the core technological infrastructure (IoT-DSS-CA system, IIoT). "Cognitive automation" and "cognitive systems" are also explicitly referenced. IoT is directly listed among CI03's example technologies.
- **CI04: Met** — The paper proposes and empirically evaluates an IoT-based decision support system with cognitive automation (IoT-DSS-CA), comparing it against an original solution using Simple Additive Weighting (SAW) and Analytic Hierarchy Process (AHP) across industrial parameter settings. This constitutes both an original application and a rigorous empirical evaluation.
- **CI05: Met** — The title and abstract are written in English.
- **CE01: Does not apply** — The study is directly related to BPM, digital transformation, and IoT technology.
- **CE02: Does not apply** — The study is explicitly situated in an industrial/organizational context (manufacturing facilities, smart factories, industrial organizations pursuing Industry 4.0).
- **CE03: Does not apply** — This is a primary study proposing and evaluating an original system.
- **CE04: Does not apply** — The abstract provides sufficient information for a confident relevance assessment.</t>
  </si>
  <si>
    <t>Liu Y.; Hou J.</t>
  </si>
  <si>
    <t>Digital Industry transformation strategy analysis and decision-based on intelligent decision technology</t>
  </si>
  <si>
    <r>
      <rPr>
        <rFont val="Helvetica Neue"/>
        <color rgb="FF1155CC"/>
        <u/>
      </rPr>
      <t>https://www.scopus.com/pages/publications/85210278348?origin=resultslist</t>
    </r>
  </si>
  <si>
    <t>Expanding and being competitive in the current economic environment requires companies to embrace digital transformation. In the framework of Industry 4.0, the network of interconnected machines, sensors, and software known as the IIoT plays a crucial role in transforming conventional manufacturing facilities into smart factories, notably in monitoring and optimising the manufacturing process. The issues about enormous record storage and how they react challenge conventional automated methods in the IIoT. Cognitive systems optimally modify production settings based on managing uncertainty and sensory inputs. This work uses the Internet of Things-based decision support system with cognitive automation (IoT-DSS-CA) for industrial informatics across the board, including data collection, transmission, processing, and storage. Incorporating the elements frequently neglected during digital transformation, the suggested method uses the business process management (BPM) paradigm to give a systematic approach that industrial organizations may employ to aid their path towards Industry 4.0. The proposed mechanism is thoroughly investigated and evaluated compared to an original solution using several sensing and decision-making features in industrial parameter settings determined by Simple Additive Weighting (SAW) and Analytic Hierarchy Process (AHP). © 2024 – IOS Press. All rights reserved.</t>
  </si>
  <si>
    <t>10.3233/IDT-230636</t>
  </si>
  <si>
    <t>Score: 1
Justification:
	•	CI01: met — The abstract explicitly mentions BPM, stating that case studies on Task Mining adoption “from a BPM perspective” are missing.
	•	CI02: met — The study directly addresses digitalization and its influence on business processes and their management.
	•	CI03: met — The abstract explicitly mentions Process Mining (PM), Robotic Process Automation (RPA), and Task Mining (TM).
	•	CI04: met — The study develops a fundamental framework based on a qualitative empirical study with experts through semi-structured interviews and qualitative content analysis.
	•	CI05: met — The title and abstract are written in English.
	•	CE01–CE04: none apply — The study is related to BPM, digitalization, technologies, and organizational/business process management. It is not a secondary study, and the title/abstract provide enough information to assess relevance.</t>
  </si>
  <si>
    <t>**Score: 1**
**Justification:**
- **CI01: Met** — "BPM" is explicitly used in the abstract ("empirical qualitative studies or case studies on the adoption of TM technology from a BPM perspective are missing"), and "business processes and their management" is stated in the opening sentence. Clearly met.
- **CI02: Met** — "Digitalization" is explicitly stated in the opening sentence ("Digitalization influences business processes and their management"), and "digital technologies" is referenced directly in the context of process analysis and automation.
- **CI03: Met** — "Process Mining (PM)," "Robotic Process Automation (RPA)," and "Task Mining (TM)" are all explicitly named and applied. Process Mining and RPA are directly listed among CI03's example technologies.
- **CI04: Met** — The paper develops an original framework for Task Mining technology adoption through a qualitative empirical study using semi-structured expert interviews analyzed via Mayring's qualitative content analysis. The resulting framework identifies five benefits, two opportunities, four risks, and four requirements. This constitutes both a framework contribution and a rigorous empirical study.
- **CI05: Met** — The title and abstract are written in English.
- **CE01: Does not apply** — The study is directly related to BPM, digitalization, and named technologies (Process Mining, RPA, Task Mining).
- **CE02: Does not apply** — The study is explicitly situated in an organizational/business context, targeting managers evaluating TM deployment in companies.
- **CE03: Does not apply** — This is a primary qualitative empirical study with original expert interview data collection, not a review of existing literature.
- **CE04: Does not apply** — The abstract provides comprehensive information for a fully confident relevance assessment.</t>
  </si>
  <si>
    <t>Dirnberger J.; Loidl B.; Brunner U.</t>
  </si>
  <si>
    <t>Fundamental Framework for Task Mining Technology Adoption: Results from a Qualitative Empirical Study</t>
  </si>
  <si>
    <r>
      <rPr>
        <rFont val="Helvetica Neue"/>
        <color rgb="FF1155CC"/>
        <u/>
      </rPr>
      <t>https://www.scopus.com/pages/publications/85171277909?origin=resultslist</t>
    </r>
  </si>
  <si>
    <t>Digitalization influences business processes and their management. Digital technologies such as Process Mining (PM) or Robotic Process Automation (RPA), which are becoming more and more prevalent, offer new possibilities for process analysis, monitoring, and automation. PM can further be helpful in identifying processes that are suitable for RPA. However, purely applying PM at the business data level often does not produce all the details required to assess RPA suitability. These necessary details can be supplemented by Task Mining (TM), a technology that can analyze tasks at a desktop data level, which opens further potential beyond the automation benefits. However, the currently available scientific literature on TM is scarce and empirical qualitative studies or case studies on the adoption of TM technology from a BPM perspective are missing. Therefore, this paper develops a fundamental framework for TM technology adoption based on a qualitative empirical study involving experts via semi-structured interviews, which are analyzed according to the qualitative content analysis based on the methodology of Mayring. The framework relates five potential benefits, two opportunities, four risks, and four basic requirements identified from the qualitative study. It thus provides a new valid starting point for future research efforts and serves as a guideline for managers in practice to evaluate a potential TM deployment in the company. © 2023 Owner/Author.</t>
  </si>
  <si>
    <t>10.1145/3605423.3605443</t>
  </si>
  <si>
    <t>Score: 0
Justification:
	•	CI01: not met — The title and abstract do not explicitly mention Business Process Management or BPM.
	•	CI02: met — The study directly addresses digital transformation in universities.
	•	CI03: met — The abstract mentions digital infrastructure and the transfer of knowledge and technology.
	•	CI04: met — The abstract states that a structured model was created to support the university digital transformation process.
	•	CI05: met — The title and abstract are written in English.
	•	CE01–CE04: none clearly apply as the main exclusion reason — The study is related to digital transformation, technology, and an organizational context, and it provides enough information to assess relevance. However, it should be excluded because CI01 is not met: there is no explicit mention of BPM/Business Process Management.</t>
  </si>
  <si>
    <t>**Score: 0**
**Justification:**
- **CI01: Not met** — Neither "Business Process Management" nor the abbreviation "BPM" appears anywhere in the title or abstract. The study makes no reference to BPM as a discipline or framework.
- **CI02: Met** — "Digital transformation" is explicitly and repeatedly referenced throughout the abstract as the central subject of the study ("The digital transformation encounters not only industry and society, but also universities," "digitally transform their own organization and administration"). Clearly met.
- **CI03: Not met** — No specific technology is named in the abstract. "Digital infrastructure" is mentioned once as an internal condition but without identifying any particular technology. "Transfer of knowledge and technology" is entirely generic. No mention of AI, RPA, process mining, big data, blockchain, IoT, or specific software systems appears anywhere in the abstract.
- **CI04: Met (borderline)** — The abstract states "a structured model was created" to guide universities through digital transformation, constituting a model contribution.
- **CI05: Met** — The title and abstract are written in English.
- **CE01: Does not apply** — The study relates to digital transformation.
- **CE02: Does not apply** — Universities are organizations, and the study addresses their internal administration and organizational transformation, which constitutes an organizational context.
- **CE03: Does not apply** — This appears to be a primary study presenting an original model, not a literature review.
- **CE04: Does not apply** — The abstract provides sufficient information for a clear relevance assessment.
The study is excluded due to **CI01** (no mention of BPM) and **CI03** (no specific technology explicitly named or applied).</t>
  </si>
  <si>
    <t>Doering C.; Reiche F.; Timinger H.</t>
  </si>
  <si>
    <t>Digital transformation of transfer in universities</t>
  </si>
  <si>
    <r>
      <rPr>
        <rFont val="Helvetica Neue"/>
        <color rgb="FF1155CC"/>
        <u/>
      </rPr>
      <t>https://www.scopus.com/pages/publications/85111881723?origin=resultslist</t>
    </r>
  </si>
  <si>
    <t>The digital transformation encounters not only industry and society, but also universities. Universities have to address the digital transformation in several ways: Digital transformation must be integrated into the curricula of their study programs. Additionally, they might want to establish own research programs in this area. Finally, universities have to digitally transform their own organization and administration. Universities are nowadays increasingly confronted with transfer or the so-called third mission, which manifests itself in growing social interest and the transfer of knowledge and technology. To be able to successfully withstand this transformation, a structured model was created. In order to pass through this process and to apply digital transformation as a university, internal conditions like the digital infrastructure as well as external conditions, such as higher education acts play a major role. Copyright © 2021 by SCITEPRESS - Science and Technology Publications, Lda. All rights reserved</t>
  </si>
  <si>
    <t>10.5220/0010571801090115</t>
  </si>
  <si>
    <t>Score: 0
Justification:
	•	CI01: not met — The abstract mentions “business processes” and “process,” but it does not explicitly mention Business Process Management or BPM.
	•	CI02: met — The study directly addresses digital transformation (DT) and DT initiatives.
	•	CI03: met — The abstract mentions technology, “technology integration and scale-up patterns,” and the people-process-technology perspective.
	•	CI04: met — The study presents a practical Digital-by-Design (DbD) framework developed through action design research.
	•	CI05: met — The title and abstract are written in English.
	•	CE01–CE04: none clearly apply as the main exclusion reason — The study is related to digital transformation, technology, business processes, and organizational context. It is not a secondary study, and the abstract provides enough information. However, it should be excluded because CI01 is not met: there is no explicit mention of BPM/Business Process Management.</t>
  </si>
  <si>
    <t>**Score: 0**
**Justification:**
- **CI01: Not met** — Neither "Business Process Management" nor the abbreviation "BPM" appears anywhere in the title or abstract. The abstract references "business processes," "process," and "organizational business models, processes, and products," but these are generic operational terms and do not constitute an explicit mention of BPM as a discipline or framework.
- **CI02: Met** — "Digital transformation (DT)" is the explicit and central subject of the entire study, featured in both the title and throughout the abstract. Clearly met.
- **CI03: Not met** — No specific technology is named in the abstract. "Technology" is referenced repeatedly as one of three dimensions (people, process, technology), and "technology integration and scale-up patterns" is mentioned, but no specific technology such as AI, RPA, process mining, big data, blockchain, IoT, or software systems is identified. Per the instructions, generic references to "technology" are insufficient to satisfy CI03.
- **CI04: Met** — The study employs action design research to elaborate the Digital-by-Design (DbD) framework, grounded in theoretical foundations and oriented toward practical organizational guidance for DT implementation. This constitutes an original framework contribution.
- **CI05: Met** — The title and abstract are written in English.
- **CE01: Does not apply** — The study relates to digital transformation and process/technology dimensions.
- **CE02: Does not apply** — The study explicitly addresses organizational business models, processes, and practical managerial challenges, situating it firmly in an organizational/business context.
- **CE03: Does not apply** — This is a primary design science research study producing an original framework.
- **CE04: Does not apply** — The abstract provides sufficient information for a clear relevance assessment.
The study is excluded due to **CI01** (no mention of BPM) and **CI03** (no specific technology explicitly named or applied).</t>
  </si>
  <si>
    <t>Satwekar A.; Miozza M.; Abbattista C.; Palumbo S.; Rossi M.</t>
  </si>
  <si>
    <r>
      <rPr>
        <rFont val="Helvetica Neue"/>
        <color rgb="FF1155CC"/>
        <u/>
      </rPr>
      <t>https://www.scopus.com/pages/publications/85189617993?origin=resultslist</t>
    </r>
  </si>
  <si>
    <t>Digital transformation (DT) is a critical area of focus as it disruptively transforms organizational business models, processes, and products. Despite being a prominent topic among information system scholars, the research has mostly centered around technological aspects, and there is a need to broaden the research approach to increase the understanding of DT’s intricate dynamics, interdisciplinary nature, and cross-level perspectives, with practical guidance, while providing actionable insights for organizations. Through action design research, we elaborate a practical Digital-by-Design (DbD) framework grounded in theoretical foundations, to emphasize the interconnected dimensions of people, process and technology for enhancing DT feasibility and viability. This research contributes to a deeper understanding of DT initiatives by recognizing the significance of: 1) diverse organizational, process, and industry needs; 2) individual uniqueness concerning DT; 3) technology integration and scale-up patterns; 4) cross-level empirical perspectives; and 5) an interdisciplinary approach by supporting organizations when navigating DT complexities and dynamics. Recognizing the practical managerial challenges, the study offers a comprehensive guidance for designing and implementing a DT into the business processes. © 2024 IEEE.</t>
  </si>
  <si>
    <t>Score: 1
Justification:
	•	CI01: met — The abstract explicitly mentions business process management approaches.
	•	CI02: met — The study directly addresses digitization, digitalization, and digital transformation, including conceptual modelling “in an era of digital transformation.”
	•	CI03: met — The abstract mentions digital technologies and proposes an interactive process model-based approach, the “Scenario Scanner.”
	•	CI04: met — The paper proposes and applies an interactive process model-based approach in the context of the EU project Change2Twin.
	•	CI05: met — The title and abstract are written in English.
	•	CE01–CE04: none apply — The study is related to BPM, digital transformation/digitalization, digital technologies, and process modelling in an organizational/project context. It is not presented as a secondary study, and the title/abstract provide enough information to assess relevance.</t>
  </si>
  <si>
    <t>**Score: 0**
**Justification:**
- **CI01: Met** — "Business process management" is explicitly stated in the abstract ("business process management approaches"), and "business process modelling" is also directly referenced. Met.
- **CI02: Met** — "Digitization," "digitalization," and "digital transformation" are all explicitly mentioned in the opening sentence of the abstract, fully satisfying this criterion.
- **CI03: Not met** — No specific technology is named in the abstract. "Digital technologies" and "digital technology aspects" are referenced generically without identifying any particular technology such as AI, RPA, process mining, big data, blockchain, IoT, or software systems. Per the instructions, generic references to unnamed "digital technologies" are insufficient to satisfy CI03's requirement for explicit technology identification.
- **CI04: Met** — The paper proposes and applies an interactive process model-based approach — the "Scenario Scanner" — within the EU project Change2Twin. This constitutes both an original methodological contribution and an applied implementation.
- **CI05: Met** — The title and abstract are written in English.
- **CE01: Does not apply** — The study relates to BPM, digital transformation, and digitalization.
- **CE02: Does not apply** — The study addresses business process modelling in the context of organizational complexity, situating it in an organizational/business context.
- **CE03: Does not apply** — The study includes an analysis of the state of the art as a component, but its primary contribution is the proposal and application of an original approach (Scenario Scanner). It is not purely a secondary study.
- **CE04: Does not apply** — The abstract provides sufficient information for a clear relevance assessment.
The study is excluded solely due to **CI03** — no specific technology is explicitly named or applied in the abstract.</t>
  </si>
  <si>
    <t>Sumereder A.; Falcioni D.; Woitsch R.</t>
  </si>
  <si>
    <t>How Scenario Building supports Conceptual Modelling</t>
  </si>
  <si>
    <r>
      <rPr>
        <rFont val="Helvetica Neue"/>
        <color rgb="FF1155CC"/>
        <u/>
      </rPr>
      <t>https://www.scopus.com/pages/publications/85193260176?origin=resultslist</t>
    </r>
  </si>
  <si>
    <t>A trend on digitization, digitalization, and digital transformation associated with several challenges and complexity can be observed. In this context, the usage of conceptual modelling, particularly business process modelling, is a widely established approach to structure complex activities. However, innovative approaches are required to tackle its liaison with digital technologies. In this paper, after an analysis of the state of the art for business process management approaches and related digital technology aspects, an interactive process model-based approach – the so called “Scenario Scanner” – is proposed and applied in the context of the EU project Change2Twin. Finally, insights on future research consider conceptual modelling in an era of digital transformation. © 2024 Copyright for this paper by its authors.</t>
  </si>
  <si>
    <t>Score: 1
Justification:
	•	CI01: met — The abstract explicitly mentions business process management several times, including “business process management approaches” and “implications of digitization for business process management.”
	•	CI02: met — The study directly addresses digitization, digital transformation, and digital innovations.
	•	CI03: met — The abstract explicitly mentions digital technologies, including artificial intelligence, blockchain, and IoT.
	•	CI04: met — The study presents a mixed-methods approach, combining literature review, statistical data analysis, case studies, regression modeling, data from eight enterprises, and insights from 15 managers.
	•	CI05: met — The title and abstract are written in English.
	•	CE01–CE04: none clearly apply — Although the study includes an extensive literature review, it also includes empirical analysis with case studies, enterprise data, manager insights, and regression modeling, so it is not solely a secondary study. The study is related to BPM, digitization/digital transformation, technologies, and organizational/business context, with enough information to assess relevance.</t>
  </si>
  <si>
    <t>**Score: 1**
**Justification:**
- **CI01: Met** — "Business process management" is explicitly stated multiple times in the abstract ("business process management approaches," "evolving nature of business process management," "implications of digitization for business process management"). While the abbreviation "BPM" is not used, the full term is unambiguously and repeatedly present.
- **CI02: Met** — "Digitization," "digital transformation," and "digital innovations" are all explicitly referenced throughout the abstract as central themes and drivers of the research.
- **CI03: Met** — "Artificial intelligence," "blockchain," and "IoT" are all explicitly named in the abstract ("adopting digital technologies, such as artificial intelligence, blockchain, and IoT"). All three are directly listed among CI03's example technologies.
- **CI04: Met** — The study employs a rigorous mixed-methods approach combining statistical data analysis, case studies of real enterprises (Amazon, Nova Poshta, SoftServe), regression modeling, and insights from 15 managers across eight companies. This constitutes a comprehensive empirical analysis.
- **CI05: Met** — The title and abstract are written in English.
- **CE01: Does not apply** — The study is directly related to BPM, digital transformation, and named technologies (AI, blockchain, IoT).
- **CE02: Does not apply** — The study is explicitly grounded in an organizational/business context, examining enterprises across multiple industries in a global and Ukrainian context.
- **CE03: Does not apply** — Although the study includes an extensive literature review as a component, it also conducts original empirical research (case studies, statistical analysis, regression modeling). This is a primary mixed-methods study, not a purely secondary study.
- **CE04: Does not apply** — The abstract is comprehensive and provides ample information for a confident relevance assessment.</t>
  </si>
  <si>
    <t>Garafonova O.; Dvornyk O.; Sharov V.; Zhosan H.; Yankovoi R.; Lomachynska I.</t>
  </si>
  <si>
    <t>Digitization Process in a Changing Global Environment</t>
  </si>
  <si>
    <r>
      <rPr>
        <rFont val="Helvetica Neue"/>
        <color rgb="FF1155CC"/>
        <u/>
      </rPr>
      <t>https://www.scopus.com/pages/publications/105000174701?origin=resultslist</t>
    </r>
  </si>
  <si>
    <t>This article aims to analyze modern technologies’ impact on business process management approaches in the context of digitization and innovative management. Drawing on an extensive literature review, the study explores key themes such as the role of digital technologies in transforming traditional business practices, fostering innovation, and addressing market demands. The problem under investigation centers on the evolving nature of business process management in response to rapid technological advancements and the need for innovative strategies. The research is guided by the hypothesis that digitization and innovative management are critical drivers of efficiency, productivity, and competitive advantage in the contemporary business environment. A mixed-methods approach was employed to test this hypothesis, combining statistical data analysis, case studies of leading global and Ukrainian enterprises (including Amazon, Nova Poshta, and SoftServe), and regression modeling. The study sample includes data from eight enterprises and insights from 15 managers representing various industries. The results indicate that adopting digital technologies, such as artificial intelligence, blockchain, and IoT, significantly enhances business process automation, customer interaction, and organizational efficiency. The findings highlight notable growth trends in digital transformation indicators, including profitability, innovation output, and market competitiveness. Companies prioritizing digital innovations experience higher financial performance and adaptability in a dynamic market environment. This study underscores the implications of digitization for business process management, providing actionable insights for managers aiming to develop effective strategies for integrating digital and innovative practices. The research contributes to the theoretical understanding of digital transformation and offers practical applications for businesses seeking sustained growth and competitive advantage. © (2025), (UIKTEN - Association for Information Communication Technology Education and Science). All rights reserved.</t>
  </si>
  <si>
    <t>10.18421/TEM141-23</t>
  </si>
  <si>
    <t>Score: 0
Justification:
	•	CI01: not met — The abstract mentions “process-based management (BPM)” and BPMN, but it does not explicitly mention Business Process Management. Also, in this abstract, “BPM” is expanded as “process-based management,” not “Business Process Management,” so CI01 is not clearly supported under the strict criterion.
	•	CI02: met — The study directly addresses digital transformation in higher education and in the financial area of UTPL.
	•	CI03: met — The abstract mentions several technologies/tools, including an automated system, Bizagi, BPMN notation, workflow automation, Alfresco, and ECM.
	•	CI04: met — The study presents an application/implementation of an automated system, including business process analysis, capability maps, workflow modeling, automation, and document repository integration.
	•	CI05: met — The title and abstract are written in English.
	•	CE01–CE04: none clearly apply as the main exclusion reason — The study is related to digital transformation, technology, business processes, and an organizational context. It is not a secondary study, and the abstract provides enough information. However, it should be excluded because CI01 is not clearly met: it does not explicitly mention Business Process Management/BPM as required.</t>
  </si>
  <si>
    <t>**Score: 1**
**Justification:**
- **CI01: Met** — "BPM" is explicitly used in the abstract as an abbreviation for "process-based management (BPM)," and BPMN (Business Process Model and Notation) is also directly referenced. While phrased as "process-based management," the abbreviation BPM is explicitly present and used in its conventional BPM context (BPMN modeling, workflow automation). Met.
- **CI02: Met** — "Digital transformation" is explicitly and repeatedly referenced in the abstract ("digital transformation of the financial area," "facilitates digital transformation," "the value of digital transformation in this sector"). Clearly met.
- **CI03: Met** — Specific software systems are explicitly named: "Bizagi" (a BPM modeling and automation platform) and "Alfresco (ECM)" (a document management software system). Both are concrete named software tools, directly satisfying the "software systems" category in CI03.
- **CI04: Met** — The study develops and implements an automated system for the financial administration of UTPL, using BPMN modeling in Bizagi and document management in Alfresco. Results demonstrate measurable improvements in process efficiency and document management. This constitutes a concrete applied implementation and empirical evaluation.
- **CI05: Met** — The title and abstract are written in English.
- **CE01: Does not apply** — The study is directly related to BPM, digital transformation, and named software systems.
- **CE02: Does not apply** — The study is applied in an organizational context — the financial administration area of a university — addressing process management, workflow automation, and administrative efficiency.
- **CE03: Does not apply** — This is a primary implementation and empirical study with original results, not a review of existing literature.
- **CE04: Does not apply** — The abstract is detailed and provides comprehensive information for a confident relevance assessment.</t>
  </si>
  <si>
    <t>Cabrera-Silva A.; Rodriguez-Morales G.; Abad P.; Sucunuta M.</t>
  </si>
  <si>
    <r>
      <rPr>
        <rFont val="Helvetica Neue"/>
        <color rgb="FF1155CC"/>
        <u/>
      </rPr>
      <t>https://www.scopus.com/pages/publications/105029827621?origin=resultslist</t>
    </r>
  </si>
  <si>
    <t>The study focuses on the need to take steps towards the digital transformation of the financial area of the Universidad Técnica Particular de Loja (UTPL), where traditional methods are inefficient. The main objective is to develop and implement an automated system that improves efficiency and transparency in financial administration. The methodology employed includes the analysis of existing business processes, using business capability maps as an analysis mechanism, and the design of a technological solution based on process-based management (BPM) with BPMN notation, using Bizagi to model and automate workflows. In addition, a document repository in Alfresco (ECM) is integrated to centralize document management. This integration facilitates digital transformation by aligning processes, applications and data in a coherent system. The results show an improvement in the management of queries and the recording of financial processes, with an efficient document repository. In conclusion, the implementation of a process management and control system, based on BPMN and ECM, optimizes workflows, improves efficiency in information management and contributes to better customer service in the financial area processes, demonstrating the value of digital transformation in this sector. © 2025 IEEE.</t>
  </si>
  <si>
    <t>Score: 0
Justification:
	•	CI01: met — The abstract explicitly mentions Business Process Management (BPM) and BPM practices.
	•	CI02: met — The study directly addresses the digital age, “seamless digital integration,” and “digital transformation reshaping industries.”
	•	CI03: met — The abstract explicitly mentions artificial intelligence (AI), machine learning (ML), Internet of Things (IoT), real-time data, and process automation.
	•	CI04: not met — The paper introduces a concept, “process autonomisation,” and proposes strategies/roadmap directions, but the abstract does not clearly present an application, framework, model, method, or empirical analysis.
	•	CI05: met — The title and abstract are written in English.
	•	CE01–CE04: none clearly apply as the main exclusion reason — The study is related to BPM, digital transformation, technology, and organizational context, and it is not explicitly a secondary study. However, it should be excluded because CI04 is not clearly met.</t>
  </si>
  <si>
    <t>**Score: 0**
**Justification:**
- **CI01: Met** — "Business Process Management (BPM)" is explicitly stated in the abstract, with "BPM" used repeatedly ("demands new skills and approaches in BPM," "existing BPM methodologies," "advancements in BPM"). No ambiguity.
- **CI02: Met** — "Digital transformation" and "digital integration" are explicitly referenced ("the ongoing digital transformation reshaping industries," "seamless digital integration"). Clearly met.
- **CI03: Met** — "Artificial intelligence (AI)," "machine learning (ML)," and "Internet of Things (IoT)" are all explicitly named. AI and IoT are directly listed among CI03's example technologies.
- **CI04: Not met** — The abstract introduces the concept of "process autonomisation" and proposes strategies for evolving BPM frameworks, but no formal framework, model, method, or empirical analysis is explicitly described. The paper critically examines existing methodologies and calls on stakeholders to "co-develop a roadmap" — language characteristic of a conceptual/position paper oriented toward future work. No research design, data collection, or structured methodological contribution is described. Per the instructions, when a criterion is not clearly supported, it must be considered not met.
- **CI05: Met** — The title and abstract are written in English.
- **CE01: Does not apply** — The study is directly related to BPM, digital transformation, and named technologies (AI, ML, IoT).
- **CE02: Does not apply** — The study addresses organisational competitiveness and business process management in an industry/organizational context.
- **CE03: Does not apply** — This is a primary conceptual paper, not a literature review or mapping study.
- **CE04: Does not apply** — The abstract provides sufficient information for a clear relevance assessment.
The study is excluded solely due to **CI04** — no formal framework, model, method, or empirical analysis is explicitly presented; the study is a conceptual position paper introducing a new paradigm and proposing future collaboration.</t>
  </si>
  <si>
    <t>Bandara W.; Leyer M.; Rosemann M.</t>
  </si>
  <si>
    <t>From Automation to Autonomisation: How to Capitalise on Empowered Processes</t>
  </si>
  <si>
    <r>
      <rPr>
        <rFont val="Helvetica Neue"/>
        <color rgb="FF1155CC"/>
        <u/>
      </rPr>
      <t>https://www.scopus.com/pages/publications/105018928083?origin=resultslist</t>
    </r>
  </si>
  <si>
    <t>Process automation has been a cornerstone of organisational success, driving competitiveness through enhanced effectiveness and efficiency. While automation remains a key focus, the rise of artificial intelligence (AI), machine learning (ML) and the Internet of Things (IoT) provides entirely new process design options and as such demands new skills and approaches in Business Process Management (BPM) to maintain relevance and competitiveness. This paper extends current BPM paradigms by introducing the concept of “process autonomisation,” a new paradigm that empowers organisations to make decisions autonomously using real-time data and adaptive business contexts. By critically examining existing BPM methodologies and highlighting key innovations, we propose strategies for evolving process management frameworks - emphasising agility, data-driven decision-making, and seamless digital integration. To thrive in the digital age, we argue, organisations must rethink their BPM practices. We call on both academic and industry stakeholders to collaborate on pioneering advancements in BPM and co-develop a roadmap that will help organisations align their process management with the ongoing digital transformation reshaping industries. © 2025 Bandara, W., Leyer, M. and Rosemann, M.</t>
  </si>
  <si>
    <t>10.3127/ajis.v29.6059</t>
  </si>
  <si>
    <t>Score: 0
Justification:
	•	CI01: not met — The abstract mentions BPMN (Business Process Modeling and Notation) and clinical process modeling, but it does not explicitly mention Business Process Management or BPM. Under the strict criterion, BPMN alone is not enough.
	•	CI02: met — The study directly addresses process digitalization and digitalization of operating procedures.
	•	CI03: met — The abstract mentions BPMN, integration with a hospital information system, and KPI computation/monitoring.
	•	CI04: met — The study describes an experimental implementation of a developed system in a healthcare research project, with monitoring of clinical risks and operational non-conformities.
	•	CI05: met — The title and abstract are written in English.
	•	CE01–CE04: none clearly apply as the main exclusion reason — The study is related to process digitalization, technology, organizational procedures, and a healthcare context. It is not a secondary study, and the abstract provides enough information. However, it should be excluded because CI01 is not met: there is no explicit mention of BPM/Business Process Management.</t>
  </si>
  <si>
    <t>**Score: 0**
**Justification:**
- **CI01: Not met** — Neither "Business Process Management" nor the abbreviation "BPM" (as a standalone term) appears anywhere in the title or abstract. The abstract explicitly references "BPMN (Business Process Modeling and Notation)," but BPMN stands for Business Process *Model* and Notation — a distinct concept from Business Process *Management*. Despite BPMN being a core BPM tool, the criterion requires an explicit mention of BPM as a discipline or the term "BPM," which is absent.
- **CI02: Met** — "Digitalization" is explicitly stated in both the title ("BPMN-Based Process Digitalization") and the abstract ("Digitalization of operating procedures"), clearly satisfying this criterion.
- **CI03: Met** — "Hospital information system" is explicitly named as a software system integrated with the BPMN model to oversee and mitigate clinical risks. This constitutes a direct reference to a software system as listed in CI03.
- **CI04: Met** — The paper describes an Italian research project implementing BPMN-based clinical process modeling, integrating it with hospital information systems, computing KPIs, and conducting an experimental phase that identified operational non-conformities. This constitutes an applied empirical study with measurable outcomes.
- **CI05: Met** — The title and abstract are written in English.
- **CE01: Does not apply** — The study relates to process digitalization and software systems.
- **CE02: Does not apply** — The study is applied in a healthcare organizational context (hospitals, clinical risk management, operating procedures).
- **CE03: Does not apply** — This is a primary applied research study with an experimental implementation phase.
- **CE04: Does not apply** — The abstract provides sufficient information for a clear relevance assessment.
The study is excluded solely due to **CI01** — "Business Process Management" or the term "BPM" is never explicitly mentioned; only BPMN (a related but distinct notation standard) is referenced.</t>
  </si>
  <si>
    <t>Longo L.; Tomarchio O.; Trapani N.</t>
  </si>
  <si>
    <t>Enhancing Clinical Risk Monitoring and Management in Healthcare through BPMN-Based Process Digitalization</t>
  </si>
  <si>
    <r>
      <rPr>
        <rFont val="Helvetica Neue"/>
        <color rgb="FF1155CC"/>
        <u/>
      </rPr>
      <t>https://www.scopus.com/pages/publications/85184096160?origin=resultslist</t>
    </r>
  </si>
  <si>
    <t>Numerous recent studies have presented concerning findings on the prevalence of errors in healthcare across OECD (Organization for Economic Co-operation and Development) countries, including Italy to a significant degree. A considerable portion of these errors appears to stem from non-compliance with organizational operating procedures, typically derived from ministerial directives and international standards. Against this backdrop, this paper describes the endeavors undertaken within an Italian research project, which proposed a more systematic approach to the healthcare sector, emphasizing clinical risk management. The modeling of clinical processes employed the widely adopted BPMN (Business Process Modeling and Notation) standard notation, subsequently integrated with the hospital information system to oversee and mitigate clinical risks. Digitalization of operating procedures additionally facilitated the establishment and computation of various Key Performance Indicators (KPIs) for long-term monitoring. The implementation of the project's experimental phase, leveraging the developed system, effectively identified the areas most afflicted by operational non-conformities, thereby enabling targeted measures to safeguard patient well-being and, indirectly, yield substantial cost savings. © 2023 Computers and Industrial Engineering. All rights reserved.</t>
  </si>
  <si>
    <t>Score: 1
Justification:
	•	CI01: met — The abstract explicitly mentions Business Process Management (BPM) and discusses BPM approaches.
	•	CI02: met — The abstract explicitly states that digital transformation forces companies to rethink their processes.
	•	CI03: met — The study explicitly applies process mining and uses execution data to analyze processes from multiple companies.
	•	CI04: met — The study presents an empirical process mining study, defines a system of indicators, analyzes process data from multiple companies, and derives management recommendations.
	•	CI05: met — The title and abstract are written in English.
	•	CE01–CE04: none apply — The study is directly related to BPM, digital transformation, process mining technology, and organizational/business processes. It is not a secondary study, and the title/abstract provide enough information to assess relevance.</t>
  </si>
  <si>
    <t>**Score: 1**
**Justification:**
- **CI01: Met** — "Business Process Management (BPM)" is explicitly stated in the abstract, with "BPM" used directly and repeatedly ("approaches to BPM," "managing… BPM"). No ambiguity.
- **CI02: Met** — "Digital transformation" is explicitly referenced in the opening sentence ("Digital transformation forces companies to rethink their processes"), positioning it as the primary motivating context for the study.
- **CI03: Met** — "Process mining" is explicitly named and applied as the core analytical technology ("we use process mining to analyze processes from multiple companies"). Process mining is directly listed among CI03's example technologies.
- **CI04: Met** — The study defines a system of indicators for process prioritization, applies process mining to real data from multiple companies, and examines characteristics of process variants in the long tail to derive management recommendations. This constitutes both a methodological contribution and a rigorous empirical analysis.
- **CI05: Met** — The title and abstract are written in English.
- **CE01: Does not apply** — The study is directly related to BPM, digital transformation, and process mining technology.
- **CE02: Does not apply** — The study is explicitly applied across multiple real companies, addressing business process management and operational improvement in organizational contexts.
- **CE03: Does not apply** — This is a primary empirical study using process mining on real execution data from multiple companies, not a review of existing literature.
- **CE04: Does not apply** — The abstract is detailed and provides comprehensive information for a fully confident relevance assessment.</t>
  </si>
  <si>
    <t>Fischer M.; Hofmann A.; Imgrund F.; Janiesch C.; Winkelmann A.</t>
  </si>
  <si>
    <r>
      <rPr>
        <rFont val="Helvetica Neue"/>
        <color rgb="FF1155CC"/>
        <u/>
      </rPr>
      <t>https://www.scopus.com/pages/publications/85097577777?origin=resultslist</t>
    </r>
  </si>
  <si>
    <t>Digital transformation forces companies to rethink their processes to meet current customer needs. Business Process Management (BPM) can provide the means to structure and tackle this change. However, most approaches to BPM face restrictions on the number of processes they can optimize at a time due to complexity and resource restrictions. Investigating this shortcoming, the concept of the long tail of business processes suggests a hybrid approach that entails managing important processes centrally, while incrementally improving the majority of processes at their place of execution. This study scrutinizes this observation as well as corresponding implications. First, we define a system of indicators to automatically prioritize processes based on execution data. Second, we use process mining to analyze processes from multiple companies to investigate the distribution of process value in terms of their process variants. Third, we examine the characteristics of the process variants contained in the short head and the long tail to derive and justify recommendations for their management. Our results suggest that the assumption of a long-tailed distribution holds across companies and indicators and also applies to the overall improvement potential of processes and their variants. Across all cases, process variants in the long tail were characterized by fewer customer contacts, lower execution frequencies, and a larger number of involved stakeholders, making them suitable candidates for distributed improvement © 2020 The Authors</t>
  </si>
  <si>
    <r>
      <t>10.1016/</t>
    </r>
    <r>
      <rPr>
        <rFont val="Helvetica Neue"/>
        <color rgb="FF1155CC"/>
        <u/>
      </rPr>
      <t>j.is</t>
    </r>
    <r>
      <rPr>
        <rFont val="Helvetica Neue"/>
      </rPr>
      <t>.2020.101689</t>
    </r>
  </si>
  <si>
    <t>Score: 1
Justification:
	•	CI01: met — The abstract explicitly mentions Business Process Management (BPM) when discussing future integration challenges.
	•	CI02: met — The study directly addresses Digital Transformation in the title and in the context of Industry 4.0/5.0.
	•	CI03: met — The abstract explicitly mentions several technologies, including Industrial Internet of Things/IoT middleware, Fiware, smart sensors, LoRaWAN, Bluetooth, Wi-Fi, MQTT, AI, edge computing, cybersecurity/OT, data analytics, and prescriptive maintenance.
	•	CI04: met — The study presents an implementation/application of Industry 4.0 technologies at the Gran Telescopio Canarias, describing operational improvements, system scalability, data integration, and maintenance opportunities.
	•	CI05: met — The title and abstract are written in English.
	•	CE01–CE04: none apply — The study is related to BPM, digital transformation, technologies, and an organizational/operational context. It is not a secondary study, and the title/abstract provide enough information to assess relevance.</t>
  </si>
  <si>
    <t>**Score: 1**
**Justification:**
- **CI01: Met** — "Business Process Management (BPM)" is explicitly stated in the abstract: "the primary challenges lie in… achieving seamless integration with Business Process Management (BPM)." The term appears in full with its abbreviation.
- **CI02: Met** — "Digital Transformation" is explicitly referenced in the title and contextually supported throughout the abstract through Industry 4.0 paradigms, IoT implementation, and smart factory strategies.
- **CI03: Met** — Multiple specific technologies are explicitly named: "Industrial Internet of Things (IoT)," "AI," "edge computing," "smart sensors," "LoRaWAN," "MQTT," "Fiware3." Both IoT and AI are directly listed among CI03's example technologies.
- **CI04: Met** — The study describes the concrete implementation of an Industrial IoT middleware infrastructure at the Gran Telescopio Canarias, including sensor integration, connectivity protocols, edge computing, and operational monitoring. It reports tangible outcomes (data flexibility, system interoperability, proactive maintenance capabilities). This constitutes an applied empirical implementation study.
- **CI05: Met** — The title and abstract are written in English.
- **CE01: Does not apply** — The study is related to digital transformation, BPM, and named technologies (IoT, AI).
- **CE02: Does not apply** — The telescope is operated by GRANTECAN S.A., a state-owned company. The study addresses operations, logistics, maintenance protocols, and cost savings — all organizational/business management activities, regardless of the scientific nature of the facility.
- **CE03: Does not apply** — This is a primary implementation study documenting real technological deployments at a specific organization.
- **CE04: Does not apply** — The abstract provides sufficient information for a clear relevance assessment.</t>
  </si>
  <si>
    <t>Garcia L.R.; Dominguez R.; Brito H.; Alvarez I.; Brito Z.; Gonzalez P.; Leal A.; Toledo J.; Cabrera C.; Huertas M.; Gonzalez D.; Lopez J.; Marante D.</t>
  </si>
  <si>
    <t>Embracing Industry 4.0 paradigms for Digital Transformation at the Gran Telescopio Canarias</t>
  </si>
  <si>
    <r>
      <rPr>
        <rFont val="Helvetica Neue"/>
        <color rgb="FF1155CC"/>
        <u/>
      </rPr>
      <t>https://www.scopus.com/pages/publications/85201942203?origin=resultslist</t>
    </r>
  </si>
  <si>
    <t>The 10.4m Gran Telescopio Canarias or GTC currently stands as the world's largest infrared optical telescope, notable for its considerable scale and intricate operational complexities. It is operated by the Spanish state-owned company GRANTECAN S.A. The telescope aligns with prevailing trends in industry, emphasizing smart factory strategies rooted in Industry 4.0, with a recent pivot towards human-centric human-machine interaction (Industry 5.0). The initial focus was identified in refining connectivity and defining the typology of sensors for optimizing operations. This led to the implementation of an Industrial Internet of Things or IoT middleware, grounded in Fiware3. The incorporation of smart sensors, leveraging links and protocols like LoRaWAN, Bluetooth, and Wi-Fi, has been streamlined through MQTT connectivity while the integration of AI, edge computing, confined space control, flow management, electric vehicle charging, and photovoltaics represents a multifaceted technological augmentation. Looking ahead, the primary challenges lie in bolstering cybersecurity (Operations Technology or OT), achieving seamless integration with Business Process Management (BPM), advancing data analytics capabilities, standardizing prescriptive maintenance protocols, and refining logistics processes. It is now possible to obtain data and information in a flexible way from the systems, and they can interact with each other. The connection to higher decision layers and cost savings is now also an opportunity, together with the ease of deployment made possible by the system's scalability. This has allowed a real and tangible focus on anticipating action on maintenance and operations, rather than reacting to problems encountered, among other opportunities. © 2024 SPIE.</t>
  </si>
  <si>
    <t>10.1117/12.3018815</t>
  </si>
  <si>
    <t>Análise Dinâmica: Desempenho de IA vs. Classificação Humana — RSL BPM &amp; Transformação Digital</t>
  </si>
  <si>
    <t>Tabelas dinâmicas com fórmulas COUNTIFS. Qualquer alteração nas abas Springer, IEEE, SD, Emerald ou Scopus atualiza automaticamente esta análise.</t>
  </si>
  <si>
    <t xml:space="preserve">  SPRINGER</t>
  </si>
  <si>
    <t>Métrica</t>
  </si>
  <si>
    <t>GPT x Humano</t>
  </si>
  <si>
    <t>Claude x Humano</t>
  </si>
  <si>
    <t>Total de artigos analisados</t>
  </si>
  <si>
    <t>Humano: Conforme (normalizado)</t>
  </si>
  <si>
    <t>Humano: Inconforme</t>
  </si>
  <si>
    <t>Humano: Sem classificação / Dúvida</t>
  </si>
  <si>
    <t>GPT: Sem classificação (vazio)</t>
  </si>
  <si>
    <t>—</t>
  </si>
  <si>
    <t>Claude: Sem classificação (vazio)</t>
  </si>
  <si>
    <t>VP — Verdadeiro Positivo  (IA=Conf. ∧ Hum=Conf.)</t>
  </si>
  <si>
    <t>VN — Verdadeiro Negativo  (IA=Inc.  ∧ Hum=Inc.)</t>
  </si>
  <si>
    <t>FP — Falso Positivo         (IA=Conf. ∧ Hum=Inc.)</t>
  </si>
  <si>
    <t>FN — Falso Negativo         (IA=Inc.  ∧ Hum=Conf.)</t>
  </si>
  <si>
    <t>Acertos (VP + VN)</t>
  </si>
  <si>
    <t>Divergências (FP + FN)</t>
  </si>
  <si>
    <t>Acurácia = (VP + VN) / Total</t>
  </si>
  <si>
    <t>Precision = VP / (VP + FP)</t>
  </si>
  <si>
    <t>Recall = VP / (VP + FN)</t>
  </si>
  <si>
    <t>F1-Score = 2 × Precision × Recall / (P + R)</t>
  </si>
  <si>
    <t xml:space="preserve">  IEEE</t>
  </si>
  <si>
    <t xml:space="preserve">  SCIENCE DIRECT (SD)</t>
  </si>
  <si>
    <t xml:space="preserve">  EMERALD</t>
  </si>
  <si>
    <t xml:space="preserve">  SCOPUS</t>
  </si>
  <si>
    <t xml:space="preserve">  RESUMO GERAL — Todas as Bases Consolidadas</t>
  </si>
  <si>
    <t>GPT (total)</t>
  </si>
  <si>
    <t>Claude (total)</t>
  </si>
  <si>
    <t>VP — Verdadeiro Positivo</t>
  </si>
  <si>
    <t>VN — Verdadeiro Negativo</t>
  </si>
  <si>
    <t>FP — Falso Positivo</t>
  </si>
  <si>
    <t>FN — Falso Negativo</t>
  </si>
  <si>
    <t>Acurácia = (VP+VN) / Total</t>
  </si>
  <si>
    <t>Precision = VP / (VP+FP)</t>
  </si>
  <si>
    <t>Recall = VP / (VP+FN)</t>
  </si>
  <si>
    <t>F1-Score = 2×P×R/(P+R)</t>
  </si>
  <si>
    <t xml:space="preserve">  TABELA DE AUDITORIA — Classificação Artigo por Artigo</t>
  </si>
  <si>
    <t>Base</t>
  </si>
  <si>
    <t>Artigo #</t>
  </si>
  <si>
    <t>Título</t>
  </si>
  <si>
    <t>Class. Humana Original</t>
  </si>
  <si>
    <t>Class. Humana Norm.</t>
  </si>
  <si>
    <t>Class. GPT</t>
  </si>
  <si>
    <t>Resultado GPT</t>
  </si>
  <si>
    <t>Tipo GPT</t>
  </si>
  <si>
    <t>Class. Claude</t>
  </si>
  <si>
    <t>Resultado Claude</t>
  </si>
  <si>
    <t>Tipo Claude</t>
  </si>
  <si>
    <t>Springer</t>
  </si>
  <si>
    <t>IEEE</t>
  </si>
  <si>
    <t>Science Direct (SD)</t>
  </si>
  <si>
    <t>Emerald</t>
  </si>
  <si>
    <t>Scopus</t>
  </si>
  <si>
    <t xml:space="preserve">  NOTA METODOLÓGICA</t>
  </si>
  <si>
    <t>Referência / Ground Truth:</t>
  </si>
  <si>
    <t>A classificação humana foi usada como referência para avaliar GPT e Claude separadamente.</t>
  </si>
  <si>
    <t>Normalização:</t>
  </si>
  <si>
    <t>"Inconforme -Artigos duplicados ou similares" foi tratado como "Conforme" — o artigo foi considerado adequado pelo humano, sendo excluído apenas por duplicação.</t>
  </si>
  <si>
    <t>"Duvida":</t>
  </si>
  <si>
    <t>Valor "Duvida" na coluna humana foi tratado como "Sem classificação" e não contribui para VP/VN/FP/FN.</t>
  </si>
  <si>
    <t>Métricas:</t>
  </si>
  <si>
    <t>VP=acerto positivo, VN=acerto negativo, FP=erro de inclusão, FN=erro de exclusão. Acurácia=(VP+VN)/Total | Precision=VP/(VP+FP) | Recall=VP/(VP+FN) | F1=2·P·R/(P+R).</t>
  </si>
  <si>
    <t>Dinamicidade:</t>
  </si>
  <si>
    <t>Todas as tabelas de métricas usam fórmulas COUNTIFS referenciando as abas originais. Alterações nas abas Springer, IEEE, SD, Emerald ou Scopus atualizam automaticamente esta aba.</t>
  </si>
  <si>
    <t>Portabilidade:</t>
  </si>
  <si>
    <t>Estrutura em tabelas simples, sem macros, sem filtros avançados e sem gráficos. Compatível com Google Sheets. Copie e cole como valores para portabilidade total nas tabelas de auditoria.</t>
  </si>
  <si>
    <t>Referência:</t>
  </si>
  <si>
    <t>Análise inspirada em: uso de LLMs na fase de seleção de estudos em revisões sistemáticas — metodologia de avaliação de classificadores (VP, VN, FP, FN, Precision, Recall, F1-Score).</t>
  </si>
  <si>
    <t>Nota</t>
  </si>
  <si>
    <t>Metodologia clara</t>
  </si>
  <si>
    <t xml:space="preserve">Contexto claro e bem definido </t>
  </si>
  <si>
    <t>Os objetivos da pesquisa estão bem definidos</t>
  </si>
  <si>
    <t>Discussão revelante e consistente sobre resultados</t>
  </si>
  <si>
    <t>Mencionou desafios, limitações ou ameaças</t>
  </si>
  <si>
    <t>Quality Criteria</t>
  </si>
  <si>
    <t>Comentários</t>
  </si>
  <si>
    <t>Artigos</t>
  </si>
  <si>
    <t>Autores</t>
  </si>
  <si>
    <t>Tipo de Artigo/Publicação</t>
  </si>
  <si>
    <t>Ano de Publicação</t>
  </si>
  <si>
    <t>Número de Páginas</t>
  </si>
  <si>
    <t>Fonte Base</t>
  </si>
  <si>
    <r>
      <rPr>
        <rFont val="Helvetica Neue"/>
        <color rgb="FF1155CC"/>
        <u/>
      </rPr>
      <t>https://link.springer.com/10.1007/s43069-025-00428-x</t>
    </r>
  </si>
  <si>
    <r>
      <rPr>
        <rFont val="Helvetica Neue"/>
        <color rgb="FF1155CC"/>
        <u/>
      </rPr>
      <t>https://link.springer.com/10.1007/s12599-024-00882-7</t>
    </r>
  </si>
  <si>
    <r>
      <rPr>
        <rFont val="Helvetica Neue"/>
        <color rgb="FF1155CC"/>
        <u/>
      </rPr>
      <t>https://link.springer.com/10.1007/s10796-024-10474-1</t>
    </r>
  </si>
  <si>
    <r>
      <rPr>
        <rFont val="Helvetica Neue"/>
        <color rgb="FF1155CC"/>
        <u/>
      </rPr>
      <t>https://link.springer.com/10.1007/s10257-024-00681-3</t>
    </r>
  </si>
  <si>
    <r>
      <rPr>
        <rFont val="Helvetica Neue"/>
        <color rgb="FF1155CC"/>
        <u/>
      </rPr>
      <t>https://link.springer.com/10.1007/s41027-022-00383-9</t>
    </r>
  </si>
  <si>
    <r>
      <rPr>
        <rFont val="Helvetica Neue"/>
        <color rgb="FF1155CC"/>
        <u/>
      </rPr>
      <t>https://link.springer.com/10.1007/s10257-021-00549-w</t>
    </r>
  </si>
  <si>
    <r>
      <rPr>
        <rFont val="Helvetica Neue"/>
        <color rgb="FF1155CC"/>
        <u/>
      </rPr>
      <t>https://link.springer.com/10.1007/s40821-026-00342-0</t>
    </r>
  </si>
  <si>
    <r>
      <rPr>
        <rFont val="Helvetica Neue"/>
        <color rgb="FF1155CC"/>
        <u/>
      </rPr>
      <t>https://link.springer.com/10.1007/s10257-024-00675-1</t>
    </r>
  </si>
  <si>
    <r>
      <rPr>
        <rFont val="Helvetica Neue"/>
        <color rgb="FF1155CC"/>
        <u/>
      </rPr>
      <t>https://link.springer.com/10.1007/s11740-024-01302-1</t>
    </r>
  </si>
  <si>
    <r>
      <rPr>
        <rFont val="Helvetica Neue"/>
        <color rgb="FF1155CC"/>
        <u/>
      </rPr>
      <t>https://link.springer.com/10.1007/s12599-021-00703-1</t>
    </r>
  </si>
  <si>
    <r>
      <rPr>
        <rFont val="Helvetica Neue"/>
        <color rgb="FF1155CC"/>
        <u/>
      </rPr>
      <t>https://link.springer.com/10.1007/s44311-025-00028-2</t>
    </r>
  </si>
  <si>
    <r>
      <rPr>
        <rFont val="Helvetica Neue"/>
        <color rgb="FF1155CC"/>
        <u/>
      </rPr>
      <t>https://link.springer.com/10.1007/s12599-025-00976-w</t>
    </r>
  </si>
  <si>
    <r>
      <rPr>
        <rFont val="Helvetica Neue"/>
        <color rgb="FF1155CC"/>
        <u/>
      </rPr>
      <t>https://link.springer.com/10.1007/s44311-025-00030-8</t>
    </r>
  </si>
  <si>
    <r>
      <rPr>
        <rFont val="Helvetica Neue"/>
        <color rgb="FF1155CC"/>
        <u/>
      </rPr>
      <t>https://link.springer.com/10.1007/s10515-021-00316-8</t>
    </r>
  </si>
  <si>
    <r>
      <rPr>
        <rFont val="Helvetica Neue"/>
        <color rgb="FF1155CC"/>
        <u/>
      </rPr>
      <t>https://link.springer.com/10.1007/s10257-021-00523-6</t>
    </r>
  </si>
  <si>
    <r>
      <rPr>
        <rFont val="Helvetica Neue"/>
        <color rgb="FF1155CC"/>
        <u/>
      </rPr>
      <t>https://ieeexplore.ieee.org/document/9476422/</t>
    </r>
  </si>
  <si>
    <t>Em portugues</t>
  </si>
  <si>
    <r>
      <rPr>
        <rFont val="Helvetica Neue"/>
        <color rgb="FF1155CC"/>
        <u/>
      </rPr>
      <t>https://ieeexplore.ieee.org/document/10169836/</t>
    </r>
  </si>
  <si>
    <r>
      <rPr>
        <rFont val="Helvetica Neue"/>
        <color rgb="FF1155CC"/>
        <u/>
      </rPr>
      <t>https://ieeexplore.ieee.org/document/10525897/</t>
    </r>
  </si>
  <si>
    <r>
      <rPr>
        <rFont val="Helvetica Neue"/>
        <color rgb="FF1155CC"/>
        <u/>
      </rPr>
      <t>https://ieeexplore.ieee.org/document/10169815/</t>
    </r>
  </si>
  <si>
    <r>
      <rPr>
        <rFont val="Helvetica Neue"/>
        <color rgb="FF1155CC"/>
        <u/>
      </rPr>
      <t>https://ieeexplore.ieee.org/document/11196068/</t>
    </r>
  </si>
  <si>
    <r>
      <rPr>
        <rFont val="Helvetica Neue"/>
        <color rgb="FF1155CC"/>
        <u/>
      </rPr>
      <t>https://ieeexplore.ieee.org/document/9844997/</t>
    </r>
  </si>
  <si>
    <r>
      <rPr>
        <rFont val="Helvetica Neue"/>
        <color rgb="FF1155CC"/>
        <u/>
      </rPr>
      <t>https://ieeexplore.ieee.org/document/11062816/</t>
    </r>
  </si>
  <si>
    <r>
      <rPr>
        <rFont val="Helvetica Neue"/>
        <color rgb="FF1155CC"/>
        <u/>
      </rPr>
      <t>https://ieeexplore.ieee.org/document/10939966/</t>
    </r>
  </si>
  <si>
    <r>
      <rPr>
        <rFont val="Helvetica Neue"/>
        <color rgb="FF1155CC"/>
        <u/>
      </rPr>
      <t>https://ieeexplore.ieee.org/document/10146729/</t>
    </r>
  </si>
  <si>
    <r>
      <rPr>
        <rFont val="Helvetica Neue"/>
        <color rgb="FF1155CC"/>
        <u/>
      </rPr>
      <t>https://ieeexplore.ieee.org/document/10434531/</t>
    </r>
  </si>
  <si>
    <r>
      <rPr>
        <rFont val="Helvetica Neue"/>
        <color rgb="FF1155CC"/>
        <u/>
      </rPr>
      <t>https://ieeexplore.ieee.org/document/10736038/</t>
    </r>
  </si>
  <si>
    <r>
      <rPr>
        <rFont val="Helvetica Neue"/>
        <color rgb="FF1155CC"/>
        <u/>
      </rPr>
      <t>https://ieeexplore.ieee.org/document/11238925/</t>
    </r>
  </si>
  <si>
    <r>
      <rPr>
        <rFont val="Helvetica Neue"/>
        <color rgb="FF1155CC"/>
        <u/>
      </rPr>
      <t>https://ieeexplore.ieee.org/document/11239239/</t>
    </r>
  </si>
  <si>
    <r>
      <rPr>
        <rFont val="Helvetica Neue"/>
        <color rgb="FF1155CC"/>
        <u/>
      </rPr>
      <t>https://ieeexplore.ieee.org/document/10111453/</t>
    </r>
  </si>
  <si>
    <r>
      <rPr>
        <rFont val="Helvetica Neue"/>
        <color rgb="FF1155CC"/>
        <u/>
      </rPr>
      <t>https://ieeexplore.ieee.org/document/11331249/</t>
    </r>
  </si>
  <si>
    <r>
      <rPr>
        <rFont val="Helvetica Neue"/>
        <color rgb="FF1155CC"/>
        <u/>
      </rPr>
      <t>https://ieeexplore.ieee.org/document/11069117/</t>
    </r>
  </si>
  <si>
    <r>
      <rPr>
        <rFont val="Helvetica Neue"/>
        <color rgb="FF1155CC"/>
        <u/>
      </rPr>
      <t>https://ieeexplore.ieee.org/document/11435350/</t>
    </r>
  </si>
  <si>
    <r>
      <rPr>
        <rFont val="Helvetica Neue"/>
        <color rgb="FF1155CC"/>
        <u/>
      </rPr>
      <t>https://ieeexplore.ieee.org/document/10090061/</t>
    </r>
  </si>
  <si>
    <r>
      <rPr>
        <rFont val="Helvetica Neue"/>
        <color rgb="FF1155CC"/>
        <u/>
      </rPr>
      <t>https://ieeexplore.ieee.org/document/9820099/</t>
    </r>
  </si>
  <si>
    <r>
      <rPr>
        <rFont val="Helvetica Neue"/>
        <color rgb="FF1155CC"/>
        <u/>
      </rPr>
      <t>https://ieeexplore.ieee.org/document/9576568/</t>
    </r>
  </si>
  <si>
    <r>
      <rPr>
        <rFont val="Helvetica Neue"/>
        <color rgb="FF1155CC"/>
        <u/>
      </rPr>
      <t>https://ieeexplore.ieee.org/document/9416494/</t>
    </r>
  </si>
  <si>
    <r>
      <rPr>
        <rFont val="Helvetica Neue"/>
        <color rgb="FF1155CC"/>
        <u/>
      </rPr>
      <t>https://ieeexplore.ieee.org/document/10152964/</t>
    </r>
  </si>
  <si>
    <r>
      <rPr>
        <rFont val="Helvetica Neue"/>
        <color rgb="FF1155CC"/>
        <u/>
      </rPr>
      <t>https://ieeexplore.ieee.org/document/11170450/</t>
    </r>
  </si>
  <si>
    <r>
      <rPr>
        <rFont val="Helvetica Neue"/>
        <color rgb="FF1155CC"/>
        <u/>
      </rPr>
      <t>https://www.sciencedirect.com/science/article/pii/S030643792030106X</t>
    </r>
  </si>
  <si>
    <t>Science DIrect</t>
  </si>
  <si>
    <r>
      <rPr>
        <rFont val="Helvetica Neue"/>
        <color rgb="FF1155CC"/>
        <u/>
      </rPr>
      <t>https://www.sciencedirect.com/science/article/pii/S2452414X23000468</t>
    </r>
  </si>
  <si>
    <r>
      <rPr>
        <rFont val="Helvetica Neue"/>
        <color rgb="FF1155CC"/>
        <u/>
      </rPr>
      <t>https://www.sciencedirect.com/science/article/pii/S0306437923000200</t>
    </r>
  </si>
  <si>
    <r>
      <rPr>
        <rFont val="Helvetica Neue"/>
        <color rgb="FF1155CC"/>
        <u/>
      </rPr>
      <t>https://www.sciencedirect.com/science/article/pii/S2352146521002106</t>
    </r>
  </si>
  <si>
    <r>
      <rPr>
        <rFont val="Helvetica Neue"/>
        <color rgb="FF1155CC"/>
        <u/>
      </rPr>
      <t>https://www.sciencedirect.com/science/article/pii/S1463715424001006</t>
    </r>
  </si>
  <si>
    <r>
      <rPr>
        <rFont val="Helvetica Neue"/>
        <color rgb="FF1155CC"/>
        <u/>
      </rPr>
      <t>https://www.sciencedirect.com/science/article/pii/S0360835225000828</t>
    </r>
  </si>
  <si>
    <r>
      <rPr>
        <rFont val="Helvetica Neue"/>
        <color rgb="FF1155CC"/>
        <u/>
      </rPr>
      <t>https://www.sciencedirect.com/science/article/pii/S1755581721001929</t>
    </r>
  </si>
  <si>
    <r>
      <rPr>
        <rFont val="Helvetica Neue"/>
        <color rgb="FF1155CC"/>
        <u/>
      </rPr>
      <t>https://www.sciencedirect.com/science/article/pii/S1877050924016338</t>
    </r>
  </si>
  <si>
    <r>
      <rPr>
        <rFont val="Helvetica Neue"/>
        <color rgb="FF1155CC"/>
        <u/>
      </rPr>
      <t>https://www.sciencedirect.com/science/article/pii/S1877050923012346</t>
    </r>
  </si>
  <si>
    <r>
      <rPr>
        <rFont val="Helvetica Neue"/>
        <color rgb="FF1155CC"/>
        <u/>
      </rPr>
      <t>https://www.sciencedirect.com/science/article/pii/S030643792030137X</t>
    </r>
  </si>
  <si>
    <r>
      <rPr>
        <rFont val="Helvetica Neue"/>
        <color rgb="FF1155CC"/>
        <u/>
      </rPr>
      <t>https://www.sciencedirect.com/science/article/pii/S1877050926001948</t>
    </r>
  </si>
  <si>
    <r>
      <rPr>
        <rFont val="Helvetica Neue"/>
        <color rgb="FF1155CC"/>
        <u/>
      </rPr>
      <t>https://www.sciencedirect.com/science/article/pii/S2405896325025613</t>
    </r>
  </si>
  <si>
    <r>
      <rPr>
        <rFont val="Helvetica Neue"/>
        <color rgb="FF1155CC"/>
        <u/>
      </rPr>
      <t>https://doi.org/10.1108/BPMJ-07-2025-1110</t>
    </r>
  </si>
  <si>
    <r>
      <rPr>
        <rFont val="Helvetica Neue"/>
        <color rgb="FF1155CC"/>
        <u/>
      </rPr>
      <t>https://doi.org/10.1108/BPMJ-10-2025-1751</t>
    </r>
  </si>
  <si>
    <r>
      <rPr>
        <rFont val="Helvetica Neue"/>
        <color rgb="FF1155CC"/>
        <u/>
      </rPr>
      <t>https://doi.org/10.1108/BPMJ-08-2025-1254</t>
    </r>
  </si>
  <si>
    <r>
      <rPr>
        <rFont val="Helvetica Neue"/>
        <color rgb="FF1155CC"/>
        <u/>
      </rPr>
      <t>https://doi.org/10.1108/BPMJ-05-2025-0759</t>
    </r>
  </si>
  <si>
    <r>
      <rPr>
        <rFont val="Helvetica Neue"/>
        <color rgb="FF1155CC"/>
        <u/>
      </rPr>
      <t>https://doi.org/10.1108/BPMJ-03-2025-0348</t>
    </r>
  </si>
  <si>
    <r>
      <rPr>
        <rFont val="Helvetica Neue"/>
        <color rgb="FF1155CC"/>
        <u/>
      </rPr>
      <t>https://doi.org/10.1108/BPMJ-07-2024-0666</t>
    </r>
  </si>
  <si>
    <r>
      <rPr>
        <rFont val="Helvetica Neue"/>
        <color rgb="FF1155CC"/>
        <u/>
      </rPr>
      <t>https://doi.org/10.1108/BPMJ-06-2024-0467</t>
    </r>
  </si>
  <si>
    <r>
      <rPr>
        <rFont val="Helvetica Neue"/>
        <color rgb="FF1155CC"/>
        <u/>
      </rPr>
      <t>https://doi.org/10.1108/BPMJ-10-2024-0975</t>
    </r>
  </si>
  <si>
    <r>
      <rPr>
        <rFont val="Helvetica Neue"/>
        <color rgb="FF1155CC"/>
        <u/>
      </rPr>
      <t>https://doi.org/10.1108/EJIM-10-2023-0887</t>
    </r>
  </si>
  <si>
    <r>
      <rPr>
        <rFont val="Helvetica Neue"/>
        <color rgb="FF1155CC"/>
        <u/>
      </rPr>
      <t>https://doi.org/10.1108/BPMJ-08-2022-0378</t>
    </r>
  </si>
  <si>
    <r>
      <rPr>
        <rFont val="Helvetica Neue"/>
        <color rgb="FF1155CC"/>
        <u/>
      </rPr>
      <t>https://doi.org/10.1108/BPMJ-07-2023-0529</t>
    </r>
  </si>
  <si>
    <r>
      <rPr>
        <rFont val="Helvetica Neue"/>
        <color rgb="FF1155CC"/>
        <u/>
      </rPr>
      <t>https://doi.org/10.1108/BPMJ-07-2023-0566</t>
    </r>
  </si>
  <si>
    <r>
      <rPr>
        <rFont val="Helvetica Neue"/>
        <color rgb="FF1155CC"/>
        <u/>
      </rPr>
      <t>https://doi.org/10.1108/JIC-04-2023-0070</t>
    </r>
  </si>
  <si>
    <r>
      <rPr>
        <rFont val="Helvetica Neue"/>
        <color rgb="FF1155CC"/>
        <u/>
      </rPr>
      <t>https://doi.org/10.1108/BPMJ-12-2022-0631</t>
    </r>
  </si>
  <si>
    <r>
      <rPr>
        <rFont val="Helvetica Neue"/>
        <color rgb="FF1155CC"/>
        <u/>
      </rPr>
      <t>https://doi.org/10.1108/BPMJ-07-2021-0484</t>
    </r>
  </si>
  <si>
    <r>
      <rPr>
        <rFont val="Helvetica Neue"/>
        <color rgb="FF1155CC"/>
        <u/>
      </rPr>
      <t>https://doi.org/10.1108/JEIM-08-2020-0344</t>
    </r>
  </si>
  <si>
    <r>
      <rPr>
        <rFont val="Helvetica Neue"/>
        <color rgb="FF1155CC"/>
        <u/>
      </rPr>
      <t>https://www.scopus.com/pages/publications/85142936679?origin=resultslist</t>
    </r>
  </si>
  <si>
    <r>
      <rPr>
        <rFont val="Helvetica Neue"/>
        <color rgb="FF1155CC"/>
        <u/>
      </rPr>
      <t>https://www.scopus.com/pages/publications/105017652480?origin=resultslist</t>
    </r>
  </si>
  <si>
    <r>
      <rPr>
        <rFont val="Helvetica Neue"/>
        <color rgb="FF1155CC"/>
        <u/>
      </rPr>
      <t>https://www.scopus.com/pages/publications/85097754013?origin=resultslist</t>
    </r>
  </si>
  <si>
    <r>
      <rPr>
        <rFont val="Helvetica Neue"/>
        <color rgb="FF1155CC"/>
        <u/>
      </rPr>
      <t>https://www.scopus.com/pages/publications/105010827966?origin=resultslist</t>
    </r>
  </si>
  <si>
    <t>https://www.scopus.com/pages/publications/85135783892?origin=resultslist</t>
  </si>
  <si>
    <r>
      <rPr>
        <rFont val="Helvetica Neue"/>
        <color rgb="FF1155CC"/>
        <u/>
      </rPr>
      <t>https://www.scopus.com/pages/publications/105007825601?origin=resultslist</t>
    </r>
  </si>
  <si>
    <r>
      <rPr>
        <rFont val="Helvetica Neue"/>
        <color rgb="FF1155CC"/>
        <u/>
      </rPr>
      <t>https://www.scopus.com/pages/publications/105032643711?origin=resultslist</t>
    </r>
  </si>
  <si>
    <r>
      <rPr>
        <rFont val="Helvetica Neue"/>
        <color rgb="FF1155CC"/>
        <u/>
      </rPr>
      <t>https://www.scopus.com/pages/publications/85111540234?origin=resultslist</t>
    </r>
  </si>
  <si>
    <r>
      <rPr>
        <rFont val="Helvetica Neue"/>
        <color rgb="FF1155CC"/>
        <u/>
      </rPr>
      <t>https://www.scopus.com/pages/publications/85182438047?origin=resultslist</t>
    </r>
  </si>
  <si>
    <r>
      <rPr>
        <rFont val="Helvetica Neue"/>
        <color rgb="FF1155CC"/>
        <u/>
      </rPr>
      <t>https://www.scopus.com/pages/publications/85084200018?origin=resultslist</t>
    </r>
  </si>
  <si>
    <r>
      <rPr>
        <rFont val="Helvetica Neue"/>
        <color rgb="FF1155CC"/>
        <u/>
      </rPr>
      <t>https://www.scopus.com/pages/publications/85147442038?origin=resultslist</t>
    </r>
  </si>
  <si>
    <t>sem acesso</t>
  </si>
  <si>
    <t>https://www.scopus.com/pages/publications/85128762831?origin=resultslist</t>
  </si>
  <si>
    <t>n</t>
  </si>
  <si>
    <r>
      <rPr>
        <rFont val="Helvetica Neue"/>
        <color rgb="FF1155CC"/>
        <u/>
      </rPr>
      <t>https://www.scopus.com/pages/publications/105024114993?origin=resultslist</t>
    </r>
  </si>
  <si>
    <r>
      <rPr>
        <rFont val="Helvetica Neue"/>
        <color rgb="FF1155CC"/>
        <u/>
      </rPr>
      <t>https://www.scopus.com/pages/publications/85115184919?origin=resultslist</t>
    </r>
  </si>
  <si>
    <r>
      <rPr>
        <rFont val="Helvetica Neue"/>
        <color rgb="FF1155CC"/>
        <u/>
      </rPr>
      <t>https://www.scopus.com/pages/publications/105036018031?origin=resultslist</t>
    </r>
  </si>
  <si>
    <r>
      <rPr>
        <rFont val="Helvetica Neue"/>
        <color rgb="FF1155CC"/>
        <u/>
      </rPr>
      <t>https://www.scopus.com/pages/publications/85210278348?origin=resultslist</t>
    </r>
  </si>
  <si>
    <r>
      <rPr>
        <rFont val="Helvetica Neue"/>
        <color rgb="FF1155CC"/>
        <u/>
      </rPr>
      <t>https://www.scopus.com/pages/publications/85171277909?origin=resultslist</t>
    </r>
  </si>
  <si>
    <r>
      <rPr>
        <rFont val="Helvetica Neue"/>
        <color rgb="FF1155CC"/>
        <u/>
      </rPr>
      <t>https://www.scopus.com/pages/publications/85193260176?origin=resultslist</t>
    </r>
  </si>
  <si>
    <r>
      <rPr>
        <rFont val="Helvetica Neue"/>
        <color rgb="FF1155CC"/>
        <u/>
      </rPr>
      <t>https://www.scopus.com/pages/publications/105000174701?origin=resultslist</t>
    </r>
  </si>
  <si>
    <r>
      <rPr>
        <rFont val="Helvetica Neue"/>
        <color rgb="FF1155CC"/>
        <u/>
      </rPr>
      <t>https://www.scopus.com/pages/publications/85184096160?origin=resultslist</t>
    </r>
  </si>
  <si>
    <t>ID</t>
  </si>
  <si>
    <t>Titles</t>
  </si>
  <si>
    <t>PS01</t>
  </si>
  <si>
    <t>PS02</t>
  </si>
  <si>
    <t>PS03</t>
  </si>
  <si>
    <t>PS04</t>
  </si>
  <si>
    <t>PS05</t>
  </si>
  <si>
    <t>PS06</t>
  </si>
  <si>
    <t>PS07</t>
  </si>
  <si>
    <t>PS08</t>
  </si>
  <si>
    <t>PS09</t>
  </si>
  <si>
    <t>PS10</t>
  </si>
  <si>
    <t>PS11</t>
  </si>
  <si>
    <t>PS12</t>
  </si>
  <si>
    <t>PS13</t>
  </si>
  <si>
    <t>PS14</t>
  </si>
  <si>
    <t>PS15</t>
  </si>
  <si>
    <t>PS16</t>
  </si>
  <si>
    <t>PS17</t>
  </si>
  <si>
    <t>PS18</t>
  </si>
  <si>
    <t>PS19</t>
  </si>
  <si>
    <t>PS20</t>
  </si>
  <si>
    <t>PS21</t>
  </si>
  <si>
    <t>PS22</t>
  </si>
  <si>
    <t>PS23</t>
  </si>
  <si>
    <t>PS24</t>
  </si>
  <si>
    <t>PS25</t>
  </si>
  <si>
    <t>PS26</t>
  </si>
  <si>
    <t>PS27</t>
  </si>
  <si>
    <t>PS28</t>
  </si>
  <si>
    <t>PS29</t>
  </si>
  <si>
    <t>PS30</t>
  </si>
  <si>
    <t>PS31</t>
  </si>
  <si>
    <t>PS32</t>
  </si>
  <si>
    <t>PS33</t>
  </si>
  <si>
    <t>PS34</t>
  </si>
  <si>
    <t>PS35</t>
  </si>
  <si>
    <t>PS36</t>
  </si>
  <si>
    <t>PS37</t>
  </si>
  <si>
    <t>PS38</t>
  </si>
  <si>
    <t>PS39</t>
  </si>
  <si>
    <t>PS40</t>
  </si>
  <si>
    <t>PS41</t>
  </si>
  <si>
    <t>PS42</t>
  </si>
  <si>
    <t>PS43</t>
  </si>
  <si>
    <t>PS44</t>
  </si>
  <si>
    <t>PS45</t>
  </si>
  <si>
    <t>PS46</t>
  </si>
  <si>
    <t>PS47</t>
  </si>
  <si>
    <t>PS48</t>
  </si>
  <si>
    <t>PS49</t>
  </si>
  <si>
    <t>PS50</t>
  </si>
  <si>
    <t>PS51</t>
  </si>
  <si>
    <t>PS52</t>
  </si>
  <si>
    <t>PS53</t>
  </si>
  <si>
    <t>PS54</t>
  </si>
  <si>
    <t>PS55</t>
  </si>
  <si>
    <t>PS56</t>
  </si>
  <si>
    <t>PS57</t>
  </si>
  <si>
    <t>PS58</t>
  </si>
  <si>
    <t>PS59</t>
  </si>
  <si>
    <t>PS60</t>
  </si>
  <si>
    <t>PS61</t>
  </si>
  <si>
    <t>PS62</t>
  </si>
  <si>
    <t>PS63</t>
  </si>
  <si>
    <t>PS64</t>
  </si>
  <si>
    <t>PS65</t>
  </si>
  <si>
    <t>PS66</t>
  </si>
  <si>
    <t>PS67</t>
  </si>
  <si>
    <t>PS68</t>
  </si>
  <si>
    <t>PS69</t>
  </si>
  <si>
    <t>PS70</t>
  </si>
  <si>
    <t>PS71</t>
  </si>
  <si>
    <t>PS72</t>
  </si>
  <si>
    <t>PS73</t>
  </si>
  <si>
    <t>PS74</t>
  </si>
  <si>
    <t>PS75</t>
  </si>
  <si>
    <t>PS76</t>
  </si>
  <si>
    <t>PS77</t>
  </si>
  <si>
    <t>PS78</t>
  </si>
  <si>
    <t>PS79</t>
  </si>
  <si>
    <t>Instructions:
Extract responses from the column corresponding to Q1.
Identify key themes, patterns, and recurring topics in the responses.
Assign each response to one or more relevant categories.
Provide a summary of the categories, explaining the criteria used for classification.
If a response does not fit into existing categories, create a new category and justify it.
If there is no response add to a "No response" category, do not exclude any article for the output.
Expected Output:
A list of categories with descriptions.
Each response mapped to one or more categories.
A summary explaining the classification logic.
The result of this analysis appended to the Analise.xlsx in a spreadsheet .xlsx file, the column with the category must have the name of the category for my verification.
Pre-conditions:
Ensure that the categorization is consistent, meaningful, and representative of the data. If necessary, refine the categories to improve clarity.</t>
  </si>
  <si>
    <t>Avaliador</t>
  </si>
  <si>
    <t>Q1: Quais tecnologias são associadas ao BPM em iniciativas de transformação digital e como a literatura as caracteriza ou classifica?</t>
  </si>
  <si>
    <t xml:space="preserve">Q2: Em quais etapas do ciclo de vida do BPM (como modelagem, execução, monitoramento, análise ou melhoria de processos) as tecnologias são aplicadas nas iniciativas de transformação digital?
</t>
  </si>
  <si>
    <t xml:space="preserve">Q3: Quais objetivos organizacionais estão associados ao uso de tecnologias em BPM no contexto da transformação digital, como automação de processos, melhoria de desempenho ou inovação nos processos de negócio?
</t>
  </si>
  <si>
    <t>Q4: Quais resultados ou impactos são relatados na literatura a partir da utilização de tecnologias associadas ao BPM em iniciativas de transformação digital?</t>
  </si>
  <si>
    <t>Q5: Quais limitações são apontadas nos estudos existentes e quais lacunas de pesquisa são identificadas na literatura sobre a integração entre tecnologias, BPM e transformação digital?</t>
  </si>
  <si>
    <t>Q1 Categories</t>
  </si>
  <si>
    <t>Q2 Categories</t>
  </si>
  <si>
    <t>Q3 Categories</t>
  </si>
  <si>
    <t>Q4 Categories</t>
  </si>
  <si>
    <t>Q5 Categories</t>
  </si>
  <si>
    <t>Q1 | Data Analytics, BI and Data Mining</t>
  </si>
  <si>
    <t>Q1 | Process Mining and Event Logs</t>
  </si>
  <si>
    <t>Q1 | AI, Machine Learning and Intelligent Automation</t>
  </si>
  <si>
    <t>Q1 | Automation, RPA and Workflow/BPMS</t>
  </si>
  <si>
    <t>Q1 | Modeling, Simulation, Digital Twin and BPMN</t>
  </si>
  <si>
    <t>Q1 | Enterprise Systems, Cloud, IoT or Integration Technologies</t>
  </si>
  <si>
    <t>Q1 | Governance, Trust, Risk or Compliance Technologies</t>
  </si>
  <si>
    <t>Q1 | Conceptual or Indirect Association</t>
  </si>
  <si>
    <t>Q1 | No response</t>
  </si>
  <si>
    <t>Q2 | Identification and Discovery</t>
  </si>
  <si>
    <t>Q2 | Modeling, Design and Redesign</t>
  </si>
  <si>
    <t>Q2 | Execution and Automation</t>
  </si>
  <si>
    <t>Q2 | Monitoring, Control and Analysis</t>
  </si>
  <si>
    <t>Q2 | Optimization and Continuous Improvement</t>
  </si>
  <si>
    <t>Q2 | Governance and Strategic Alignment</t>
  </si>
  <si>
    <t>Q2 | No response</t>
  </si>
  <si>
    <t>Q3 | Efficiency, Cost and Time Reduction</t>
  </si>
  <si>
    <t>Q3 | Agility, Adaptability and Resilience</t>
  </si>
  <si>
    <t>Q3 | Data-Driven Decision Support</t>
  </si>
  <si>
    <t>Q3 | Strategic Alignment and Competitiveness</t>
  </si>
  <si>
    <t>Q3 | Customer/Stakeholder Experience and Service Quality</t>
  </si>
  <si>
    <t>Q3 | Compliance, Trust, Risk and Accountability</t>
  </si>
  <si>
    <t>Q3 | Innovation and Capability Development</t>
  </si>
  <si>
    <t>Q3 | Sustainability and Resource Optimization</t>
  </si>
  <si>
    <t>Q3 | No response</t>
  </si>
  <si>
    <t>Q4 | Performance Gains and Quantitative Benefits</t>
  </si>
  <si>
    <t>Q4 | Improved Decision-Making and Process Visibility</t>
  </si>
  <si>
    <t>Q4 | Automation, Standardization and Process Quality</t>
  </si>
  <si>
    <t>Q4 | Customer/Stakeholder and Service Outcomes</t>
  </si>
  <si>
    <t>Q4 | Organizational Agility and Transformation Outcomes</t>
  </si>
  <si>
    <t>Q4 | Technical or Conceptual Validation</t>
  </si>
  <si>
    <t>Q4 | Limited or Inconclusive Evidence</t>
  </si>
  <si>
    <t>Q4 | No response</t>
  </si>
  <si>
    <t>Q5 | Data Quality, Availability and Generalizability</t>
  </si>
  <si>
    <t>Q5 | Methodological and Empirical Validation Limits</t>
  </si>
  <si>
    <t>Q5 | Human, Organizational and Adoption Challenges</t>
  </si>
  <si>
    <t>Q5 | Technical Scalability, Interoperability and Integration</t>
  </si>
  <si>
    <t>Q5 | Privacy, Security, Ethics and Governance</t>
  </si>
  <si>
    <t>Q5 | Domain or Context-Specific Constraints</t>
  </si>
  <si>
    <t>Q5 | No response</t>
  </si>
  <si>
    <r>
      <rPr>
        <rFont val="Helvetica Neue"/>
        <color rgb="FF1155CC"/>
        <u/>
      </rPr>
      <t>https://link.springer.com/10.1007/s10257-021-00523-6</t>
    </r>
  </si>
  <si>
    <t>Responde</t>
  </si>
  <si>
    <t>O artigo associa o BPM a tecnologias de Data Mining, Business Intelligence (BI) e Data Science, caracterizando-as como ferramentas para fornecer insights operacionais e permitir o redesenho algorítmico de processos em "empresas digitais" no contexto da Indústria 4.0</t>
  </si>
  <si>
    <t>O foco central é na etapa de redesenho (melhoria), mas abrange também a modelagem (as-is/to-be), identificação, descoberta e análise de dados históricos de execução</t>
  </si>
  <si>
    <t>Os objetivos incluem a manutenção da competitividade, alinhamento estratégico, agilidade organizacional e a redução de tarefas manuais e custos operacionais</t>
  </si>
  <si>
    <t xml:space="preserve"> Relata ganhos quantitativos de economia de tempo e custo, além de melhorias na satisfação e fidelidade do cliente através de serviços mais rápidos e precisos</t>
  </si>
  <si>
    <t>Aponta a falta de técnicas algorítmicas na literatura (que é muito dependente de especialistas humanos) e limitações técnicas próprias, como a dependência da qualidade dos dados e a dificuldade em lidar com conhecimento tácito</t>
  </si>
  <si>
    <t>Data Analytics, BI and Data Mining; AI, Machine Learning and Intelligent Automation</t>
  </si>
  <si>
    <t xml:space="preserve">Identification and Discovery; Modeling, Design and Redesign; Execution and Automation; Monitoring, Control and Analysis; Optimization and Continuous Improvement; </t>
  </si>
  <si>
    <t>Efficiency, Cost and Time Reduction; Agility, Adaptability and Resilience; Strategic Alignment and Competitiveness</t>
  </si>
  <si>
    <t>Performance Gains and Quantitative Benefits; Customer/Stakeholder and Service Outcomes</t>
  </si>
  <si>
    <t>Data Quality, Availability and Generalizability; Human, Organizational and Adoption Challenges; Technical Scalability, Interoperability and Integration</t>
  </si>
  <si>
    <t>X</t>
  </si>
  <si>
    <r>
      <rPr>
        <rFont val="Helvetica Neue"/>
        <color rgb="FF1155CC"/>
        <u/>
      </rPr>
      <t>https://ieeexplore.ieee.org/document/9576568/</t>
    </r>
  </si>
  <si>
    <t>Não responde</t>
  </si>
  <si>
    <t>sem resposta</t>
  </si>
  <si>
    <t>Responde parcialmente</t>
  </si>
  <si>
    <t>O artigo associa transformação digital e tecnologias a objetivos como sobrevivência durante a pandemia, inovação, transformação de processos, cooperação sem intermediários, melhoria da eficiência, redução de custos, adaptação ao ambiente externo e criação de valor. Porém, esses objetivos são discutidos no contexto de gestão digital empresarial, não diretamente no uso de tecnologias em BPM.</t>
  </si>
  <si>
    <t>O artigo relata impactos gerais da transformação digital e propõe um mecanismo universal de gestão digital. Também compara países usando NRI e identifica modelos de negócio promissores. No entanto, não relata impactos da utilização de tecnologias associadas ao BPM em iniciativas específicas; os impactos são macroestratégicos e conceituais.</t>
  </si>
  <si>
    <t xml:space="preserve">“Major sources of this study’s limitations are represented by the imperfection of the regulatory framework for the development of digital technologies and the need to apply a situational approach to the choice of techniques and methods for introducing innovative technologies.” / “Future studies in this field may be concentrated on considering the transformation of each developed business model and analyzing digital transformation in an industry context.”  </t>
  </si>
  <si>
    <t>No response</t>
  </si>
  <si>
    <t>Efficiency, Cost and Time Reduction; Agility, Adaptability and Resilience; Strategic Alignment and Competitiveness; Innovation and Capability Development</t>
  </si>
  <si>
    <t>Organizational Agility and Transformation Outcomes; Technical or Conceptual Validation; Limited or Inconclusive Evidence</t>
  </si>
  <si>
    <t>Privacy, Security, Ethics and Governance; ; Domain or Context-Specific Constraints</t>
  </si>
  <si>
    <r>
      <rPr>
        <rFont val="Helvetica Neue"/>
        <color rgb="FF1155CC"/>
        <u/>
      </rPr>
      <t>https://ieeexplore.ieee.org/document/9416494/</t>
    </r>
  </si>
  <si>
    <t xml:space="preserve">“Therefore, we propose Trust Mining as an analytical approach to better understand uncertainties and the potential trust issues that arise from them. Trust Mining takes a business process model as an input and analyzes uncertainties and relationships.” / “Furthermore, we present a prototypical implementation and illustrate how Trust Mining can be used in trust-aware process (re-)design.”  
</t>
  </si>
  <si>
    <t xml:space="preserve">O artigo situa explicitamente o Trust Mining na fase de design do ciclo BPM e no process redesign/re-engineering orientado à confiança. Também menciona que o método analisa modelos de processo e gera insumos para melhoria posterior.
</t>
  </si>
  <si>
    <t xml:space="preserve">O objetivo é claro: identificar incertezas, dependências e problemas de confiança em processos colaborativos para apoiar redesign e aumentar a confiabilidade do processo. Porém, os objetivos são específicos ao problema de trust-aware BPM, não a objetivos organizacionais amplos como automação, desempenho ou inovação em transformação digital.
</t>
  </si>
  <si>
    <t xml:space="preserve">“We demonstrate Trust Mining utilizing 137 BPMN models as an input.” / “Trust Mining’s evaluation provided evidence regarding its feasibility concerning utility and performance.” / “The performance evaluation has shown that all activities of Trust Mining can be executed in near-instant time for process models of average complexity.”  </t>
  </si>
  <si>
    <t xml:space="preserve">“The evaluation in this paper provides a limited first assessment of the concept.” / “Without either future work to mitigate the abstraction bias conceptually or ensuring the same abstraction level manually, the abstraction bias poses a threat to the validity of Trust Mining.” / “Trust Mining cannot analyze aspects of a process that cannot be represented in the model.”  </t>
  </si>
  <si>
    <t>Governance, Trust, Risk or Compliance Technologies</t>
  </si>
  <si>
    <t xml:space="preserve">Identification and Discovery; Modeling, Design and Redesign; Optimization and Continuous Improvement; </t>
  </si>
  <si>
    <t>Strategic Alignment and Competitiveness; Compliance, Trust, Risk and Accountability; Innovation and Capability Development</t>
  </si>
  <si>
    <t>Performance Gains and Quantitative Benefits; Technical or Conceptual Validation</t>
  </si>
  <si>
    <t xml:space="preserve">Methodological and Empirical Validation Limits; </t>
  </si>
  <si>
    <r>
      <rPr>
        <rFont val="Helvetica Neue"/>
        <color rgb="FF1155CC"/>
        <u/>
      </rPr>
      <t>https://www.sciencedirect.com/science/article/pii/S030643792030106X</t>
    </r>
  </si>
  <si>
    <t xml:space="preserve">O artigo caracteriza conceitualmente um conjunto integrado de tecnologias associadas ao BPM para responder às demandas da transformação digital, posicionando-as como necessárias para superar as limitações do BPM clássico: sistemas multiagente (MAS) com agentes BDI, sistemas baseados em conhecimento (ontologias, regras SWRL, modelos de metas), planejamento automatizado (SHOP2 HTN planner), semântica distribucional (Word2vec), process mining (como direção futura) e tecnologias de automação inteligente. </t>
  </si>
  <si>
    <t>"The agileBPM proposes a consolidated modeling methodology that seamlessly integrates business processes, knowledge-intensive and multi-agent systems modeling paradigms and design components. This integration enables seamless utilization and transformation of design time building blocks (such as knowledge, rules, goals, processes, events, etc.) through the whole process execution phases (planning, execution, decision making and adaptation) driven by the intelligent agents."</t>
  </si>
  <si>
    <t>"In addition to the traditional needs of efficiency and optimization, BPM needs to deliver automation-fueled agility in order to capture knowledge-intensive processes and be a key driver of digital transformation. New approaches and methods that extend BPM are needed to enable building complex adaptive systems that react dynamically to changes and bring order out of the chaos."</t>
  </si>
  <si>
    <t>(a) desempenho do módulo de descoberta de processos (Seção 3.1, Figura 6 e Tabela 1): a abordagem híbrida atinge AUC 0,82 e nDCG 0,851, superando abordagens isoladas de matching lógico, sintático e estrutural; (b) resiliência do framework em simulação (Seção 5, Tabela 3): em ambiente com recursos suficientes (HDHB) e 20% de falha de tarefas, o fill rate é 0,97 (4.887 de 5.000 instâncias completadas com sucesso); (c) avaliação comparativa qualitativa contra sistemas concorrentes (ADEPT, SmartPM, Planlets, Go4Flex) na Tabela 4, mostrando agileBPM como a solução mais abrangente. Porém, os resultados são de natureza técnica/simulada (ambiente sintético), sem implantação real em organizações ou métricas de impacto organizacional (redução de tempo de ciclo, ganhos de eficiência, ROI).</t>
  </si>
  <si>
    <t>"One of the main limitations of the present study is that agileBPM considers agents to adopt norms voluntarily and fully cooperative in nature, which is relatively optimistic for inter-organization cooperation and open societies. Secondly, temporal constraints are not yet supported. [...] agileBPM is still a prototype system, it lacks production level requirements such as the migration of running instances in case of a process model change. Also, agileBPM has limited support for learning from historical execution logs through incorporating average process execution times and failure ratios in decision making."</t>
  </si>
  <si>
    <t>Process Mining and Event Logs; Automation, RPA and Workflow/BPMS</t>
  </si>
  <si>
    <t xml:space="preserve">Modeling, Design and Redesign; Execution and Automation; Optimization and Continuous Improvement; </t>
  </si>
  <si>
    <t>Performance Gains and Quantitative Benefits; Organizational Agility and Transformation Outcomes; Technical or Conceptual Validation</t>
  </si>
  <si>
    <t>Methodological and Empirical Validation Limits; Technical Scalability, Interoperability and Integration</t>
  </si>
  <si>
    <r>
      <rPr>
        <rFont val="Helvetica Neue"/>
        <color rgb="FF1155CC"/>
        <u/>
      </rPr>
      <t>https://www.sciencedirect.com/science/article/pii/S030643792030137X</t>
    </r>
  </si>
  <si>
    <t xml:space="preserve">O artigo associa diretamente process mining, event logs, trace clustering, process discovery, process performance indicators e análise automatizada de variantes ao BPM em contexto de transformação digital. Porém, sendo rigoroso, o foco não é transformação digital como iniciativa organizacional nem adoção de tecnologias digitais em processos; o foco é priorização e gestão da “long tail” de processos a partir de dados de execução.
</t>
  </si>
  <si>
    <t xml:space="preserve">“BPM comprises a body of methods, techniques, and tools to identify, discover, analyze, redesign, implement, and monitor business processes in according process lifecycle stages.” / “We answer these RQ on the microscopic level of process variants by employing methods for automated process discovery and analysis from the field of process mining.”  
</t>
  </si>
  <si>
    <t xml:space="preserve">O artigo apresenta objetivos claros para o uso de process mining e indicadores: priorizar processos, identificar potencial de melhoria, apoiar centralização/descentralização de iniciativas BPM, lidar com restrições de recursos e melhorar processos negligenciados. Contudo, esses objetivos não são discutidos como objetivos de adoção tecnológica em uma iniciativa de transformação digital, mas como objetivos de gestão e priorização BPM.
</t>
  </si>
  <si>
    <t xml:space="preserve">O artigo apresenta resultados empíricos com logs reais de três empresas, mostrando que distribuições de processos/variantes seguem uma “long tail” e que process mining permite identificar características do short head e long tail. Porém, os resultados são impactos analíticos/metodológicos; não há implementação de melhoria nem medição de ganhos operacionais após adoção tecnológica.
</t>
  </si>
  <si>
    <t xml:space="preserve">“First, due to a limited data availability, we have only examined four process logs from three Dutch case companies.” / “The event log data does not cover the companies’ entire organizational structure and process landscape but contains traces and events from a single process each.” / “Further opportunities lie in the evaluation of the proposed indicator system and in applying it to a larger number of event logs…”  </t>
  </si>
  <si>
    <t>Data Analytics, BI and Data Mining; Process Mining and Event Logs; Automation, RPA and Workflow/BPMS</t>
  </si>
  <si>
    <t>Strategic Alignment and Competitiveness</t>
  </si>
  <si>
    <t>Performance Gains and Quantitative Benefits</t>
  </si>
  <si>
    <t>https://doi.org/10.1108/JEIM-08-2020-0344</t>
  </si>
  <si>
    <t>O artigo menciona IT/IS tools, emerging technologies, IoT, big data, AI, robotics, ERP, business analytics, e-commerce, e-money, social media marketing e online systems como tecnologias relacionadas à transformação digital de processos de negócio. Porém, o foco principal não é classificar tecnologias associadas ao BPM, mas analisar a relação entre IT/IS proactive capability, socialization knowledge, codification knowledge e enterprise digital business transformation.</t>
  </si>
  <si>
    <t xml:space="preserve">“The digital business concept or business process using emerging technologies tools is understood to produce the flexibility, connectivity, speed and Internet/networks-based of any business transactions activities.” / “IT proactive way in business transformation help firm capability to seek and explore business opportunities such as new business experimentation, new development, new business model and business services flexibility and new virtual coordination with outside business partner.” </t>
  </si>
  <si>
    <t>O artigo apresenta resultados estatísticos com 173 empresas da Indonésia. Mostra que socialization knowledge process influencia positivamente a transformação digital e a capacidade proativa de IT/IS; codification knowledge process influencia IT/IS proactive capability, mas não influencia diretamente a transformação digital; e IT/IS proactive capability influencia positivamente a transformação digital. Porém, os impactos são sobre transformação digital empresarial em geral, não sobre uma tecnologia BPM específica implementada em processos.</t>
  </si>
  <si>
    <t xml:space="preserve">“A research on business process in the digital transformation context has been scarce…” / “Although the literature have begun exploring a holistic view of BPM, but still unexplored understanding of BPM in digital era has yielded a research gap.” / “Future research may try different concept/theory that applicable in enterprise digital business transformation.” / “future research opportunities in different context of enterprise, business model and industries with the current emerging technologies…” </t>
  </si>
  <si>
    <t>Data Analytics, BI and Data Mining; AI, Machine Learning and Intelligent Automation; Automation, RPA and Workflow/BPMS; Enterprise Systems, Cloud, IoT or Integration Technologies</t>
  </si>
  <si>
    <t>Agility, Adaptability and Resilience; Customer/Stakeholder Experience and Service Quality; Innovation and Capability Development</t>
  </si>
  <si>
    <t>Organizational Agility and Transformation Outcomes</t>
  </si>
  <si>
    <t>; Domain or Context-Specific Constraints</t>
  </si>
  <si>
    <r>
      <rPr>
        <rFont val="Helvetica Neue"/>
        <color rgb="FF1155CC"/>
        <u/>
      </rPr>
      <t>https://www.scopus.com/pages/publications/85097754013?origin=resultslist</t>
    </r>
  </si>
  <si>
    <t xml:space="preserve">“BPM is increasingly challenged by the (often disruptive) opportunities of DI using emerging technologies (e.g., social media, mobile and cloud solutions, big data analytics, radio-frequency identification (RFID), sensors, Internet of Things (IoT) and smart devices).” / “IT has always helped BPM to achieve efficiency and customer experience, but with robotic process automation and artificial intelligence, organizations can now leverage data to achieve more advanced process improvements…” </t>
  </si>
  <si>
    <t>O artigo explica que BPM funciona por ciclo de vida e relaciona inovação digital a mudanças em processos, automação, melhoria, experimentação e criação de novos processos. Porém, não mapeia explicitamente cada tecnologia para etapas específicas como modelagem, execução, monitoramento, análise ou melhoria.</t>
  </si>
  <si>
    <t xml:space="preserve">“BPM has traditionally focussed on continuous process improvements, automation and standardization, modern organizations also require process innovation, agility and flexibility.” / “the BPM discipline should not only focus on internal business value (e.g., cost reductions), but also create customer value by aligning business processes with diverse customer requirements.” </t>
  </si>
  <si>
    <t xml:space="preserve">“Almost all (i.e., except for 17 out of 403) surveyed organizations used at least one new digital technology. In the top 5, we found cloud solutions (73.7 %), mobile technologies (65.5 %), social media (62.3 %), big data and business intelligence (50.9 %), IoT and smart devices (48.9 %).” / “Table 3 showed a moderate and positive relationship between BPM and DI…” </t>
  </si>
  <si>
    <t xml:space="preserve">“Since the interplay between business process management (BPM) and DI has been underdeveloped…” / “more research is needed for developing process innovation theories, models and applications that fit different business contexts.” / “The extended TOE framework as well as the related DPI mastery and readiness matrix would benefit from further validation efforts…” 
</t>
  </si>
  <si>
    <t xml:space="preserve">Modeling, Design and Redesign; Execution and Automation; Monitoring, Control and Analysis; Optimization and Continuous Improvement; </t>
  </si>
  <si>
    <t>Efficiency, Cost and Time Reduction; Agility, Adaptability and Resilience; Strategic Alignment and Competitiveness; Customer/Stakeholder Experience and Service Quality; Innovation and Capability Development</t>
  </si>
  <si>
    <t>Limited or Inconclusive Evidence</t>
  </si>
  <si>
    <t>Methodological and Empirical Validation Limits; ; Domain or Context-Specific Constraints</t>
  </si>
  <si>
    <r>
      <rPr>
        <rFont val="Helvetica Neue"/>
        <color rgb="FF1155CC"/>
        <u/>
      </rPr>
      <t>https://www.scopus.com/pages/publications/85084200018?origin=resultslist</t>
    </r>
  </si>
  <si>
    <t xml:space="preserve">“Robotic and cognitive process automation enable the automation of unstructured tasks…” / “the Internet of Things and blockchain enable decentralized and trusted processes” / “Advanced Process Automation — Systematic exploitation of automation technologies (e.g., robotic process automation, cognitive automation, social robotics, and smart devices)…” </t>
  </si>
  <si>
    <t xml:space="preserve">“method- and IT-related capability areas are commonly structured according to the phases of the BPM lifecycle; that is, process design, implementation, execution, monitoring, and improvement.” / “Process Data Analytics — Collection and extraction of process data… and exploitation in all BPM lifecycle phases using analytical methods…” </t>
  </si>
  <si>
    <t xml:space="preserve">“BPM should leverage digital technologies for streamlining and innovating business processes” / “BPM should explore new ways of automating unstructured tasks and complex decisions.” / “BPM should leverage data for predictive and prescriptive purposes.” </t>
  </si>
  <si>
    <t>O artigo apresenta como resultado principal um framework atualizado de capacidades BPM, com 30 áreas de capacidade, das quais 43% são novas, 47% são aprimoradas e 10% permanecem como estão. Porém, não apresenta impactos operacionais de uma implementação tecnológica real em organizações; os resultados são conceituais, baseados em Delphi com especialistas.</t>
  </si>
  <si>
    <t xml:space="preserve">“our results are based on the perceptions of a limited number of experts recruited from our networks. Hence, we can make no formal claims about representativeness…” / “we recommend conducting replication studies with different panels…” / “we recommend applying confirmative methods to analyze which capability areas drive corporate success in different contexts.” </t>
  </si>
  <si>
    <t>Automation, RPA and Workflow/BPMS; Enterprise Systems, Cloud, IoT or Integration Technologies; Governance, Trust, Risk or Compliance Technologies</t>
  </si>
  <si>
    <t>Data-Driven Decision Support</t>
  </si>
  <si>
    <t>Technical or Conceptual Validation; Limited or Inconclusive Evidence</t>
  </si>
  <si>
    <t>Methodological and Empirical Validation Limits; Human, Organizational and Adoption Challenges; ; Domain or Context-Specific Constraints</t>
  </si>
  <si>
    <r>
      <rPr>
        <rFont val="Helvetica Neue"/>
        <color rgb="FF1155CC"/>
        <u/>
      </rPr>
      <t>https://www.scopus.com/pages/publications/85115184919?origin=resultslist</t>
    </r>
  </si>
  <si>
    <t xml:space="preserve">“The survey showed that participants cared primarily about artificial intelligence (25%), robotic process automation (12%), process mining (10%), the Internet of things (8%), cloud technology (7%), big data (6%), and blockchain (6%).” / “he presented two high-level classifications that practitioners commonly use: 1) social, mobile, analytics, and cloud (SMAC) technologies… and 2) distributed ledger, artificial intelligence, extended reality, and quantum computing (DARQ).” </t>
  </si>
  <si>
    <t>O artigo descreve BPM como envolvendo análise, design e melhoria de processos e discute o uso de tecnologias digitais para inovação, redesenho, monitoramento contínuo e identificação de oportunidades. Porém, não mapeia cada tecnologia para fases específicas do ciclo BPM, como modelagem, execução ou monitoramento.</t>
  </si>
  <si>
    <t xml:space="preserve">“The overarching goal of BPM is to increase efficiency, effectiveness, and the customer experience…” / “digital technologies provide unprecedented opportunities for new business models, products, and services…” / “organizations look for means to improve existing business processes… while, at the same time, they embrace and integrate innovation opportunities…” </t>
  </si>
  <si>
    <t>O artigo apresenta resultados de uma série de workshops com praticantes: 150 inscritos, média de 120 participantes por sessão, survey prévio com 80 respostas e survey posterior com 27 respostas. Os resultados identificam percepções, oportunidades, desafios e três direções futuras de pesquisa. Porém, não relata impactos operacionais de uma implementação tecnológica real.</t>
  </si>
  <si>
    <t xml:space="preserve">“To date, we have largely lacked empirical evidence on the interplay between concepts from BPM and digital innovation.” / “practitioners lack awareness about how they should integrate digital innovation activities in their BPM projects.” / “the literature lacks concrete guidance on how to manage BPM projects in the digital innovation context.” </t>
  </si>
  <si>
    <t>Data Analytics, BI and Data Mining; Process Mining and Event Logs; AI, Machine Learning and Intelligent Automation; Automation, RPA and Workflow/BPMS; Enterprise Systems, Cloud, IoT or Integration Technologies</t>
  </si>
  <si>
    <t>Efficiency, Cost and Time Reduction; Customer/Stakeholder Experience and Service Quality; Innovation and Capability Development</t>
  </si>
  <si>
    <t xml:space="preserve">Technical or Conceptual Validation
</t>
  </si>
  <si>
    <t>Methodological and Empirical Validation Limits; Domain or Context-Specific Constraints</t>
  </si>
  <si>
    <r>
      <rPr>
        <rFont val="Helvetica Neue"/>
        <color rgb="FF1155CC"/>
        <u/>
      </rPr>
      <t>https://link.springer.com/10.1007/s41027-022-00383-9</t>
    </r>
  </si>
  <si>
    <t>The IT-BPM Sector is the prime driver for automation, artificial intelligence, IoT and analytics</t>
  </si>
  <si>
    <t>O artigo aponta desafios como lacuna de habilidades, adaptação dos trabalhadores e reformas educacionais. Porém, essas lacunas são sobre mercado de trabalho no setor IT-BPM, não sobre integração entre tecnologias, BPM e transformação digital.</t>
  </si>
  <si>
    <t>Technical Scalability, Interoperability and Integration; Domain or Context-Specific Constraints</t>
  </si>
  <si>
    <r>
      <rPr>
        <rFont val="Helvetica Neue"/>
        <color rgb="FF1155CC"/>
        <u/>
      </rPr>
      <t>https://link.springer.com/10.1007/s10257-021-00549-w</t>
    </r>
  </si>
  <si>
    <t xml:space="preserve">O artigo menciona tecnologias diretamente em cenário de Industry 4.0 / transformação digital e relaciona algumas ao suporte de processos e BPM. Porém, o foco principal não é identificar tecnologias associadas ao BPM, e sim propor uma forma de avaliar maturidade BPM.
</t>
  </si>
  <si>
    <t xml:space="preserve">O artigo relaciona tecnologias a fases como execução, melhoria, identificação/modelagem de processos e avaliação de maturidade, mas não organiza sistematicamente essas tecnologias em todo o ciclo de vida do BPM.
</t>
  </si>
  <si>
    <t>O artigo associa o uso de BPM, maturidade e tecnologias à necessidade de flexibilidade, responsividade, automação, gestão dinâmica e melhor avaliação da maturidade. Porém, os objetivos aparecem mais ligados à adaptação dos modelos de maturidade BPM do que à adoção tecnológica em si.</t>
  </si>
  <si>
    <t>O artigo relata impactos esperados da proposta: avaliação mais realista da maturidade, melhor adaptação do BPM ao contexto digital, apoio à implementação de BPM e suporte a organizações com processos dinâmicos. Porém, é um artigo conceitual, sem avaliação empírica de impactos de tecnologias específicas.</t>
  </si>
  <si>
    <t>O artigo é forte em lacunas: critica BPM MMs tradicionais por não acompanharem transformação digital, não considerarem processos dinâmicos/kiBPs, serem pouco práticos e não estarem integrados ao BPM Lifecycle. Também aponta necessidade de metodologia, ferramentas, estudos de caso e atualização contínua.</t>
  </si>
  <si>
    <t>Conceptual or Indirect Association</t>
  </si>
  <si>
    <t xml:space="preserve">Identification and Discovery; Modeling, Design and Redesign; Execution and Automation; Optimization and Continuous Improvement; </t>
  </si>
  <si>
    <t>Agility, Adaptability and Resilience; Innovation and Capability Development</t>
  </si>
  <si>
    <t>Organizational Agility and Transformation Outcomes; Technical or Conceptual Validation</t>
  </si>
  <si>
    <r>
      <rPr>
        <rFont val="Helvetica Neue"/>
        <color rgb="FF1155CC"/>
        <u/>
      </rPr>
      <t>https://link.springer.com/10.1007/s12599-021-00703-1</t>
    </r>
  </si>
  <si>
    <t>O artigo menciona digital technologies como fonte de oportunidades para BPM exploratório, mas não identifica nem analisa tecnologias específicas em profundidade. O foco é o método Five Diamond, não uma tecnologia específica associada ao BPM.</t>
  </si>
  <si>
    <t>O artigo situa o método principalmente na etapa de redesign e criação de novos processos, dentro do BPM exploratório. Não cobre todo o ciclo de vida BPM nem detalha aplicação tecnológica em modelagem, execução ou monitoramento.</t>
  </si>
  <si>
    <t>O artigo associa tecnologias digitais à identificação de oportunidades, criação de novos processos e novas propostas de valor. Porém, não discute adoção tecnológica organizacional de forma concreta.</t>
  </si>
  <si>
    <t>O artigo relata resultados da aplicação do método, como geração de ideias de processos novos e exemplos com wearables, sensores, big data e plataformas. Porém, são resultados do método exploratório, não impactos diretos da implementação de tecnologias no BPM.</t>
  </si>
  <si>
    <t>O artigo é forte em lacunas: aponta falta de métodos de BPM exploratório, excesso de foco em BPM exploitativo/eficiência, necessidade de integrar oportunidades de tecnologias digitais e limitações de avaliação/contexto.</t>
  </si>
  <si>
    <r>
      <rPr>
        <rFont val="Helvetica Neue"/>
        <color rgb="FF1155CC"/>
        <u/>
      </rPr>
      <t>https://link.springer.com/10.1007/s10515-021-00316-8</t>
    </r>
  </si>
  <si>
    <t>O artigo posiciona NLP e ML como tecnologias disruptivas aplicadas especificamente à fase de redesenho do ciclo de vida do BPM, enquadrando-as como habilitadoras de inovação nos processos. Menciona também outras tecnologias digitais (Blockchain, Azure, Dropbox, Bitcoin) que impactam os processos de negócio no contexto de Digital Innovation (DI). Além disso, o framework de redesenho utilizado (Mansar e Reijers, 2005) inclui "Technology" como um dos quatro elementos do processo, com subcategorias de produtos tangíveis e recursos de informação. No entanto, a caracterização permanece focada em NLP/ML como tecnologia de automação do BPR, sem oferecer uma classificação abrangente do ecossistema tecnológico associado ao BPM.</t>
  </si>
  <si>
    <t>O artigo nomeia explicitamente o ciclo de vida do BPM em cinco fases e localiza com precisão a aplicação das tecnologias NLP e ML na fase de redesenho de processos (BPR). Além disso, o artigo afirma que o impacto das tecnologias digitais emergentes se manifesta em todo o ciclo de vida do BPM, com maior evidência na fase de redesenho. A seção 7.2 explora ainda como Digital Innovation afeta o ciclo completo do BPM.</t>
  </si>
  <si>
    <t xml:space="preserve">associa explicitamente o uso de tecnologias NLP/ML em BPR a dois conjuntos de objetivos organizacionais, distinguindo entre abordagens exploitativas (eficiência, redução de custos, conformidade, velocidade operacional) e exploratórias (inovação, novas proposições de valor, transformação digital). Essa distinção é relevante para a RSL, pois conecta as tecnologias a objetivos organizacionais distintos. No entanto, o artigo não aprofunda empiricamente esses objetivos, tratando-os mais como enquadramento conceitual.
</t>
  </si>
  <si>
    <t>Resultados técnicos de NLP/ML aplicado ao BPR (F1 scores), sem impactos organizacionais mensurados</t>
  </si>
  <si>
    <t>Lacuna na aplicação de tecnologias disruptivas ao BPR; ausência de benchmarks; direções futuras para NLP+BPR</t>
  </si>
  <si>
    <t xml:space="preserve">Modeling, Design and Redesign; Optimization and Continuous Improvement; </t>
  </si>
  <si>
    <t>Efficiency, Cost and Time Reduction; Strategic Alignment and Competitiveness; Innovation and Capability Development</t>
  </si>
  <si>
    <t>Methodological and Empirical Validation Limits</t>
  </si>
  <si>
    <r>
      <rPr>
        <rFont val="Helvetica Neue"/>
        <color rgb="FF1155CC"/>
        <u/>
      </rPr>
      <t>https://ieeexplore.ieee.org/document/9844997/</t>
    </r>
  </si>
  <si>
    <t xml:space="preserve">O artigo associa diretamente Intelligent Automation (IA), RPA, AI, Machine Learning, Big Data Analytics, Business Process Automation e IoT a processos de negócio em contexto de transformação digital. A tecnologia principal é Intelligent Automation, caracterizada como integração de RPA + AI/ML + BPM.
</t>
  </si>
  <si>
    <t>O artigo aplica IA principalmente à automação/execução de processos e à tomada de decisão em um processo de solicitação de serviço. Também menciona identificação e digitalização de processos, mas não organiza a aplicação no ciclo completo do BPM.</t>
  </si>
  <si>
    <t xml:space="preserve">O artigo apresenta objetivos organizacionais claros: melhorar desempenho, competitividade, agilidade, redução de custos, redução de erros, produtividade, tomada de decisão inteligente, escalabilidade e satisfação do cliente.
</t>
  </si>
  <si>
    <t xml:space="preserve">O artigo descreve impactos esperados do framework, como processos mais rápidos, maior capacidade organizacional, redução de custos, melhor experiência do usuário e decisão adaptativa. Porém, é conceitual e não apresenta implementação empírica ou métricas.
</t>
  </si>
  <si>
    <t xml:space="preserve">O artigo identifica lacunas explícitas: pesquisa sobre IA ainda em estágio inovador, necessidade de investigar impactos da IA em processos e desempenho organizacional, atributos de IA responsável, integração entre IA e julgamento humano, e validação futura por estudo de caso/empírico.
</t>
  </si>
  <si>
    <t>Identification and Discovery; Execution and Automation</t>
  </si>
  <si>
    <t>Efficiency, Cost and Time Reduction; Agility, Adaptability and Resilience; Data-Driven Decision Support; Strategic Alignment and Competitiveness; Customer/Stakeholder Experience and Service Quality</t>
  </si>
  <si>
    <t>Improved Decision-Making and Process Visibility; Organizational Agility and Transformation Outcomes; Technical or Conceptual Validation; Limited or Inconclusive Evidence</t>
  </si>
  <si>
    <t xml:space="preserve">Methodological and Empirical Validation Limits; Human, Organizational and Adoption Challenges; Technical Scalability, Interoperability and Integration; </t>
  </si>
  <si>
    <r>
      <rPr>
        <rFont val="Helvetica Neue"/>
        <color rgb="FF1155CC"/>
        <u/>
      </rPr>
      <t>https://ieeexplore.ieee.org/document/10090061/</t>
    </r>
  </si>
  <si>
    <t>O artigo associa diretamente BPMN 2.0, Case-Based Reasoning (CBR), Text Mining (TM), Decision Support System (DSS), JIRA, Lucidchart e técnicas de similaridade/cosseno ao redesenho de um processo de inovação em uma startup digital. A relação com BPM é direta, pois BPMN é usado para modelar/redesenhar o processo e CBR/TM são propostos para apoiar o processamento de feature requests.</t>
  </si>
  <si>
    <t xml:space="preserve">O artigo mostra aplicação clara em etapas de descoberta/levantamento do processo as-is, modelagem, análise, redesenho to-be, otimização e apoio à tomada de decisão. O artigo não trata execução automatizada plena nem monitoramento contínuo, mas é forte em modelagem, análise e melhoria.
</t>
  </si>
  <si>
    <t>O artigo apresenta objetivos organizacionais claros: acelerar o processamento de feature requests, reduzir trabalho manual, melhorar priorização, apoiar decisões baseadas em dados, aumentar objetividade/repetibilidade, melhorar o processo de inovação e atender expectativas de clientes.</t>
  </si>
  <si>
    <t xml:space="preserve">“At this time, the implementation of the CBR approach and the To-Be Process model evaluation is still being carried out.” / “Learning the basics of BPMN diagrams allows employees to visualize changes in the process more clearly.”  
</t>
  </si>
  <si>
    <t xml:space="preserve">“the current literature lacks models allowing automated recommendations to help speed up feature request processing especially for digital startups with a lack of resources.” / “Therefore, the BPMN standard currently needs to be more represented in the context of innovation processes and startups in scientific literature.” / “To fully realize the potential of this approach will require more research and development.”  </t>
  </si>
  <si>
    <t>Modeling, Simulation, Digital Twin and BPMN</t>
  </si>
  <si>
    <t>Efficiency, Cost and Time Reduction; Data-Driven Decision Support; Customer/Stakeholder Experience and Service Quality; Innovation and Capability Development</t>
  </si>
  <si>
    <r>
      <rPr>
        <rFont val="Helvetica Neue"/>
        <color rgb="FF1155CC"/>
        <u/>
      </rPr>
      <t>https://ieeexplore.ieee.org/document/9820099/</t>
    </r>
  </si>
  <si>
    <t xml:space="preserve">Business Process Automation (BPA) is part of the Business Process Management (BPM) discipline and it aims to reengineer and improve processes to reduce inefficiencies, collecting data to discover, enhance and monitor processes.” / “IPA uses RPA, AI models and big data to provide prescriptive analytics and cognitive decision-making based on structured or unstructured data…”  
</t>
  </si>
  <si>
    <t xml:space="preserve">“Workflow platforms are used in BPA to improve processes through automation.” / “These platforms use process and task mining techniques to understand business processes maturity and enable the Robotic Process Automation (RPA) opportunities identification and the observation of process enhancement results.” / “integrating RPA with technologies like machine learning, Natural Language Process (NLP) and data analytics enables digital software assistance to control, manage and improve business processes in real-time and optimize their efficiency.”  
</t>
  </si>
  <si>
    <t xml:space="preserve">“This study answers the research goal of building a strategic model and framework for intelligent process automation implementation, to accelerate companies’ digital transition.” / “These technologies together can imitate human decisions and act upon them, and bring several benefits to companies’ operations.” / “combining several technologies, methods and techniques enables the creation of new business models that lead to DT acceleration.”  
</t>
  </si>
  <si>
    <t>O artigo relata validação positiva por caso de uso hipotético e análise de especialistas. Também informa aumento da pontuação de maturidade digital de 100 para 125 pontos após implementação hipotética de IPA. Porém, sendo rigoroso, os resultados não vêm de uma implementação real completa em organização; são demonstração, avaliação por especialistas e simulação/hipótese.</t>
  </si>
  <si>
    <t xml:space="preserve">“In the academic context, it was possible to find only two general approaches that guide companies in IPA implementation.” / “The limitations are mainly due to time and scope […] The implementation of the whole solution inside an organization would strengthen the results obtained.”  </t>
  </si>
  <si>
    <t>Data Analytics, BI and Data Mining; AI, Machine Learning and Intelligent Automation; Automation, RPA and Workflow/BPMS</t>
  </si>
  <si>
    <t xml:space="preserve">Identification and Discovery; Execution and Automation; Monitoring, Control and Analysis; </t>
  </si>
  <si>
    <t>Data-Driven Decision Support; Strategic Alignment and Competitiveness</t>
  </si>
  <si>
    <t>Technical or Conceptual Validation</t>
  </si>
  <si>
    <t>Domain or Context-Specific Constraints</t>
  </si>
  <si>
    <r>
      <rPr>
        <rFont val="Helvetica Neue"/>
        <color rgb="FF1155CC"/>
        <u/>
      </rPr>
      <t>https://www.sciencedirect.com/science/article/pii/S1755581721001929</t>
    </r>
  </si>
  <si>
    <t xml:space="preserve">O artigo associa diretamente BPM, BPR, Industry 4.0, BPMN, CRISP-DM/ML, process mining, simulation, digital twins, IoT, CPS, MES, AI/ML, RPA, cloud computing, ontologies, semantic models e KPIs ao desenvolvimento de soluções I4.0. 
</t>
  </si>
  <si>
    <t xml:space="preserve">“The BPM life cycle is a comprehensive concept which enables the organizational transformation of processes to be managed. Its phases are the following: process identification, process discovery, process analysis, process redesign, process implementation, process monitoring and process control.” / “In Table 1, we determine I4.0-induced, data-driven applications, tools, and methods can be integrated into the phases of the BPM life cycle…”  </t>
  </si>
  <si>
    <t xml:space="preserve">“The purpose of this paper is to develop a methodology to improve data-driven process development, resulting in an evidence-based decision support tool in BPM. It aims to facilitate digital transformation and the conversion of production into flexible manufacturing systems, therefore, improving business agility.” / “Organizations must innovate and optimize their business processes to maintain their competitive advantage in the market and rebound business agility.”  </t>
  </si>
  <si>
    <t xml:space="preserve">“all the suggestions improve the performance of the manufacturing unit.” / “In the second case, the milling operators can handle more CNC machines, which would suggest a significant increase in capacity. The quantity produced per shift rose from 25 to 35 to be exact.” / “using the developed prediction models, the root mean squared error (RMSE) decreased from 2.5 min to 1.4 min in the case of Operator_1, and it decreased from 4.5 min to 1.9 min in the case of Operator_2…”  
</t>
  </si>
  <si>
    <t xml:space="preserve">“The application of the methodology requires the capability to adapt to I4.0 technologies and organizational changes.” / “The data-driven redesign of business processes is resource-intensive due to high complexity data and expects an integrated data management system to ensure overall data availability within the organization.” / “Such as data reliability, correctness and completeness, as well as event logs should be recorded in a way to ensure privacy and security.”  
</t>
  </si>
  <si>
    <t>Process Mining and Event Logs; AI, Machine Learning and Intelligent Automation; Automation, RPA and Workflow/BPMS; Modeling, Simulation, Digital Twin and BPMN; Enterprise Systems, Cloud, IoT or Integration Technologies</t>
  </si>
  <si>
    <t>Agility, Adaptability and Resilience; Data-Driven Decision Support; Strategic Alignment and Competitiveness</t>
  </si>
  <si>
    <t>Performance Gains and Quantitative Benefits; Automation, Standardization and Process Quality; Technical or Conceptual Validation</t>
  </si>
  <si>
    <t>Technical Scalability, Interoperability and Integration; Privacy, Security, Ethics and Governance</t>
  </si>
  <si>
    <r>
      <rPr>
        <rFont val="Helvetica Neue"/>
        <color rgb="FF1155CC"/>
        <u/>
      </rPr>
      <t>https://doi.org/10.1108/BPMJ-07-2021-0484</t>
    </r>
  </si>
  <si>
    <t>O artigo menciona tecnologias digitais associadas à digitalização de processos e ao BPM, como SMAC — social, mobile, analytics e cloud —, DARQ — distributed ledger, artificial intelligence, extended reality e quantum computing —, além de IoT platform, industrial IoT, predictive maintenance, big data analytics e RPA nos projetos analisados. Porém, o foco principal não é classificar tecnologias em BPM, mas identificar fatores de sucesso de projetos de digitalização de processos.</t>
  </si>
  <si>
    <t>O artigo descreve o ciclo de vida BPM, incluindo identification, discovery, analysis, implementation, execution, monitoring, controlling and improvement, e afirma que tecnologias digitais são usadas para melhorar e inovar processos. Também cita process design e process monitoring como fatores de sucesso. Porém, não mapeia tecnologias específicas para cada fase do ciclo BPM.</t>
  </si>
  <si>
    <t xml:space="preserve">“we refer to projects that leverage DTs for improving business processes in terms of effectiveness and efficiency as process digitalization projects (PDPs).” / “Operationally speaking, PDPs must advance cost, flexibility, quality, time and/or customer satisfaction.” / “The PDP success model links 38 candidate SFs distributed across seven literature-backed categories with PDP success criteria.” </t>
  </si>
  <si>
    <t>O artigo apresenta como resultado principal um modelo de sucesso para projetos de digitalização de processos, com 38 fatores de sucesso candidatos, organizados em sete categorias: strategy, structure, culture, people, process, project e technology. Porém, não relata impactos operacionais de uma implementação tecnológica específica em processos; os resultados são conceituais/exploratórios.</t>
  </si>
  <si>
    <t xml:space="preserve">“guidance on the successful implementation of PDPs is missing.” / “knowledge is in its infancy.” / “Our findings must be interpreted considering certain limitations…” / “future research should challenge the PDP success model through literature reviews and interviews in other domains.” / “the explanatory power of the PDP success model yet needs to be investigated through confirmatory research…” </t>
  </si>
  <si>
    <t>Efficiency, Cost and Time Reduction; Agility, Adaptability and Resilience; Customer/Stakeholder Experience and Service Quality</t>
  </si>
  <si>
    <r>
      <rPr>
        <rFont val="Helvetica Neue"/>
        <color rgb="FF1155CC"/>
        <u/>
      </rPr>
      <t>https://www.scopus.com/pages/publications/85111540234?origin=resultslist</t>
    </r>
  </si>
  <si>
    <t xml:space="preserve">“we propose a bottom-up approach, which applies a continuously evolving graph of integrated data objects and tasks to model and store static and dynamic aspects of administrative as well as knowledge work…” / “Keywords: Graph-structured data; Business process management; Knowledge work; Process mining; Graph mining; Privacy” / “The TEAM System is divided into a server (backend) and a client (frontend). The server is implemented using the Java Spring application framework, especially SpringBoot and the multi-model database ArangoDB for storing the graph data.” </t>
  </si>
  <si>
    <t>O artigo não organiza as tecnologias segundo o ciclo clássico de BPM, como modelagem, execução, monitoramento, análise e melhoria. Porém, descreve claramente aplicações em modelagem/representação, execução orientada por dados, rastreamento/tracing, mineração/análise, aprendizagem a partir de sequências de tarefas, predição de próximas tarefas e melhoria/suporte ao usuário.</t>
  </si>
  <si>
    <t xml:space="preserve">“The overall vision for the TEAM model… is to support people to effectively and efficiently work on their predefined administrative tasks as well as on flexible knowledge-intensive ones.” / “This traceability is crucial, not only for legal security reasons, but also to enable mining and learning of applicable knowledge about processes.” / “The opportunity for individual and organizational learning from previous work requires adequate support.” </t>
  </si>
  <si>
    <t xml:space="preserve">“The practical value of this approach for the legal domain has been demonstrated in a prototype, which was provided to five patent law firms in Austria… user feedback was continuously collected from administrative staff (8 users) and knowledge workers (9 users).” / “The initial import results in 14,097 data objects, 1,680 tasks and 51,959 task relations. Executing the proposed instance data dependency-based mining approach reduced these task relations to 4,761 instance data dependencies, which were mapped to 95 type data dependencies.” </t>
  </si>
  <si>
    <t xml:space="preserve">“From a process perspective, the need for a high degree of adaptability… does not fit with traditional activity-centric BPM systems…” / “Applying graph anonymization on our heterogeneous structures is not straight-forward and an open research challenge.” / “the presented approach is promising, but… further adjustments to the mining algorithm are necessary in order to reliably identify, especially longer, data dependency paths…” / “Further testing is also necessary.” </t>
  </si>
  <si>
    <t>Process Mining and Event Logs; Governance, Trust, Risk or Compliance Technologies</t>
  </si>
  <si>
    <t>Efficiency, Cost and Time Reduction; Agility, Adaptability and Resilience; Compliance, Trust, Risk and Accountability; Innovation and Capability Development</t>
  </si>
  <si>
    <t xml:space="preserve">Technical Scalability, Interoperability and Integration; </t>
  </si>
  <si>
    <r>
      <rPr>
        <rFont val="Helvetica Neue"/>
        <color rgb="FF1155CC"/>
        <u/>
      </rPr>
      <t>https://www.scopus.com/pages/publications/85147442038?origin=resultslist</t>
    </r>
  </si>
  <si>
    <t>O artigo associa diretamente BPM à transformação digital em um caso aplicado no setor aeronáutico, mas não classifica tecnologias em profundidade. A tecnologia central é a implementação de um ERP system conectado a uma self-service digital platform, além de Arena simulation software para validação. Também menciona tecnologias de Industry 4.0 como augmented reality e additive manufacturing, mas estas aparecem apenas na revisão de literatura, não na solução implementada.</t>
  </si>
  <si>
    <t xml:space="preserve">“The proposed model comprises four components, which employ the Deming Cycle or PDCA as a strategy based on continuous improvement.” / “the first step is the identification of processes that present a lack of digitization… the process is analyzed… the process has to be redesigned based on technological methodologies… the implementation of the digital transformation based on BPM and Lean is proposed… validation, monitoring, and control of the redesign is determined.” </t>
  </si>
  <si>
    <t xml:space="preserve">“The main objective of this research is to increase productivity through the proposed new model and reduce unproductive times.” / “The purpose of the redesign of the process is to avoid excess time in the attention of requests… avoiding costs of overtime and reimbursements…” / “the implementation of digitized tools reduces delays, rework and unnecessary stops.” </t>
  </si>
  <si>
    <t>“giving as a result of the validation, the increase of attention rate by 26.4%, the reduction of the rejection rate by 2.09%, the increase of the registration efficiency by 32.59%, and a significant reduction of the cycle time by 87.37%; obtaining as a key result the increase of productivity by 18.62%…” / “E1 62.00%… E2 80.62%… Variation +18.62%…”</t>
  </si>
  <si>
    <t>O artigo menciona limitações contextuais e lacunas na literatura, como falta de metodologias que integrem transformação digital e Lean em áreas de manutenção aeronáutica, alto investimento para tecnologias, falta de regulação no setor aeronáutico e resistência à mudança. Porém, não há uma seção robusta de limitações do próprio estudo nem uma agenda futura detalhada.</t>
  </si>
  <si>
    <t>Modeling, Simulation, Digital Twin and BPMN; Enterprise Systems, Cloud, IoT or Integration Technologies</t>
  </si>
  <si>
    <t>Efficiency, Cost and Time Reduction</t>
  </si>
  <si>
    <t>Human, Organizational and Adoption Challenges; Domain or Context-Specific Constraints</t>
  </si>
  <si>
    <r>
      <rPr>
        <rFont val="Helvetica Neue"/>
        <color rgb="FF1155CC"/>
        <u/>
      </rPr>
      <t>https://www.scopus.com/pages/publications/85142936679?origin=resultslist</t>
    </r>
  </si>
  <si>
    <t xml:space="preserve">“The application of machine learning, natural language processing, robotic process automation into the business core challenges companies to an increasing number of routine tasks to be automated.” / “RPA in this context is considered as a key for replacing humans’ repetitive tasks by automating them.” / “Business process management competence and business process maturity are prerequisite to process automation.” </t>
  </si>
  <si>
    <t>O artigo não organiza explicitamente as tecnologias segundo o ciclo BPM clássico, como modelagem, execução, monitoramento, análise e melhoria. Porém, relaciona automação a atividades de análise de processo, identificação de melhorias, padronização, monitoramento, controle, execução do projeto, pós-análise e mensuração de benefícios. O framework proposto também inclui fases de pre-study/initiation, planning, execution e post analysis.</t>
  </si>
  <si>
    <t xml:space="preserve">“Business process automation mission stay same through years – to reduce human intervention in the process.” / “RPA in this context is considered as a key for replacing humans’ repetitive tasks by automating them.” / “It helps to improve efficiency, enable process standardization, speed-up daily operations, eliminate recurring manual processes and make decisions faster.” </t>
  </si>
  <si>
    <t>O artigo relata oportunidades e benefícios esperados da automação no varejo, além de citar resultados de pesquisa com funcionários do varejo letão: 78,6% destacaram aumento de produtividade e 82% confirmaram benefícios da automação. Também apresenta uma tabela com oportunidades de automação por elementos da cadeia de valor do varejo. Porém, o artigo não apresenta uma implementação empírica detalhada de RPA com métricas antes/depois em uma empresa específica.</t>
  </si>
  <si>
    <t xml:space="preserve">“Although there are frameworks available describing process automation implementation, there is limited research available specifically for the retail industry.” / “The main reason is not a technology itself, but the lack of an action plan and guidelines.” / “Next research direction is an elaboration of the methodology for pre-analysis and post-analysis for the RPA process automation projects…” 
</t>
  </si>
  <si>
    <t>AI, Machine Learning and Intelligent Automation; Automation, RPA and Workflow/BPMS</t>
  </si>
  <si>
    <t xml:space="preserve">Identification and Discovery; Execution and Automation; Optimization and Continuous Improvement; </t>
  </si>
  <si>
    <t>Efficiency, Cost and Time Reduction; Data-Driven Decision Support</t>
  </si>
  <si>
    <t>Performance Gains and Quantitative Benefits; Automation, Standardization and Process Quality; Limited or Inconclusive Evidence</t>
  </si>
  <si>
    <t xml:space="preserve">“At this level, data is stored format-independent, and media discontinuities are minimised by applying smart technologies, such as Artificial Intelligence (AI), Blockchain, Cloud Computing, or Big Data Analytics.” / “Associated digital technologies are sophisticated ERP systems, including business intelligence applications… Automatic processing can also be realised using simple yet emerging digital technologies like Robotic Process Automation.” / “The fifth level involves the application of highly sophisticated digital systems and technologies based on real-time data processing and innovative approaches, such as AI, Business Intelligence, Blockchain, or the Internet of Things.” </t>
  </si>
  <si>
    <t xml:space="preserve">“BPM poses a holistic management practice that incorporates an entity’s business processes through continuous process identification, modelling, analysis, redesign, implementation, monitoring, and control to improve organisational efficiency.” / “The first step is to map the selected business process and visualise the inter-dependencies between the process activities and related IT systems and information flow.” / “The proposed improvement measures are deduced from our literature review and the regular meetings and expert interviews at EAT.” 
</t>
  </si>
  <si>
    <t xml:space="preserve">“organisations are in urgent need to develop capabilities leveraging information technology (IT) to enhance productivity, improve decision-making, and optimise information processing.” / “EAT requires a practical tool focusing on the associated IT systems and information flow to analyse and improve the digital maturity of capabilities relevant to business process performance to facilitate the ongoing digital transformation.” / “The maturity levels describe a possible development path guiding the digital transformation of business processes and related capabilities.” </t>
  </si>
  <si>
    <t xml:space="preserve">“we apply the practice-oriented Action Design Research methodology to introduce our comprehensive and prescriptive ‘BPMMxIT’ maturity model that integrates the IT and BPM perspectives.” / “The assessment of the IT perspective for the sales order process resulted in a digital maturity DMIT of 2.48… The self-assessment questionnaire for the BPM perspective yielded a digital maturity DMBPM of 3.08… the final digital maturity level DMTotal of the sales order process is 2.66.” 
</t>
  </si>
  <si>
    <t xml:space="preserve">“existing models are primarily descriptive, with limited prescriptive features and guidance to improve the current state.” / “our findings could suffer from a limited number of informants and potential bias…” / “the proposed BPMMxIT artefact results from an empirical inquiry within one organisation of a specific branch…” / “future studies should examine the applicability and transferability of our maturity model to different process types.” </t>
  </si>
  <si>
    <t xml:space="preserve">Identification and Discovery; Modeling, Design and Redesign; Execution and Automation; Monitoring, Control and Analysis; Optimization and Continuous Improvement; Governance and Strategic Alignment; </t>
  </si>
  <si>
    <t>Data-Driven Decision Support; Strategic Alignment and Competitiveness; Innovation and Capability Development</t>
  </si>
  <si>
    <r>
      <rPr>
        <rFont val="Helvetica Neue"/>
        <color rgb="FF1155CC"/>
        <u/>
      </rPr>
      <t>https://ieeexplore.ieee.org/document/10169836/</t>
    </r>
  </si>
  <si>
    <t>O artigo associa BPM à transformação digital em bancos islâmicos e menciona tecnologias como BPM system, BPMN, automação, internet/mobile banking, IA, blockchain, smart contracts, data warehouses e FinTech. Porém, a maior parte dessas tecnologias aparece em revisão/contexto, sem análise detalhada de uso no BPM. A tecnologia mais diretamente ligada ao BPM é BPMN/BPM system para automação/modelagem.</t>
  </si>
  <si>
    <t xml:space="preserve">O artigo descreve explicitamente o ciclo de vida BPM: identificação, descoberta, análise, redesign, implementação e monitoramento. Também aplica BPMN a um processo bancário de solicitação de empréstimo.
</t>
  </si>
  <si>
    <t xml:space="preserve">O artigo apresenta objetivos organizacionais claros: enfrentar desafios administrativos/técnicos, automatizar negócios, melhorar efetividade e competitividade, reduzir custos, economizar tempo, agilizar transações e melhorar experiência do cliente.
</t>
  </si>
  <si>
    <t>O artigo afirma que uma etapa foi implementada no Libyan Islamic Bank e teve resultados encorajadores, mas não apresenta métricas, dados detalhados ou avaliação robusta.</t>
  </si>
  <si>
    <t>O artigo aponta desafios administrativos, técnicos e tecnológicos, além da necessidade de equipes qualificadas e implementação por estágios. Porém, não discute lacunas de pesquisa de forma sistemática.</t>
  </si>
  <si>
    <t>Data Analytics, BI and Data Mining; Automation, RPA and Workflow/BPMS; Modeling, Simulation, Digital Twin and BPMN; Enterprise Systems, Cloud, IoT or Integration Technologies</t>
  </si>
  <si>
    <t>Efficiency, Cost and Time Reduction; Agility, Adaptability and Resilience; Strategic Alignment and Competitiveness; Customer/Stakeholder Experience and Service Quality</t>
  </si>
  <si>
    <r>
      <rPr>
        <rFont val="Helvetica Neue"/>
        <color rgb="FF1155CC"/>
        <u/>
      </rPr>
      <t>https://ieeexplore.ieee.org/document/10169815/</t>
    </r>
  </si>
  <si>
    <t>O artigo menciona tecnologias associadas ao BPM, como process modeling, ERP, simulation applications, BPMS, BPMN, ferramentas de automação como Camunda, Bonita, Process Maker, Bizagi e JBPM, além de ICT. Porém, o foco principal é a implantação de um projeto BPM e formação de equipe na universidade, não a análise detalhada dessas tecnologias no BPM.</t>
  </si>
  <si>
    <t xml:space="preserve">O artigo descreve a aplicação do ciclo BPM no projeto da LIMU, incluindo identificação, descoberta, modelagem as-is, futura análise, melhoria/implementação, e testes com ferramentas de automação.
</t>
  </si>
  <si>
    <t xml:space="preserve">O artigo associa BPM e tecnologias a objetivos como transformação digital, melhoria da qualidade educacional, eficiência, satisfação do cliente, redução de desperdício e mudança de gestão funcional para gestão por processos. Porém, os objetivos são mais ligados ao projeto BPM institucional do que à adoção de tecnologias específicas.
</t>
  </si>
  <si>
    <t>O artigo relata progresso do projeto: seleção e treinamento de equipe, workshops, documentação/modelagem de processos e testes com ferramentas. Porém, não apresenta métricas objetivas de impacto operacional ou resultados quantitativos da adoção tecnológica.</t>
  </si>
  <si>
    <t>O artigo aponta limitações práticas, como falta de especialistas em BPM na Líbia e necessidade de conhecimento/competências em BPM, mas não discute lacunas de pesquisa de forma sistemática sobre integração entre tecnologias, BPM e transformação digital.</t>
  </si>
  <si>
    <t>Performance Gains and Quantitative Benefits; Technical or Conceptual Validation; Limited or Inconclusive Evidence</t>
  </si>
  <si>
    <t xml:space="preserve">Human, Organizational and Adoption Challenges; Technical Scalability, Interoperability and Integration; </t>
  </si>
  <si>
    <r>
      <rPr>
        <rFont val="Helvetica Neue"/>
        <color rgb="FF1155CC"/>
        <u/>
      </rPr>
      <t>https://ieeexplore.ieee.org/document/10146729/</t>
    </r>
  </si>
  <si>
    <t>O artigo identifica três "alavancas" de transformação digital aplicadas à digitalização de processos de procurement: Business Process Management (BPM), Natural Language Processing (NLP — especificamente como analisador de texto e sentimento baseado em AI/NLP/ML) e Robotic Process Automation (RPA). Contudo, o BPM é tratado como uma ferramenta tecnológica de automação de processos, não como uma metodologia de gestão de processos, e sua caracterização técnica é superficial. O artigo não descreve o que são as capacidades internas do BPM, nem explora a interação entre BPM e as demais tecnologias em profundidade. Não há taxonomia, não há classificação estruturada, e as tecnologias são mencionadas predominantemente como categorias nominais.</t>
  </si>
  <si>
    <t>artigo articula objetivos organizacionais relacionados à digitalização de procurement: eficiência operacional, redução de intervenções manuais, redução de custos, melhoria da experiência do usuário (funcionário), e alocação de trabalho otimizada. O objetivo central e original da pesquisa é medir o impacto da transformação digital sobre a satisfação dos funcionários — uma perspectiva de RH raramente explorada em estudos BPM. Contudo, os objetivos de digitalização são apresentados de forma genérica, sem vinculação explícita à estratégia de transformação digital da organização ou a objetivos de BPM enquanto metodologia.</t>
  </si>
  <si>
    <t>O artigo apresenta resultados quantitativos específicos: eJSI médio de 95,31% (≥ limiar de 95%), P-valor do T-test = 0,158336 (&gt;0,05, não rejeita H0), e percentuais de melhoria por dimensão — Transparência do trabalho: +120%; Alocação de trabalho: +109%; Eficiência e Significância do trabalho: +40-45%; Adequação de função: +25%. Porém, estes são resultados de satisfação de funcionários com a digitalização (BPM+RPA+NLP), não métricas de desempenho dos processos em si (tempo, custo, qualidade). O impacto específico do BPM isolado dos demais componentes (RPA, NLP) é parcialmente analisado no gráfico relacional, mas sem valores numéricos discriminados.</t>
  </si>
  <si>
    <t>O artigo reconhece limitações implícitas — tamanho da amostra reduzido (N=28, estudo de caso único), contexto setorial específico (empresa de distribuição de energia elétrica da Malásia), e cobertura de apenas 3 perspectivas de transformação digital (BPM, RPA, NLP) — mas não as articula em seção dedicada de limitações, nem formula explicitamente direções de pesquisa futura. As limitações são dispersas no texto da metodologia e da conclusão, sem sistematização.</t>
  </si>
  <si>
    <t>Efficiency, Cost and Time Reduction; Strategic Alignment and Competitiveness; Customer/Stakeholder Experience and Service Quality</t>
  </si>
  <si>
    <t>Performance Gains and Quantitative Benefits; Automation, Standardization and Process Quality; Customer/Stakeholder and Service Outcomes; Limited or Inconclusive Evidence</t>
  </si>
  <si>
    <t>Methodological and Empirical Validation Limits; Technical Scalability, Interoperability and Integration; Domain or Context-Specific Constraints</t>
  </si>
  <si>
    <r>
      <rPr>
        <rFont val="Helvetica Neue"/>
        <color rgb="FF1155CC"/>
        <u/>
      </rPr>
      <t>https://ieeexplore.ieee.org/document/10434531/</t>
    </r>
  </si>
  <si>
    <t>O artigo associa diretamente blockchain technology ao BPM, à Industry 4.0 e à transformação digital. Também caracteriza blockchain como tecnologia segura, descentralizada, transparente, voltada a smart contracts, digital contract operations, workflow management e processos interorganizacionais.</t>
  </si>
  <si>
    <t>O artigo discute uso de blockchain em process automation, workflow management, digital contract operations, colaboração interorganizacional, pagamentos, segurança e transparência. Porém, não organiza explicitamente essas aplicações nas etapas formais do ciclo BPM, como modelagem, execução, monitoramento, análise ou melhoria.</t>
  </si>
  <si>
    <t xml:space="preserve">O artigo apresenta objetivos claros: aumentar transparência, eficiência, precisão da informação, satisfação do cliente, segurança, colaboração interorganizacional, redução de intervenção externa/humana e otimização de processos.
</t>
  </si>
  <si>
    <t>O artigo relata impactos esperados/percebidos da blockchain no BPM, como melhoria em processos interorganizacionais, automação por smart contracts, segurança e transparência. Porém, apesar de se chamar empírico, não apresenta dados quantitativos claros, amostra detalhada ou resultados robustos de implementação.</t>
  </si>
  <si>
    <t xml:space="preserve">O artigo aponta dificuldades claras: escalabilidade, segurança dos dados, conformidade legal/regulatória, privacidade, custo, confiança dos usuários, baixa maturidade da tecnologia e limitação metodológica da própria pesquisa.
</t>
  </si>
  <si>
    <t>Automation, RPA and Workflow/BPMS; Enterprise Systems, Cloud, IoT or Integration Technologies</t>
  </si>
  <si>
    <t xml:space="preserve">Modeling, Design and Redesign; Execution and Automation; Monitoring, Control and Analysis; Optimization and Continuous Improvement; Governance and Strategic Alignment; </t>
  </si>
  <si>
    <t>Efficiency, Cost and Time Reduction; Data-Driven Decision Support; Customer/Stakeholder Experience and Service Quality</t>
  </si>
  <si>
    <t>Data Quality, Availability and Generalizability; Human, Organizational and Adoption Challenges; Technical Scalability, Interoperability and Integration; Privacy, Security, Ethics and Governance</t>
  </si>
  <si>
    <r>
      <rPr>
        <rFont val="Helvetica Neue"/>
        <color rgb="FF1155CC"/>
        <u/>
      </rPr>
      <t>https://ieeexplore.ieee.org/document/10111453/</t>
    </r>
  </si>
  <si>
    <t>O artigo apresenta resultados empíricos indicando relação significativa entre Green BPM, Quality 4.0 e Competitive Advantage. Porém, os impactos são medidos em nível conceitual/estatístico, sem demonstrar aplicação tecnológica específica em processos de negócio.</t>
  </si>
  <si>
    <t>Automation, Standardization and Process Quality; Technical or Conceptual Validation</t>
  </si>
  <si>
    <r>
      <rPr>
        <rFont val="Helvetica Neue"/>
        <color rgb="FF1155CC"/>
        <u/>
      </rPr>
      <t>https://ieeexplore.ieee.org/document/10152964/</t>
    </r>
  </si>
  <si>
    <t xml:space="preserve">“We propose a Business Process Model and Notation (BPMN) used to convert the natural language of SC processes into process diagrams with graphical elements.”
“Thus, we develop a static and dynamic model that represents the SC using a generic modeling approach based on Supply Chain Operations Reference (SCOR) and BPMN.”
“As part of the SCM digitization and its transformation into SCM 4.0, the ‘Enable’ process was added to the Level 1 processes in SCOR version 12.0.”  </t>
  </si>
  <si>
    <t xml:space="preserve">“BPMN is the most widely used and most important visual modeling method for modeling business processes.”
“In this study we use BPMN version 2.0 to present SC business processes in a generic approach.”
“From the SC perspective, the objective may come from business process redesign, product quality, improvement/automation and monitoring of SC business processes.”  </t>
  </si>
  <si>
    <t>“Systems modeling is a crucial step that comes before performance evaluation. Moreover, it allows us to better understand the company’s flows, either to help in decision-making or to improve its Manufacturing Planning.”
“The objective of this business process modeling work is to make the process implicit, explicit and understandable in order to open to process improvement and digitalization.”
“Our main objectives are as follows: Design the Supply Chain operational processes. Explain SC business processes to pave the way for process digitization. Improve products quality.”</t>
  </si>
  <si>
    <t xml:space="preserve">“The detailed activities in this step serve as fundamental building entities for the implementation of the business process illustrated in BPMN Fig.1.”
“The BPMN-based SC modeling framework enables the design, modeling, simulation and manipulation of an agent-based SC model and provides a high level of scalability and flexibility.”
“The BPMN-based model serves as a qualitative and quantitative tool to understand the activities of SC links and thus support decision-making in the SC…”  </t>
  </si>
  <si>
    <t xml:space="preserve">O artigo aponta lacunas relacionadas à ausência de ferramentas completas de modelagem que integrem diferentes visões, conceitos, aspectos dinâmicos e gerenciamento de eventos. Também afirma que o SCOR é uma ferramenta estática e precisa ser combinado com modelo dinâmico. Porém, o artigo não apresenta uma seção robusta de limitações do próprio estudo nem uma discussão sistemática de lacunas futuras sobre BPM, tecnologias e transformação digital.
</t>
  </si>
  <si>
    <t>AI, Machine Learning and Intelligent Automation; Modeling, Simulation, Digital Twin and BPMN</t>
  </si>
  <si>
    <t>Performance Gains and Quantitative Benefits; Improved Decision-Making and Process Visibility; Technical or Conceptual Validation</t>
  </si>
  <si>
    <r>
      <rPr>
        <rFont val="Helvetica Neue"/>
        <color rgb="FF1155CC"/>
        <u/>
      </rPr>
      <t>https://www.sciencedirect.com/science/article/pii/S2452414X23000468</t>
    </r>
  </si>
  <si>
    <t>O artigo associa Industrial Information Integration (III) à melhoria da precisão do BPM no problema de alocação de recursos. Também menciona tecnologias como ICT, EAI, SOA, IoT, AI, ERP, digital twins, digital shadows, blockchain, modelos de otimização e simulação. Porém, sendo rigoroso, essas tecnologias são discutidas no contexto de resource allocation problem e industrial information integration, não como tecnologias de BPM analisadas sistematicamente.</t>
  </si>
  <si>
    <t>O artigo não usa explicitamente o ciclo de vida BPM clássico. Ainda assim, aplica III, métodos algorítmicos, otimização e simulação principalmente a planejamento, controle, análise, alocação de recursos, tomada de decisão e melhoria de processos. Não há evidência de modelagem BPMN, execução de workflows ou monitoramento BPM formal.</t>
  </si>
  <si>
    <t xml:space="preserve">We have a broad view of resource allocation to the applicants through the prism of information integration, including sustainable development, systems performance improvement, and strategic goals achievement.” / “the RAP relies on efficient integration opportunities within an industrial multi-project system enabling transparent strategic goals transfer, cooperation, and operational excellence with a high service level provided.”  
</t>
  </si>
  <si>
    <t xml:space="preserve">O artigo valida o framework com um caso numérico de alocação de caminhões em rotas de entrega e relata precisão de 95% nos cálculos. Porém, os resultados são baseados em simulação/caso modelado, não em implementação real de BPM em uma organização.
</t>
  </si>
  <si>
    <t xml:space="preserve">“The research gap of our study is reflected in the less conceptual bridge between multi-project management, planning and control, operations research and systematic approach to the RAP in complex industrial systems through the prism of III.” / “To improve the RAP methods, there can be considered more parameters relevant to certain industries or projects to provide more justified solutions. Concerning these improvements, a higher level of informational integration is required…” </t>
  </si>
  <si>
    <t>AI, Machine Learning and Intelligent Automation; Modeling, Simulation, Digital Twin and BPMN; Enterprise Systems, Cloud, IoT or Integration Technologies</t>
  </si>
  <si>
    <t>Efficiency, Cost and Time Reduction; Data-Driven Decision Support; Strategic Alignment and Competitiveness; Customer/Stakeholder Experience and Service Quality; Sustainability and Resource Optimization</t>
  </si>
  <si>
    <r>
      <rPr>
        <rFont val="Helvetica Neue"/>
        <color rgb="FF1155CC"/>
        <u/>
      </rPr>
      <t>https://www.sciencedirect.com/science/article/pii/S0306437923000200</t>
    </r>
  </si>
  <si>
    <t>NLP (Natural Language Processing), machine learning semi-supervisionado (Label Propagation, Label Spreading, Self-Training, Pseudo-Labeling, Decision Trees, Random Forest, SVM), process mining (PM), modelagem de tópicos (LDA, LSI), e LIWC como baseline comparativo.</t>
  </si>
  <si>
    <t>"BPM investigates the potentials of NLP to benefit from its maturity and availability in multiple BP applications providing support to different BPM lifecycle phases. In the following, relevant research is reviewed according to BPM lifecycle phases. In the BP discovery phase [...] The next phase of the BPM lifecycle, i.e., BP analysis [...] In the following BP redesign phase [...] In addition to typical monitoring techniques for assessing performance and conformity requirements, in the BP controlling phase [...]"</t>
  </si>
  <si>
    <t>(1) melhoria e redesenho de processos — "organizations can have a more comprehensive way of identifying process redesign and improvement opportunities"; (2) eficiência operacional e qualidade — "BPM has become popular as a well-known way to enable efficient business operations and improvements in quality and productivity"; (3) resiliência na transformação digital — "it continually demands them to have a thorough understanding of their BPs and operations to remain resilient"; (4) gestão data-driven — "To accomplish a data-driven service delivery"; (5) conformidade com SLAs. Os objetivos são presentes e conectados ao uso de tecnologias, mas servem principalmente como motivação contextual para a proposta técnica, não como objeto de análise sistemática.</t>
  </si>
  <si>
    <t>O artigo reporta resultados quantitativos e qualitativos robustos de um estudo de caso real (4.982 tickets de serviço, ~37K eventos): (1) desempenho de predição de complexidade textual: Bagged Decision Trees com Pseudo-Labeling atingiu F-score ponderado 0,943 com features DML/estilísticas vs. 0,865 com LIWC (ganho médio de 7,5%); (2) correlações fortes e significativas entre complexidade textual (TD) e complexidade de execução (EL): coef. 0,968 (p=0,007) para atributo "Channel"; coef. 0,983 (p=0) para "Organizational unit"; (3) impacto prático: identificação de padrão "ping-pong" entre equipes de resolução causado por falta de clareza textual; canais menos interativos (email, IT ticketing) geram maior complexidade de execução; duplicação da duração mediana de tickets por email durante Covid-19; (4) insights acionáveis para redesenho: guiar usuários na submissão de tickets, melhorar categorização, otimizar designação de trabalho.</t>
  </si>
  <si>
    <t>In addition, many unsolved challenges in applying Natural Language Processing (NLP) in BPM are highlighted, such as semantic enhancements and domain or organization-specific adaptations of NLP solutions. Thus, a more rigorous relation between these two areas discloses an untapped potential to substantially improve the BPM toolset."</t>
  </si>
  <si>
    <t>Process Mining and Event Logs; AI, Machine Learning and Intelligent Automation; Modeling, Simulation, Digital Twin and BPMN</t>
  </si>
  <si>
    <t xml:space="preserve">Identification and Discovery; Modeling, Design and Redesign; Monitoring, Control and Analysis; Optimization and Continuous Improvement; </t>
  </si>
  <si>
    <t>Efficiency, Cost and Time Reduction; Agility, Adaptability and Resilience; Data-Driven Decision Support;</t>
  </si>
  <si>
    <t>Performance Gains and Quantitative Benefits; Improved Decision-Making and Process Visibility; Customer/Stakeholder and Service Outcomes</t>
  </si>
  <si>
    <r>
      <rPr>
        <rFont val="Helvetica Neue"/>
        <color rgb="FF1155CC"/>
        <u/>
      </rPr>
      <t>https://www.sciencedirect.com/science/article/pii/S1877050923012346</t>
    </r>
  </si>
  <si>
    <t>O artigo associa diretamente BPMN, simulação baseada em BPMN, Adonis NP e drones à análise de processos de negócio em um contexto de digitalização agrícola. A tecnologia digital principal é o drone para aplicação de defensivos, comparado com métodos convencionais. BPMN é usado como tecnologia/método de modelagem e simulação dos processos.</t>
  </si>
  <si>
    <t>O artigo aplica BPMN e simulação principalmente em modelagem, análise, redesenho/comparação de variantes e apoio à decisão. O artigo não trata execução automatizada ou monitoramento contínuo real, mas é forte em modelagem e análise de alternativas de processo.</t>
  </si>
  <si>
    <t xml:space="preserve">“Such a technological change is always associated with risk. Therefore, it makes sense to carry out a precise analysis of the business processes in advance and to examine what effects the use of new technologies will have…” / “With the help of simulations of the models, different scenarios can be understood and evaluated without having to conduct uneconomical experiments in real operations. Problems can be quickly identified, alternatives tested, and thus costly bad investments avoided.”  </t>
  </si>
  <si>
    <t xml:space="preserve">“Treatment of one hectare with backpack sprayer about eight hours, with a drone and with tractor and trailed sprayer about two and a half hours each.” / “The total costs for application by drone in this simulation run amount to 56.31 €. […] The total cost for spreading with tractor and trailed implement is 60.83 €. For application with a backpack sprayer, the cost is 178.38 €. Therefore, the use of a drone can lead to cost and time savings.”  </t>
  </si>
  <si>
    <t xml:space="preserve">“The ecological advantages and disadvantages of the application variants cannot be considered with the help of the simulation.” / “Also, no influence of weather conditions on the processes is estimated.” / “The results of the simulation are based on models and their simplified assumptions.” / “future research should include recording times in practice by means of observations and measurements during the application of plant protection products…”  </t>
  </si>
  <si>
    <t>Efficiency, Cost and Time Reduction; Agility, Adaptability and Resilience; Compliance, Trust, Risk and Accountability</t>
  </si>
  <si>
    <t xml:space="preserve">Methodological and Empirical Validation Limits; 
Domain or Context-Specific Constraints
</t>
  </si>
  <si>
    <t>x</t>
  </si>
  <si>
    <r>
      <rPr>
        <rFont val="Helvetica Neue"/>
        <color rgb="FF1155CC"/>
        <u/>
      </rPr>
      <t>https://doi.org/10.1108/JIC-04-2023-0070</t>
    </r>
  </si>
  <si>
    <t xml:space="preserve">“our main goals are twofold: 1) the first one is to link digital technologies (DTs) to BPM in SMEs and 2) the second one refers to the digital tools and their impact on company management and performance…” / “We mapped IT as: (1) Apache, (2) hypertext transfer protocol (HTTP).server, (3) Big.data, (3) Cloud.computing (4) Customer.relationship.management (CRM), (4) Exchange.server, (5) Internet of thing (IOT), (6) structured query language (SQL).Server.” / “We mapped OT as: (1) Logic.controls.programmable. (PLC), (2) Additive.manufacturing.3d, (3) AR, (4) Virtual.reality.”  </t>
  </si>
  <si>
    <t>O artigo não usa explicitamente o ciclo de vida BPM clássico, como modelagem, execução, monitoramento, análise e melhoria. Porém, mostra em quais processos organizacionais as tecnologias digitais são aplicadas e quais processos são mais envolvidos na digitalização: administração, controle gerencial, gestão financeira, vendas, logística, compras, produção, manutenção, marketing, RH e desenvolvimento de novos produtos.</t>
  </si>
  <si>
    <t xml:space="preserve">“The research aims to explore the digital tools and business processes link and the related impact on performance, benefits and IC.” / “Findings reveal that some digital tools are more adopted in the sample analysed, and also some particular digital tools are more inclined to support certain business processes.” / “not only performance benefits emerge, but also benefits in terms of better communication and faster decisions…” 
</t>
  </si>
  <si>
    <t xml:space="preserve">“After contacting 1.281 companies the number of filled questionnaires returned was 132…” / “SQL server (61%)… cloud computing (36%)… Exchange server (31%)… CRM (30%)…” / “SCADA (49%)… CNC (43%)… PLC…” / “The results underline that a decent level of digitalization integration into the business processes corresponds to an improvement in performance, while a good level of integration matches not only performance improvement, but also faster decisions and cost savings.” </t>
  </si>
  <si>
    <t xml:space="preserve">“research has still not deeply taken into consideration the challenges proposed by digitalization, also missing the relationship with IC…” / “There are some limitations to the study that need to be addressed in future research… 1) the sample size needs to be increased; 2) an analysis and mapping of the criticisms of digital transformation; 3) an investigation into the organizational changes that have occurred as a result of digital transformation; 4) an investigation into the cultural issues…” </t>
  </si>
  <si>
    <t>Data Analytics, BI and Data Mining; Enterprise Systems, Cloud, IoT or Integration Technologies</t>
  </si>
  <si>
    <t>Performance Gains and Quantitative Benefits; Improved Decision-Making and Process Visibility</t>
  </si>
  <si>
    <t xml:space="preserve">Methodological and Empirical Validation Limits; Human, Organizational and Adoption Challenges; </t>
  </si>
  <si>
    <r>
      <rPr>
        <rFont val="Helvetica Neue"/>
        <color rgb="FF1155CC"/>
        <u/>
      </rPr>
      <t>https://doi.org/10.1108/BPMJ-12-2022-0631</t>
    </r>
  </si>
  <si>
    <t xml:space="preserve">“we address these challenges by developing a novel approach that integrates process mining and ITDM.” / “The approach of process mining is based on the analysis of event logs generated by IS during the execution of business processes…” / “As an outcome of process mining, process visualizations in the form of directly-follows graphs or process performance indicators can then support decision-making…” </t>
  </si>
  <si>
    <t xml:space="preserve">“BPM as a management approach focuses on analysing and continuously improving business processes within their lifecycles.” / “Process mining is used to discover the process and generate PPI such as number of cases, activities and variants.” / “After the changes are in production and the process is changed, it will be maintained and monitored. Continuous reporting based on process mining would highly improve monitoring activities.” </t>
  </si>
  <si>
    <t xml:space="preserve">“The study shows that the utilization of process mining activities during process changes on an operational level contributes to (1) increasing accuracy and efficiency of ITDM; (2) timely identification of potential risks and dependencies and (3) support of testing and acceptance of IT demands.” / “The implementation of this study’s approach improved ITDM practice. It appropriately addressed the information needs of decision-makers and unveiled the effects and consequences of process changes.” </t>
  </si>
  <si>
    <t xml:space="preserve">“The process maps and KPI’s really help us to understand the problem and avoid misunderstandings.” / “We definitely had an improved effort estimation and slightly quicker realization time because of what we knew upfront.” / “The DMS system was enhanced to identify the type of document, therefore the tasks TAK agreement was created automatically and process duration was improved significantly.” </t>
  </si>
  <si>
    <t xml:space="preserve">“First, our work is based on the cooperation with one company only.” / “Second, the interviews of the sample process focused on employees from one business unit.” / “Third, our approach is based on a small number of different demands and the approach was tested and validated to one IT demand exclusively.” / “For future research, it is desirable to conduct a longitudinal case study…” </t>
  </si>
  <si>
    <t xml:space="preserve">Identification and Discovery; Monitoring, Control and Analysis; Optimization and Continuous Improvement; Governance and Strategic Alignment; </t>
  </si>
  <si>
    <t>Efficiency, Cost and Time Reduction; Agility, Adaptability and Resilience; Data-Driven Decision Support; Compliance, Trust, Risk and Accountability</t>
  </si>
  <si>
    <r>
      <rPr>
        <rFont val="Helvetica Neue"/>
        <color rgb="FF1155CC"/>
        <u/>
      </rPr>
      <t>https://www.scopus.com/pages/publications/85182438047?origin=resultslist</t>
    </r>
  </si>
  <si>
    <t>O artigo discute a integração entre BPM, knowledge management e IT systems, mencionando tecnologias como databases, digital innovations, IT for data processing, BPM software, process modelling tools, iBPMS, BPA, RPA, AI, cloud computing, ERP, CRM, SCM, Business Intelligence e ferramentas como Visio, AuraPortal, Bizagi, IBM Blueworks Live, Signavio, Pega BPM e ARIS. Porém, o foco não é classificar tecnologias específicas de BPM em transformação digital, mas analisar estatisticamente a relação entre BPM, gestão do conhecimento e uso de TI em organizações polonesas.</t>
  </si>
  <si>
    <t>O artigo relaciona o uso de sistemas de TI a atividades específicas do BPM, como identificação, modelagem, otimização, melhoria, monitoramento, simulação e controle de processos. Porém, não mapeia uma tecnologia específica para cada etapa do ciclo BPM; trata “IT systems” de modo agregado.</t>
  </si>
  <si>
    <t xml:space="preserve">“The presented material can support managers of various organisation types in decision-making processes by fully understanding the IT systems’ role and potential in process and knowledge management.” / “The analysis considers three effect factors: quality of process implementation, optimisation of key performance indicators (KPIs), costs and process time, customer satisfaction.” </t>
  </si>
  <si>
    <t xml:space="preserve">“The value of the publication is a wide range of respondents: 107 large, medium, small, and micro-enterprises operating in Poland.” / “The process implementation quality is most strongly influenced by such variables as the use of IT systems for modelling, optimisation, and identification of processes.” / “The strongest predictors influencing the increase of customer satisfaction in the surveyed organisations include the use of IT systems to identify, model, and monitor processes…” </t>
  </si>
  <si>
    <t xml:space="preserve">“The limitations of the presented research results refer to the adopted methodology, which was based on a diagnostic survey conducted using the proprietary questionnaire form.” / “the group of respondents is not a representative sample as it does not reflect the structure of enterprises operating in Poland.” / “further research is particularly recommended… concepts, methods, and IT tools for the integration of knowledge management and BPM…” </t>
  </si>
  <si>
    <t>Performance Gains and Quantitative Benefits; Improved Decision-Making and Process Visibility; Automation, Standardization and Process Quality; Customer/Stakeholder and Service Outcomes; Technical or Conceptual Validation</t>
  </si>
  <si>
    <t xml:space="preserve">Methodological and Empirical Validation Limits; Technical Scalability, Interoperability and Integration; </t>
  </si>
  <si>
    <r>
      <rPr>
        <rFont val="Helvetica Neue"/>
        <color rgb="FF1155CC"/>
        <u/>
      </rPr>
      <t>https://www.scopus.com/pages/publications/85171277909?origin=resultslist</t>
    </r>
  </si>
  <si>
    <t xml:space="preserve">“Digital technologies such as Process Mining (PM) or Robotic Process Automation (RPA), which are becoming more and more prevalent, offer new possibilities for process analysis, monitoring, and automation.” / “Task Mining (TM), a technology that can analyze tasks at a desktop data level…” / “TM is a technology that collects and analyzes user interaction data from desktop applications to identify potential for optimization at the task level.” </t>
  </si>
  <si>
    <t xml:space="preserve">“Digitized processes, for example, offer efficient monitoring options on the one hand and can be automated on the other.” / “As a result, processes can be monitored, improved, or automated.” / “In the literature review, four TM applications were identified: a) Monitoring b) Process efficiency, c) Resource enhancement, d) Identification of automatable processes.” </t>
  </si>
  <si>
    <t xml:space="preserve">“The framework relates five potential benefits, two opportunities, four risks, and four basic requirements…” / “Process Transparency… Automation… Training Needs… Resource Enhancement… Uncovering System Landscape…” / “By using TM, processes can be executed more efficiently, and resources can be used optimally, which increases profitability and ultimately enhances competitiveness.” </t>
  </si>
  <si>
    <t xml:space="preserve">“The framework relates five potential benefits, two opportunities, four risks, and four basic requirements identified from the qualitative study.” / “Five factors were identified in the expert interviews.” / “In this work, a fundamental framework for TM technology application was empirically developed based on qualitative expert interviews.” </t>
  </si>
  <si>
    <t xml:space="preserve">“the currently available scientific literature on TM is scarce and empirical qualitative studies or case studies on the adoption of TM technology from a BPM perspective are missing.” / “our type of expert interviews does not provide enough empirical material to prove the indicated interrelationships…” / “the model does not claim to be complete.” </t>
  </si>
  <si>
    <t>Identification and Discovery; Monitoring, Control and Analysis</t>
  </si>
  <si>
    <t>Efficiency, Cost and Time Reduction; Data-Driven Decision Support; Strategic Alignment and Competitiveness; Compliance, Trust, Risk and Accountability; Sustainability and Resource Optimization</t>
  </si>
  <si>
    <t>Methodological and Empirical Validation Limits; Human, Organizational and Adoption Challenges</t>
  </si>
  <si>
    <r>
      <rPr>
        <rFont val="Helvetica Neue"/>
        <color rgb="FF1155CC"/>
        <u/>
      </rPr>
      <t>https://link.springer.com/10.1007/s12599-024-00882-7</t>
    </r>
  </si>
  <si>
    <t>Identifica Process Mining como tecnologia associada ao BPM e a caracteriza como abordagem data-driven. Também cita AI e RPA, mas sem aprofundá-las.</t>
  </si>
  <si>
    <t>Mostra aplicação em discovery/modelagem AS-IS, análise, conformance checking, monitoramento, controle e enhancement/melhoria.</t>
  </si>
  <si>
    <t>Aponta objetivos como transparência, identificação de desvios, representações digitais em tempo real, decisões baseadas em evidências, eficiência e efetividade.</t>
  </si>
  <si>
    <t>Relata impactos como maior flexibilidade do BPM, melhor gestão das mudanças, insights sobre desempenho e aumento da maturidade em process mining.</t>
  </si>
  <si>
    <t>Aponta lacunas sobre ausência de framework abrangente, falta de estudos sobre capacidades e competências, além de limitações de amostra e contexto.</t>
  </si>
  <si>
    <t>Data Analytics, BI and Data Mining; Process Mining and Event Logs; AI, Machine Learning and Intelligent Automation; Automation, RPA and Workflow/BPMS</t>
  </si>
  <si>
    <r>
      <rPr>
        <rFont val="Helvetica Neue"/>
        <color rgb="FF1155CC"/>
        <u/>
      </rPr>
      <t>https://link.springer.com/10.1007/s10257-024-00681-3</t>
    </r>
  </si>
  <si>
    <t>O artigo identifica diretamente tecnologias associadas ao BPM em contexto de BPM data-driven/digital: Process Mining, AI, RPA, process analytics, predictive analytics, prescriptive analytics e process automation.</t>
  </si>
  <si>
    <t>O artigo associa BP-x a atividades de análise, predição, monitoramento, controle, otimização, automação e mudança de processos.</t>
  </si>
  <si>
    <t>O artigo apresenta objetivos claros: melhorar o trabalho dos funcionários, gerar valor, apoiar decisões, criar novos resultados de negócio, aumentar performance e inovação.</t>
  </si>
  <si>
    <t>O artigo relata impactos da adoção de BP-x: aceleração da ação, novos resultados de negócio, alinhamento estratégico, visibilidade, entendimento compartilhado e cultura organizacional.</t>
  </si>
  <si>
    <t>O artigo aponta lacunas claras: conhecimento fragmentado, falta de nomenclatura para tendências futuras de BPM, pouca atenção sobre como organizações podem explorar capacidades BP-x e falta de orientação gerencial.</t>
  </si>
  <si>
    <t xml:space="preserve">Execution and Automation; Monitoring, Control and Analysis; Optimization and Continuous Improvement; </t>
  </si>
  <si>
    <t>Strategic Alignment and Competitiveness; Innovation and Capability Development</t>
  </si>
  <si>
    <t>Improved Decision-Making and Process Visibility</t>
  </si>
  <si>
    <r>
      <rPr>
        <rFont val="Helvetica Neue"/>
        <color rgb="FF1155CC"/>
        <u/>
      </rPr>
      <t>https://link.springer.com/10.1007/s10257-024-00675-1</t>
    </r>
  </si>
  <si>
    <t>O artigo identifica diretamente embedded analytics / real-time analytics como tecnologia associada ao BPM em contexto de transformação digital. Também caracteriza essas aplicações como parte de next-generation BPM, business process intelligence, hyperautomation e intelligent business processes.</t>
  </si>
  <si>
    <t>O artigo posiciona o método nas etapas iniciais do ciclo BPM: process identification, process discovery e process analysis. Também mostra que embedded analytics é usado para selecionar processos para reengineering/innovation projects.</t>
  </si>
  <si>
    <t xml:space="preserve">O artigo apresenta objetivos claros: criação de valor, automação, augmentação de decisões, eficiência operacional, otimização, adaptação/flexibilidade/transparência e transformação de modelos operacionais.
</t>
  </si>
  <si>
    <t xml:space="preserve">O artigo relata impactos esperados e resultados do método aplicado no caso Hilti, como seleção do processo de dunning para reengenharia e identificação de potencial de analytics. Porém, não apresenta resultados finais da implementação da tecnologia, apenas da seleção/prototipagem.
</t>
  </si>
  <si>
    <t>O artigo apresenta lacunas claras: falta de métodos BPM exploratórios para avaliar potenciais de novas tecnologias, ausência de método específico para embedded analytics e limitações do estudo por contexto único.</t>
  </si>
  <si>
    <t>Efficiency, Cost and Time Reduction; Agility, Adaptability and Resilience; Data-Driven Decision Support; Strategic Alignment and Competitiveness</t>
  </si>
  <si>
    <t>Improved Decision-Making and Process Visibility; Limited or Inconclusive Evidence</t>
  </si>
  <si>
    <r>
      <rPr>
        <rFont val="Helvetica Neue"/>
        <color rgb="FF1155CC"/>
        <u/>
      </rPr>
      <t>https://ieeexplore.ieee.org/document/10736038/</t>
    </r>
  </si>
  <si>
    <t>O artigo associa ao BPM as seguintes tecnologias: BPMN (Business Process Model and Notation, versão 2.0) como linguagem de modelagem de processos; Machine Learning (ML) e Inteligência Artificial (AI) — especificamente redes neurais convolucionais profundas, algoritmos de segmentação, processamento de histogramas de imagem, visão computacional — como tecnologias de automação das tarefas identificadas no modelo de processo; Process Mining como abordagem de descoberta e monitoramento de processos; e Internet of Things (IoT) como arquitetura futura de automação plena. A caracterização é aplicada ao domínio de diagnóstico patomorforológico (laboratório médico), mas o argumento central é explicitamente enraizado em BPM: "implementation of ML/AI algorithms is strongly based on fundamental process modeling." A profundidade da caracterização técnica é moderada, focando nos algoritmos de imagem sem taxonomia estruturada das tecnologias BPM.</t>
  </si>
  <si>
    <t xml:space="preserve"> descoberta de processos, análise de processos e redesenho de processos — e posiciona as tecnologias (BPMN, ML/AI) dentro dessas fases. O processo as-is é modelado via entrevistas em profundidade (descoberta); fraquezas e ambiguidades são identificadas (análise); e o modelo to-be é construído como base para digitalização e automação (redesenho).</t>
  </si>
  <si>
    <t>O artigo articula objetivos de automação de tarefas individuais do processo, redução da carga sobre o patologista, eliminação de avaliação subjetiva ("by eye"), controle contínuo de qualidade, auditoria e vigilância de processos, e como perspectiva futura: automação plena via IoT. Esses são objetivos organizacionais legítimos no contexto de digitalização de processos. Porém, são todos circunscritos ao domínio clínico de laboratório patomorforológico, sem articulação com objetivos de transformação digital de organizações em sentido mais amplo.</t>
  </si>
  <si>
    <t>Os impactos incluem a otimização de processos, redução de custos, aumento da velocidade de processamento e a redução da carga de trabalho manual e repetitiva para profissionais altamente qualificados (patologistas)</t>
  </si>
  <si>
    <t>O artigo identifica lacunas de pesquisa específicas e bem articuladas: (1) ausência de pesquisa sobre arquitetura de ecossistemas de diagnóstico patomorforológico para controle e vigilância de processos; (2) insuficiência de descrição quantitativa das relações entre características mensuráveis do processo PD e o resultado tecidual; (3) inexistência de modelo recomendado para controle de qualidade de processos em laboratórios de diagnóstico patomorforológico; (4) ausência de ferramentas para avaliação sintética da qualidade do processo histológico; (5) lacuna na modelagem de processos de negócio que incluam modelos ML (citando Take et al., 2024) — necessidade de extensão dos padrões de processo BPMN para integrar ML.</t>
  </si>
  <si>
    <t>Efficiency, Cost and Time Reduction; Strategic Alignment and Competitiveness; Compliance, Trust, Risk and Accountability</t>
  </si>
  <si>
    <t xml:space="preserve">Methodological and Empirical Validation Limits; Technical Scalability, Interoperability and Integration; Privacy, Security, Ethics and Governance; </t>
  </si>
  <si>
    <r>
      <rPr>
        <rFont val="Helvetica Neue"/>
        <color rgb="FF1155CC"/>
        <u/>
      </rPr>
      <t>https://www.sciencedirect.com/science/article/pii/S1877050924016338</t>
    </r>
  </si>
  <si>
    <t>: (1) Process Mining — fase de Evaluation do ciclo BPM; (2) Business Activity Monitoring (BAM) — fase de Evaluation; (3) Simulação — fase de Design and Analysis; (4) AI, automação e data analytics — citados como instrumentos de suporte ao BPM na era digital; (5) BPM software (sistemas tradicionais, intelligent BPM suites, digital process automation software — via Belev, 2018). Nenhuma dessas tecnologias é analisada em profundidade pelo artigo; são pontos de referência estrutural, úteis como inventário preliminar mas sem densidade analítica.</t>
  </si>
  <si>
    <t>"...there is a relationship between the different sub-phases of the BPM and the DT lifecycles as follows... 'Business Process Identification and Modeling' with 'Research', 'Analyze' and 'Design'... 'System Selection', 'Implementation' and 'Test and Deployment' with 'Develop'."</t>
  </si>
  <si>
    <t>..enhance business operations and lead to better customer experiences and increased profitability."
 e "...foster the increase of revenue and enable the creation of new values for nowadays organizations through digital transformation of their business process?"
.</t>
  </si>
  <si>
    <t>O artigo relata impactos positivos esperados e cita resultados de estudos de terceiros (como aumento da satisfação de funcionários e novos KPIs), mas o seu próprio estudo de caso é apresentado como uma proposta de aplicação futura, carecendo de dados empíricos próprios imediatos</t>
  </si>
  <si>
    <t>"...further research and broader implementations are necessary to validate the generalizability of 'DT4BPM' across different industries... Additionally, exploring the challenges and limitations associated with the implementation... would provide valuable insights..."</t>
  </si>
  <si>
    <t>Data Analytics, BI and Data Mining; Process Mining and Event Logs; AI, Machine Learning and Intelligent Automation; Automation, RPA and Workflow/BPMS; Modeling, Simulation, Digital Twin and BPMN; Enterprise Systems, Cloud, IoT or Integration Technologies</t>
  </si>
  <si>
    <t xml:space="preserve">Identification and Discovery; Modeling, Design and Redesign; Execution and Automation; </t>
  </si>
  <si>
    <t>Customer/Stakeholder and Service Outcomes</t>
  </si>
  <si>
    <t xml:space="preserve">Data Quality, Availability and Generalizability; </t>
  </si>
  <si>
    <r>
      <rPr>
        <rFont val="Helvetica Neue"/>
        <color rgb="FF1155CC"/>
        <u/>
      </rPr>
      <t>https://doi.org/10.1108/EJIM-10-2023-0887</t>
    </r>
  </si>
  <si>
    <t xml:space="preserve">“Process mining (PM) techniques enable organizations to objectively analyse and improve their processes, by providing higher process transparency and efficiency.” / “Process Mining (PM) is a BPM tool that can be used to achieve this goal.” / “PM exploits both data science and process science disciplines… allowing to (automatically) discover the real execution of processes (process discovery), compare an existing process model… with an event log… (conformance checking) and improve and enrich the existing process model… (process enhancement).”  </t>
  </si>
  <si>
    <t xml:space="preserve">“Previous studies already emphasised the need to adopt a BPM approach… as it focuses on the role of IT to analyse, manage, monitor, innovate and redesign business processes…” / “First, PM allows to identify process inefficiencies and understand where and how to intervene to reduce and eliminate them… Then, PM supports process changes… Finally, once processes have been changed, PM continues to support the organization throughout its digital transformation journey by guaranteeing a continuous monitoring of these processes…”  </t>
  </si>
  <si>
    <t xml:space="preserve">“PM can support public sector digital transformation, as civil servants believe it can support data management and decision-making regarding investment and organizational strategies, thus complementing digitalization projects, enhancing process transparency, efficiency and standardization, and improving organizational performances and working conditions.” / “process transparency and efficiency are two interrelated values obtainable by implementing PM…”  </t>
  </si>
  <si>
    <t xml:space="preserve">“At an aggregated level, 95.08% of civil servants agree… with the suggested PM opportunities, while 75.41% agree… with the suggested PM challenges.” / “participants quite strongly perceive (4.39) opportunities from PM introduction… particularly those related to Governance (4.58) and Methods/IT (4.48).” / “PM introduction in public organizations is generally positive perceived by civil servants, who also believe it can facilitate public sector digital transformation…”  </t>
  </si>
  <si>
    <t xml:space="preserve">“there is still limited evidence on the opportunities and challenges perceived from PM introduction in the public sector, and on PM potential to enhance public sector digital transformation…” / “No studies have been found that investigate PM applications in the public sector from a more human-centred perspective…” / “This paper’s findings are subjects to some limitations. First of all, this study focuses on the Italian public sector…”  </t>
  </si>
  <si>
    <t xml:space="preserve">Modeling, Design and Redesign; Monitoring, Control and Analysis; Optimization and Continuous Improvement; </t>
  </si>
  <si>
    <t>Efficiency, Cost and Time Reduction; Data-Driven Decision Support; Strategic Alignment and Competitiveness</t>
  </si>
  <si>
    <t>Methodological and Empirical Validation Limits; Human, Organizational and Adoption Challenges; Domain or Context-Specific Constraints</t>
  </si>
  <si>
    <r>
      <rPr>
        <rFont val="Helvetica Neue"/>
        <color rgb="FF1155CC"/>
        <u/>
      </rPr>
      <t>https://doi.org/10.1108/BPMJ-08-2022-0378</t>
    </r>
  </si>
  <si>
    <t xml:space="preserve">“we introduce a Business Process Management methodology implementation supported by a set of e-health technologies, in order to manage Care Pathways (CPs) digitalization and procedures improvement.” / “This innovative ecosystem applied in the Italian research project TALIsMAn is based on the concept of a continuum of care and digitalization of CPs supported by Business Process Management System and telemedicine services.” / “Innovative ICT paradigms and tools applied to healthcare sector (such as Cybersecurity systems; Big Data Analysis; Blockchain technologies; Machine Learning and Artificial Intelligence techniques).”  
</t>
  </si>
  <si>
    <t xml:space="preserve">“Once the process has been identified, the BPM manages its lifecycle, starting from modelling up to optimization, according to the following phases… process discovery and modelling (As-Is); analysis of the identified issues; process redesign; process implementation; process monitoring and control (feedback).” / “Detection of the healthcare activities… As-Is process modelling using BPMN… care processes redesign (To-Be) through BPMN… Technological implementation of re-designed and optimized processes in ‘pilot’ scenarios; Monitoring, feedback management and implementation of corrective actions.”  </t>
  </si>
  <si>
    <t xml:space="preserve">“A process management approach may be a way to enhance efficiency and effectiveness, especially in the redesign of care protocols, clinical processes and documents produced by clinical and administrative activities.” / “BPM has been selected as the pillar methodology to achieve better results in terms of quality of services offered to chronic patients and resource savings, giving at the same time a systematic way to implement incremental optimizations and monitor process performances.” / “The main goal is to organize the different socio-medical activities in a unique and integrated IT system that should be sustainable, scalable and replicable.”  </t>
  </si>
  <si>
    <t xml:space="preserve">“The number of patients engaged was 1,001 units.” / “Through the digitalization of CPs for the 4 chronic diseases in the TALIsMan project, it is possible to enable a digital ecosystem that can sequentially manage all the interventions of different healthcare operators.” / “Implementation of a BPMS in the IT TALIsMAn platform to optimize the management of healthcare processes with related data, assigning specific tasks to the healthcare operators and evaluating their state…” / “about 88% of the healthcare professionals found the system functionalities well integrated with each other…”  
</t>
  </si>
  <si>
    <t xml:space="preserve">“there is a lack of complete implementation and digitization of Diagnostic-Therapeutic Assistance Pathways…” / “it is possible to state that some technological issues concern the lack of digital health systems of support in territorial medicine and the limited interoperability between the IT systems used in different Italian regions.” / “questionnaires on patients’ UX are not completely available…” / “As a future outlook, new research steps may regard the analysis and validation of quantitative and qualitative data acquired from care processes during the experimentation…”  </t>
  </si>
  <si>
    <t>Data Analytics, BI and Data Mining; AI, Machine Learning and Intelligent Automation; Enterprise Systems, Cloud, IoT or Integration Technologies; Governance, Trust, Risk or Compliance Technologies</t>
  </si>
  <si>
    <t>Efficiency, Cost and Time Reduction; Customer/Stakeholder Experience and Service Quality</t>
  </si>
  <si>
    <t xml:space="preserve">Automation, Standardization and Process Quality ; 
Customer/Stakeholder and Service Outcomes
</t>
  </si>
  <si>
    <r>
      <rPr>
        <rFont val="Helvetica Neue"/>
        <color rgb="FF1155CC"/>
        <u/>
      </rPr>
      <t>https://doi.org/10.1108/BPMJ-07-2023-0529</t>
    </r>
  </si>
  <si>
    <t>O artigo propõe uma ferramenta digital gráfica para capturar, documentar e representar processos, etapas, recursos e estruturas organizacionais, com foco em Business Process Mapping e digital maturity. Também menciona tecnologias como RPA, AI, ML, IoT, cloud computing, big data analytics, digital twins, SDLC, SQL database, ASP.Net, APIs e dashboards. Porém, sendo rigoroso, a tecnologia central não é apresentada como BPM completo, mas como uma ferramenta de mapeamento gráfico e documentação de processos para apoiar avaliação de maturidade digital</t>
  </si>
  <si>
    <t>O artigo aplica a ferramenta principalmente em descoberta/captura de processos, documentação digital, mapeamento, análise de valor, simulação de otimização e apoio à transformação digital. Não cobre formalmente o ciclo BPM completo, como execução, monitoramento contínuo ou controle operacional de processos.</t>
  </si>
  <si>
    <t xml:space="preserve">“The advancement of digital maturity at a business level has proven to be challenging, with limited time, resources and skills in extracting and mapping business processes.” / “The tool is intended at assisting organizations with digital maturity assessments, and informing the digital transformation strategies and implementations.” / “This helps in identifying and reducing activities and resources that do not add value.”  </t>
  </si>
  <si>
    <t>O artigo relata o desenvolvimento e teste de uma ferramenta digital capaz de documentar estruturas hierárquicas, gerar representações gráficas, analisar valor, custo, tempo, ocorrências e simular otimizações. Também exemplifica a automação por RPA em processos de recrutamento. Porém, os resultados são baseados em desenvolvimento/teste de ferramenta e exemplo simulado, não em aplicação empírica em organização real.</t>
  </si>
  <si>
    <t xml:space="preserve">“The advancement of digital maturity at a business level has proven to be challenging, with limited time, resources and skills in extracting and mapping business processes.” / “the scarcity of efficient digital tools designed for the efficient collection and measurement of data required for digital maturity assessment… is an added challenge.” / “Future research should ensure the deployment of this digital tool in real-world organizations of different types as case studies.” </t>
  </si>
  <si>
    <t>Data Analytics, BI and Data Mining; AI, Machine Learning and Intelligent Automation; Automation, RPA and Workflow/BPMS; Modeling, Simulation, Digital Twin and BPMN; Enterprise Systems, Cloud, IoT or Integration Technologies</t>
  </si>
  <si>
    <t xml:space="preserve">Identification and Discovery; Execution and Automation; Monitoring, Control and Analysis; Optimization and Continuous Improvement; </t>
  </si>
  <si>
    <t>Performance Gains and Quantitative Benefits; Automation, Standardization and Process Quality</t>
  </si>
  <si>
    <r>
      <rPr>
        <rFont val="Helvetica Neue"/>
        <color rgb="FF1155CC"/>
        <u/>
      </rPr>
      <t>https://doi.org/10.1108/BPMJ-07-2023-0566</t>
    </r>
  </si>
  <si>
    <t xml:space="preserve">“The study aims to provide insights into how AI creates business value by investigating the mediating role of Business Process Management (BPM) capabilities.” / “The operationalisation of AI adoption comprised five underlying sub-constructs: DACQ, CI, CE, CDA and CT.” / “The conceptualisation… outlines five progressive levels of AI-enabled capabilities that support business processes and contribute to an organisation’s data-driven value generation…”  </t>
  </si>
  <si>
    <t>O artigo não organiza a IA segundo o ciclo BPM clássico, como modelagem, execução, monitoramento, análise e melhoria. Porém, mostra claramente que a IA é aplicada a automação de processos, tomada de decisão, aprendizagem organizacional, inovação incremental e radical de processos, melhoria do desempenho dos processos e transformação de processos. Assim, contribui principalmente para as etapas de execução/automação, análise/decisão, melhoria e inovação/redesenho.</t>
  </si>
  <si>
    <t xml:space="preserve">“The provided insights can help guide organisations towards the most promising AI activities of process automation with AI-enabled decision-making, organisational learning and process innovation to yield business value.” / “These AI capabilities enhance decision-making, cost-effectiveness, productivity, customer satisfaction, and competitive edge, ultimately bolstering operational performance and market sustainability.”  </t>
  </si>
  <si>
    <t xml:space="preserve">“The results validate the proposed serial multiple mediation model according to which AI adoption increases organisational performance through decision-making and business process performance.” / “Process automation, organisational learning and process innovation are significant complementary partial mediators…” / “The collected and processed sample included 448 EU organisations.”  </t>
  </si>
  <si>
    <t xml:space="preserve">“The study is not without limitations. A cross-sectional survey was used to validate the proposed research model. Self-report bias and endogeneity issues are typical limitations of such a research design…” / “A longitudinal approach may be considered for future studies to ascertain differences before and after AI is adopted.” / “Several moderators presenting complementary organisational resources (e.g. culture, digital maturity, BPM maturity) could be included…” </t>
  </si>
  <si>
    <t>Efficiency, Cost and Time Reduction; Data-Driven Decision Support; Strategic Alignment and Competitiveness; Customer/Stakeholder Experience and Service Quality; Innovation and Capability Development</t>
  </si>
  <si>
    <t>Performance Gains and Quantitative Benefits; Improved Decision-Making and Process Visibility; Automation, Standardization and Process Quality; Technical or Conceptual Validation</t>
  </si>
  <si>
    <r>
      <rPr>
        <rFont val="Helvetica Neue"/>
        <color rgb="FF1155CC"/>
        <u/>
      </rPr>
      <t>https://www.scopus.com/pages/publications/105010827966?origin=resultslist</t>
    </r>
  </si>
  <si>
    <t>O artigo menciona tecnologias associadas ao debate atual de BPM, como AI, RPA, blockchain, digital twins, IoT, BPMS, workflow software, process mining, BPMN, UML, digital agents, automated services e EMR systems. Porém, o foco principal não é identificar ou classificar tecnologias aplicadas ao BPM em transformação digital, mas propor uma extensão conceitual do BPM usando Work System Theory, Work System Perspective e o framework RAVC.</t>
  </si>
  <si>
    <t>O artigo discute explicitamente o ciclo de vida BPM — process identification, discovery, analysis, redesign, implementation e monitoring — e propõe que RAVC/Work System Theory permite analisar processos em seis níveis. Também menciona fases do ciclo de vida de sistemas de trabalho: initiation, development, implementation, operation and maintenance. Porém, não mapeia tecnologias específicas para cada etapa do ciclo BPM.</t>
  </si>
  <si>
    <t>O artigo aponta objetivos gerais associados à extensão do BPM diante de automação, digitalização e IA: ampliar a compreensão de processos, melhorar análise e desenho de sistemas de trabalho, lidar com mudanças digitais, apoiar valor para clientes, compreender interações entre sistemas, adaptações e workarounds. Porém, não apresenta objetivos organizacionais empíricos de adoção tecnológica em BPM, como automação ou desempenho em uma organização real.</t>
  </si>
  <si>
    <t>O principal resultado do artigo é conceitual: a proposta do framework RAVC com seis níveis de análise e lentes associadas. O artigo mostra exemplos em uma clínica médica, incluindo EMR, serviços automatizados e agentes digitais, mas não relata resultados empíricos de implementação, métricas organizacionais ou impactos operacionais reais.</t>
  </si>
  <si>
    <t>O artigo é forte em lacunas conceituais. Ele afirma que BPM precisa ser repensado diante de automação, digitalização e IA; que BPMS e o ciclo BPM tradicional não cobrem bem muitas inovações atuais; que BPMN e modelagem rigorosa podem deixar de fora aspectos como habilidades, valor para clientes, recursos, atividades e workarounds; e que RAVC pode inspirar extensões futuras.</t>
  </si>
  <si>
    <t>AI, Machine Learning and Intelligent Automation; Automation, RPA and Workflow/BPMS; Modeling, Simulation, Digital Twin and BPMN; Enterprise Systems, Cloud, IoT or Integration Technologies</t>
  </si>
  <si>
    <t>Agility, Adaptability and Resilience; Strategic Alignment and Competitiveness; Customer/Stakeholder Experience and Service Quality</t>
  </si>
  <si>
    <t>Customer/Stakeholder and Service Outcomes; Technical or Conceptual Validation; Limited or Inconclusive Evidence</t>
  </si>
  <si>
    <t>Human, Organizational and Adoption Challenges</t>
  </si>
  <si>
    <r>
      <rPr>
        <rFont val="Helvetica Neue"/>
        <color rgb="FF1155CC"/>
        <u/>
      </rPr>
      <t>https://www.sciencedirect.com/science/article/pii/S1463715424001006</t>
    </r>
  </si>
  <si>
    <t xml:space="preserve">O artigo discute diretamente a relação entre BPM e digitalização, mas não tem foco em identificar ou classificar tecnologias específicas. As tecnologias aparecem mais como exemplos de digitalização de processos: IS/IT, ERP, workflow systems, e-commerce solutions, RPA, mobile technology, e-prescription systems, digital exam platforms e tecnologias digitais modernas em geral.
</t>
  </si>
  <si>
    <t xml:space="preserve">O artigo não mapeia tecnologias específicas para etapas formais do ciclo BPM. Porém, discute atividades BPM afetadas pela digitalização, como process modeling, process redesign, process improvement, process measurement, process reporting, process compliance, process standardization e mudanças frequentes nos processos.
</t>
  </si>
  <si>
    <t xml:space="preserve">“Current digital initiatives basically involve automating, improving, and renewing business processes.” / “from a BPM standpoint, digital technology is essential for process efficiency and customer service.” / “BPM is perceived as beneficial for digitalization and as influencing digitalization outcomes.” 
</t>
  </si>
  <si>
    <t xml:space="preserve">“The structural model shows an overall ability to explain 54% of the variations in the outcomes of digitalization.” / “The results confirmed our assumption that BPM influence of digitalization outcomes.” / “Digitalization strengthens organizations’ focus on business process management.” 
</t>
  </si>
  <si>
    <t xml:space="preserve">“Our empirical investigation was situated in a Norwegian context and included 104 respondents.” / “We are also aware of the potential response bias in our sample.” / “The exploratory nature of our work due to the lack of prior studies, as well as of well-established and tested indicators…” / “more empirical studies are needed… explorations of emerging technologies, such as artificial intelligence and the Internet of Things.” 
</t>
  </si>
  <si>
    <t>Data Analytics, BI and Data Mining; Automation, RPA and Workflow/BPMS; Enterprise Systems, Cloud, IoT or Integration Technologies</t>
  </si>
  <si>
    <r>
      <rPr>
        <rFont val="Helvetica Neue"/>
        <color rgb="FF1155CC"/>
        <u/>
      </rPr>
      <t>https://www.scopus.com/pages/publications/85210278348?origin=resultslist</t>
    </r>
  </si>
  <si>
    <t xml:space="preserve">“This work uses the Internet of Things-based decision support system with cognitive automation (IoT-DSS-CA) for industrial informatics across the board, including data collection, transmission, processing, and storage.” / “the suggested method uses the business process management (BPM) paradigm to give a systematic approach that industrial organizations may employ to aid their path towards Industry 4.0.” / “Industry 4.0’s highly automated production facilities, known as ‘smart factories,’ use cutting-edge technology like AI the IoT and robots to enhance their performance.” </t>
  </si>
  <si>
    <t xml:space="preserve">“Figure 2 depicts the BPM framework and its accompanying stages. Organizations in the manufacturing sector may utilize the suggested BPM framework to enact digital transformation in line with Industry 4.0 technology.” / “Business process discovery is the first step in improving or reengineering a business process.” / “The business process has been implemented and is live; the BPM team should collect the necessary information to conduct a post-implementation evaluation of the process…” </t>
  </si>
  <si>
    <t xml:space="preserve">“To increase productivity, efficiency, and predictability while decreasing the total cost of critical processes, ‘smart factories’ use communication technologies to monitor and collect data in real-time.” / “deploying several IoT nodes throughout an industry or factory for data collecting and autonomous decision-making may make management substantially more productive and cost-efficient.” / “Better economic results may be achieved when manufacturing facilities use IoT technology to enhance operations and boost productivity.” </t>
  </si>
  <si>
    <t>O artigo apresenta avaliação numérica/simulação do modelo IoT-DSS-CA em comparação com métodos de referência, usando métricas como efficiency ratio, accuracy ratio, data transmission rate, decision-making ratio e data protection ratio. Porém, não apresenta aplicação empírica em uma organização real nem métricas operacionais antes/depois em processos industriais reais.</t>
  </si>
  <si>
    <t>O artigo aponta problemas e desafios relacionados à transformação digital industrial, como incerteza, armazenamento massivo de registros, segurança de dados, integração insuficiente de TI, riscos de dispositivos maliciosos, complexidade de dados e limitações de ML/fuzzy logic. Porém, não apresenta uma seção robusta de limitações do próprio estudo nem agenda futura detalhada sobre BPM, tecnologias e transformação digital.</t>
  </si>
  <si>
    <t>AI, Machine Learning and Intelligent Automation; Automation, RPA and Workflow/BPMS; Enterprise Systems, Cloud, IoT or Integration Technologies</t>
  </si>
  <si>
    <t>Performance Gains and Quantitative Benefits; Improved Decision-Making and Process Visibility; Technical or Conceptual Validation; Limited or Inconclusive Evidence</t>
  </si>
  <si>
    <t>Data Quality, Availability and Generalizability; Technical Scalability, Interoperability and Integration; Privacy, Security, Ethics and Governance</t>
  </si>
  <si>
    <r>
      <rPr>
        <rFont val="Helvetica Neue"/>
        <color rgb="FF1155CC"/>
        <u/>
      </rPr>
      <t>https://link.springer.com/10.1007/s43069-025-00428-x</t>
    </r>
  </si>
  <si>
    <t>O artigo caracteriza as tecnologias (especialmente process mining) como metodologias orientadas a dados e ferramentas tecno-funcionais no contexto da Indústria 4.0.</t>
  </si>
  <si>
    <t>O artigo descreve AS-IS, TO-BE, descoberta, conformidade, enhancement, análise de gargalos e otimização.</t>
  </si>
  <si>
    <t>Os objetivos incluem melhoria da produtividade, qualidade, satisfação do cliente, aumento de lucros e alcance da Excelência Operacional (OpEx).</t>
  </si>
  <si>
    <t>Relata aumento nos resultados de negócio, crescimento da receita, sustentabilidade e otimização da produtividade dos funcionários.</t>
  </si>
  <si>
    <t>Aponta a dependência da qualidade dos dados, a falta de compreensão contextual em automações e desafios técnicos como o concept drift.</t>
  </si>
  <si>
    <t>Data Analytics, BI and Data Mining; Process Mining and Event Logs</t>
  </si>
  <si>
    <t>Data Quality, Availability and Generalizability; Technical Scalability, Interoperability and Integration; Domain or Context-Specific Constraints</t>
  </si>
  <si>
    <r>
      <rPr>
        <rFont val="Helvetica Neue"/>
        <color rgb="FF1155CC"/>
        <u/>
      </rPr>
      <t>https://link.springer.com/10.1007/s10796-024-10474-1</t>
    </r>
  </si>
  <si>
    <t>O artigo identifica diretamente Machine Learning (ML) como tecnologia associada ao BPM em contexto de inovação digital. Também caracteriza Lightweight IT como abordagem tecnológica/organizacional para acelerar a exploração de ML embutido em processos.</t>
  </si>
  <si>
    <t>O artigo mostra aplicação do ML em etapas de exploração de oportunidades, avaliação, implementação técnica, redesenho e melhoria de processos.</t>
  </si>
  <si>
    <t>O artigo apresenta objetivos organizacionais claros: acelerar a exploração de oportunidades digitais, reduzir a latência da inovação de processos, automatizar/aumentar decisões e melhorar desempenho de processos.</t>
  </si>
  <si>
    <t>O artigo relata impactos a partir de quatro casos: ML leve acelerou a avaliação de oportunidades e a implementação técnica, reduzindo a latência da inovação de processos. Também afirma que ML embutido pode melhorar eficiência, produtividade e reduzir erros.</t>
  </si>
  <si>
    <t>O artigo identifica uma lacuna clara sobre a incerteza na literatura quanto a ML ser Lightweight IT ou Heavyweight IT. Também aponta que empresas ainda enfrentam dificuldades para implantar ML. Porém, pelas evidências disponíveis, as limitações do estudo em si aparecem menos detalhadas no trecho carregado.</t>
  </si>
  <si>
    <t>AI, Machine Learning and Intelligent Automation</t>
  </si>
  <si>
    <t>Innovation and Capability Development</t>
  </si>
  <si>
    <r>
      <rPr>
        <rFont val="Helvetica Neue"/>
        <color rgb="FF1155CC"/>
        <u/>
      </rPr>
      <t>https://link.springer.com/10.1007/s11740-024-01302-1</t>
    </r>
  </si>
  <si>
    <t>O artigo identifica diretamente BPMN executable process models, web service orchestration, process engine, REST APIs/SOVD, DMN e arquitetura orientada a serviços no contexto de software-defined car manufacturing. A associação com BPM é direta, pois usa BPMN e execução de modelos de processo para automação de workflows automotivos.</t>
  </si>
  <si>
    <t xml:space="preserve">O artigo mostra aplicação nas etapas de modelagem, execução, orquestração, monitoramento/análise de falhas e automação de processos. O foco é a passagem do modelo BPMN para execução real em processos de teste e diagnóstico automotivo.
</t>
  </si>
  <si>
    <t>O artigo apresenta objetivos claros: streamlining do trabalho, automação de processos, redução da complexidade, integração entre engenharia e produção, flexibilidade, padronização e suporte à transformação para manufatura definida por software.</t>
  </si>
  <si>
    <t>O artigo apresenta avaliação por integração técnica e grupo focal com especialistas. Relata que a abordagem permite modelagem e execução contínua/seamless, reutilização por templates, ausência de necessidade de programação, análise visual e suporte à execução in-car.</t>
  </si>
  <si>
    <t>O artigo aponta limitações e necessidades futuras: melhorar experiência do usuário, criar templates, desenvolver interface web service específica para produção, avaliar em outros domínios de diagnóstico e realizar estudos entre OEMs. Também reconhece falta de métricas quantitativas de redução de tempo.</t>
  </si>
  <si>
    <t>Automation, RPA and Workflow/BPMS; Modeling, Simulation, Digital Twin and BPMN; Enterprise Systems, Cloud, IoT or Integration Technologies</t>
  </si>
  <si>
    <t xml:space="preserve">Modeling, Design and Redesign; Execution and Automation; Monitoring, Control and Analysis; </t>
  </si>
  <si>
    <t>Efficiency, Cost and Time Reduction; Agility, Adaptability and Resilience</t>
  </si>
  <si>
    <r>
      <rPr>
        <rFont val="Helvetica Neue"/>
        <color rgb="FF1155CC"/>
        <u/>
      </rPr>
      <t>https://link.springer.com/10.1007/s44311-025-00030-8</t>
    </r>
  </si>
  <si>
    <t>O artigo associa diretamente tecnologias de stream processing, Continuous Query Language (CQL), streams and tables, service orchestration, BPMN, DCR graphs e process enactment engines ao BPM em cenário de transformação digital. A tecnologia principal é o BEST, uma abordagem para transformar motores de stream processing em plataformas de orquestração de processos.</t>
  </si>
  <si>
    <t>A aplicação está claramente na etapa de execução/orquestração de processos, com conexão também a monitoramento, analytics em tempo real, evolução/migração de modelos e execução de modelos híbridos.</t>
  </si>
  <si>
    <t>O artigo apresenta objetivos claros: unificar execução de modelos procedurais, declarativos e híbridos; reduzir complexidade de infraestrutura; aproveitar infraestrutura de stream processing existente; permitir adaptação dinâmica e consolidar execução e monitoramento.</t>
  </si>
  <si>
    <t>O artigo relata implementação e avaliação com Esper, comparação com Camunda e DCRGraphs, e demonstra viabilidade para processos procedurais, declarativos e híbridos. Também aponta impacto na consolidação de plataformas e suporte a modelos híbridos.</t>
  </si>
  <si>
    <t>O artigo explicita limitações: ausência de verificação formal de soundness em modelos híbridos, foco atual em controle de fluxo com dados simples, necessidade de extensões para tarefas humanas e exceções, necessidade de expertise em CQL, e validação ainda limitada.</t>
  </si>
  <si>
    <t>Automation, RPA and Workflow/BPMS; Modeling, Simulation, Digital Twin and BPMN</t>
  </si>
  <si>
    <t>Execution and Automation; Monitoring, Control and Analysis</t>
  </si>
  <si>
    <t>Agility, Adaptability and Resilience</t>
  </si>
  <si>
    <t xml:space="preserve">Data Quality, Availability and Generalizability; Methodological and Empirical Validation Limits; Human, Organizational and Adoption Challenges; </t>
  </si>
  <si>
    <r>
      <rPr>
        <rFont val="Helvetica Neue"/>
        <color rgb="FF1155CC"/>
        <u/>
      </rPr>
      <t>https://ieeexplore.ieee.org/document/11196068/</t>
    </r>
  </si>
  <si>
    <t>O artigo tem como objetivo central identificar e classificar empiricamente os componentes de hiperautomação disponíveis nos ecossistemas das principais plataformas LC-BPM. O resultado é uma taxonomia de três níveis validada por painel Delphi de 10 especialistas de vendors globais líderes (Microsoft, Appian, IBM, Pegasystems, Creatio, Salesforce, ServiceNow, OutSystems, Oracle, Software AG): Hyperautomation Fundamentals (AI, ML), Automation Accelerators (low-code, iBPMS, process mining, task mining, digital twin, RPA, OCR, IDP, low-code API management) e Automation Enablers (NLP, virtual agents, chatbots, reporting &amp; analytics, decision management, intelligent document processing, voice bots, screen/web scraping, application performance management, content and knowledge management).</t>
  </si>
  <si>
    <t xml:space="preserve">Process Design (Etapas 1–4: Process Architecture Governance, Digital Twin Discovery, Process Improvement, Process Redesign), Application Design (Etapas 5–7: Data &amp; UI Design, Automation &amp; Configuration, Application Deployment) e Process Observability (Etapas 8–9: Process Intelligence &amp; Adjustment, Compliance &amp; Governance). Para cada etapa, as funções proativas de cada tecnologia são descritas em detalhe.
</t>
  </si>
  <si>
    <t>O artigo articula explicitamente múltiplos objetivos organizacionais ao longo do texto: transformação digital, agilidade de negócios, democratização da tecnologia para PMEs com recursos limitados, redução da dependência de desenvolvedores especializados, aceleração da automação de processos, gestão proativa de processos (transição de BPM reativo para proativo) e melhoria da qualidade de projetos de automação.</t>
  </si>
  <si>
    <t>O artigo reporta resultados em dois níveis: (1) consenso Delphi na Rodada 4 (mediana 8,5/10, DP 0,97), confirmando forte consenso dos especialistas sobre a validade do modelo iBPM; (2) avaliação formativa em 3 organizações (manufatura, serviços financeiros, TI), com scores em escala Likert 5 pontos para cinco critérios. Os impactos descritos são perceptuais e de usabilidade do modelo proposto. Não há medidas quantitativas objetivas de desempenho de processos (tempo de ciclo, custo, taxa de erro) como nos estudos de caso de Truong et al.</t>
  </si>
  <si>
    <t>1) ausência de validação quantitativa de impactos de desempenho de processos — gap que outros artigos do corpus (Truong et al.; Ivanov &amp; Molodchik) buscam preencher; (2) cobertura setorial restrita; (3) definições instáveis de "citizen developer" e "low-code" complicam generalização; (4) necessidade de investigação sobre limites dos LC-BPM em processos complexos e interorganizacionais. A ameaça à validade temporal (rápida evolução das tecnologias) é especialmente pertinente para uma RSL sobre tecnologias emergentes.</t>
  </si>
  <si>
    <t xml:space="preserve">Identification and Discovery; Modeling, Design and Redesign; Execution and Automation; Optimization and Continuous Improvement; Governance and Strategic Alignment; </t>
  </si>
  <si>
    <t>Efficiency, Cost and Time Reduction; Agility, Adaptability and Resilience; Strategic Alignment and Competitiveness; Sustainability and Resource Optimization</t>
  </si>
  <si>
    <t>Performance Gains and Quantitative Benefits; Automation, Standardization and Process Quality; Customer/Stakeholder and Service Outcomes; Technical or Conceptual Validation</t>
  </si>
  <si>
    <t>Data Quality, Availability and Generalizability; Methodological and Empirical Validation Limits; Technical Scalability, Interoperability and Integration; ; Domain or Context-Specific Constraints</t>
  </si>
  <si>
    <r>
      <rPr>
        <rFont val="Helvetica Neue"/>
        <color rgb="FF1155CC"/>
        <u/>
      </rPr>
      <t>https://ieeexplore.ieee.org/document/11062816/</t>
    </r>
  </si>
  <si>
    <t>O artigo identifica diretamente low-code platforms como tecnologia associada ao BPM e à transformação digital em PMEs. Também caracteriza componentes de low-code ligados ao BPM: BPMN modeling, workflow automation, RPA, AI/ML, process mining, task mining, OCR, NLP, chatbots, API orchestration, dashboards e cloud deployment.</t>
  </si>
  <si>
    <t xml:space="preserve">O artigo discute diretamente o uso de low-code ao longo do ciclo BPM: identificação, descoberta, análise, redesign, implementação e monitoramento. Também mostra que, na prática, PMEs usam mais funções básicas como modelagem, automação de workflow, relatórios e processamento documental.
</t>
  </si>
  <si>
    <t xml:space="preserve">O artigo associa low-code em BPM a objetivos organizacionais claros: eficiência operacional, transformação digital, redução de barreiras técnicas, automação, agilidade, redução de dependência de TI, citizen development e otimização de processos.
</t>
  </si>
  <si>
    <t xml:space="preserve">O artigo traz resultados empíricos: 94% dos respondentes usam low-code em atividades BPM; 67% relatam integração entre ciclo BPM e desenvolvimento baseado em BPMN; 80% usam ambientes integrados multi-módulo. Também mostra subutilização de recursos avançados como IA/ML, RPA, NLP e process mining.
</t>
  </si>
  <si>
    <t xml:space="preserve">O artigo é forte em lacunas: aponta diferença entre teoria e prática, adoção parcial do ciclo BPM, baixa maturidade digital, uso limitado de IA/process mining, falta de governança, informalidade, restrições de tempo/orçamento e necessidade de frameworks BPM mais adaptáveis a PMEs.
</t>
  </si>
  <si>
    <t xml:space="preserve">Methodological and Empirical Validation Limits; Human, Organizational and Adoption Challenges; Privacy, Security, Ethics and Governance; </t>
  </si>
  <si>
    <r>
      <rPr>
        <rFont val="Helvetica Neue"/>
        <color rgb="FF1155CC"/>
        <u/>
      </rPr>
      <t>https://ieeexplore.ieee.org/document/11238925/</t>
    </r>
  </si>
  <si>
    <t>O artigo associa diretamente BPM, BPMN, Bizagi, Alfresco/ECM, business capability maps, automação de workflows e repositório documental à transformação digital na área financeira de uma universidade.</t>
  </si>
  <si>
    <t>O artigo aplica as tecnologias em várias etapas: análise dos processos existentes, modelagem BPMN, redesign/otimização, automação de workflow, definição de regras de negócio, validação/testes e integração com sistemas existentes.</t>
  </si>
  <si>
    <t>O artigo apresenta objetivos claros: melhorar eficiência, transparência, rastreabilidade, gestão documental, atendimento ao cliente, padronização dos processos e reduzir atrasos/retrabalho.</t>
  </si>
  <si>
    <t>O artigo relata impactos concretos: redução de 25% no tempo de processamento, melhoria da rastreabilidade documental, validação positiva por especialistas e usuários finais, com notas de transparência e eficiência acima de 4/5.</t>
  </si>
  <si>
    <t>O artigo aponta limitações explícitas: estudo de caso único na UTPL, dependência de ferramentas específicas como Bizagi e Alfresco, generalização limitada e necessidade de investigar fatores socio-organizacionais e tecnologias futuras.</t>
  </si>
  <si>
    <t>Data Analytics, BI and Data Mining; Automation, RPA and Workflow/BPMS; Modeling, Simulation, Digital Twin and BPMN</t>
  </si>
  <si>
    <t xml:space="preserve">Data Quality, Availability and Generalizability; Methodological and Empirical Validation Limits; </t>
  </si>
  <si>
    <r>
      <rPr>
        <rFont val="Helvetica Neue"/>
        <color rgb="FF1155CC"/>
        <u/>
      </rPr>
      <t>https://ieeexplore.ieee.org/document/11239239/</t>
    </r>
  </si>
  <si>
    <t xml:space="preserve">O artigo menciona tecnologias associadas à transformação digital, como IoT/Industry 4.0, big data analytics e generative AI, mas não as analisa como tecnologias associadas ao BPM. O foco principal é o ciclo de vida de projetos de transformação digital, não tecnologias usadas no gerenciamento de processos.
</t>
  </si>
  <si>
    <t xml:space="preserve">O artigo associa tecnologias digitais a objetivos como eficiência, produtividade, novos modelos de negócio, colaboração, inovação e criação de valor. Porém, esses objetivos são discutidos no contexto de projetos de transformação digital, não especificamente no uso de tecnologias em BPM.
</t>
  </si>
  <si>
    <t>O artigo apresenta lacunas sobre metodologias de gestão de projetos de transformação digital, complexidade, incerteza, orçamento e inadequação de modelos tradicionais de ciclo de vida. Porém, essas lacunas não são especificamente sobre integração entre tecnologias, BPM e transformação digital.</t>
  </si>
  <si>
    <t>Data Analytics, BI and Data Mining; AI, Machine Learning and Intelligent Automation; Enterprise Systems, Cloud, IoT or Integration Technologies</t>
  </si>
  <si>
    <t>Technical Scalability, Interoperability and Integration</t>
  </si>
  <si>
    <r>
      <rPr>
        <rFont val="Helvetica Neue"/>
        <color rgb="FF1155CC"/>
        <u/>
      </rPr>
      <t>https://ieeexplore.ieee.org/document/11331249/</t>
    </r>
  </si>
  <si>
    <t>"Specifically, it employs Principal Component Analysis (PCA) for dimensionality reduction... The Particle Swarm Optimization (PSO) algorithm is used to optimize the parameters of Random Forest (RF), and an improved CatBoost algorithm is combined to construct a more efficient business dynamic adaptation integrated model.</t>
  </si>
  <si>
    <t xml:space="preserve">“The dynamic process lifecycle dimension integrates artificial intelligence throughout the entire process lifecycle.” </t>
  </si>
  <si>
    <t xml:space="preserve">“By leveraging artificial intelligence to achieve the intelligence of BPM, enterprises can more efficiently integrate resources, optimize processes, and improve customer satisfaction, thereby gaining an advantage in fierce market competition.”  </t>
  </si>
  <si>
    <t xml:space="preserve">“The research results show that compared with advanced models such as intelligent business process optimization integration models, the proposed model reduces classification errors by about 30%, root mean square errors by about 28%, and recall rates by about 20%.”  ￼
“The effect is outstanding in different enterprise scenarios, such as a 43.90% increase in inventory turnover rate in large manufacturing enterprises and a 56.31% monthly reduction in equipment downtime in electronic product manufacturing enterprises.” </t>
  </si>
  <si>
    <t xml:space="preserve">“However, there are limitations to the research. The processing efficiency and resource consumption of the model need to be optimized in ultra complex, large data volume, and rapidly changing scenarios, and the integration solution with existing enterprise systems is not yet perfect.”  ￼
“In the future, more efficient algorithm architectures can be investigated, seamless integration technologies between models and enterprise systems can be explored, and applications in emerging business fields can be expanded…”  </t>
  </si>
  <si>
    <t>Efficiency, Cost and Time Reduction; Strategic Alignment and Competitiveness; Customer/Stakeholder Experience and Service Quality; Sustainability and Resource Optimization</t>
  </si>
  <si>
    <r>
      <rPr>
        <rFont val="Helvetica Neue"/>
        <color rgb="FF1155CC"/>
        <u/>
      </rPr>
      <t>https://ieeexplore.ieee.org/document/11069117/</t>
    </r>
  </si>
  <si>
    <t>“The paper also discusses the role of Web Services technology, ESB tools and BPM tools in supporting the design and implementation of SOA architecture.”</t>
  </si>
  <si>
    <t>O artigo menciona que BPM tools apoiam modelagem, execução, monitoramento e otimização de processos. Também descreve uso em processos de declaração e aprovação de projetos científicos. No entanto, não organiza a análise segundo o ciclo de vida clássico do BPM nem discute fases como descoberta, análise ou redesenho em profundidade.</t>
  </si>
  <si>
    <t xml:space="preserve">O artigo apresenta objetivos claros: resolver “ilhas de informação”, melhorar compartilhamento de dados, colaboração de negócios, eficiência, qualidade da cooperação, padronização e automação. Contudo, esses objetivos são relacionados à plataforma SOA de cooperação escola-empresa, não especificamente à adoção de tecnologias em BPM como disciplina.
</t>
  </si>
  <si>
    <t>O artigo afirma que a arquitetura SOA melhora compartilhamento de dados, colaboração, eficiência e qualidade. Porém, os resultados são descritos de forma geral, sem métricas quantitativas, avaliação robusta ou evidência empírica detalhada de impacto em processos.</t>
  </si>
  <si>
    <r>
      <rPr>
        <rFont val="Helvetica Neue"/>
        <color rgb="FF1155CC"/>
        <u/>
      </rPr>
      <t>https://ieeexplore.ieee.org/document/11170450/</t>
    </r>
  </si>
  <si>
    <t xml:space="preserve">
"Business Process Management (BPM), serving as the core pillar of modern enterprise operational systems, aims to achieve cross-departmental and cross-functional collaboration through systematic process design, execution, and optimization. A significant research direction in the current BPM domain involves the development of intelligent generation techniques that automatically transform unstructured textual descriptions of workflows into standardized BPMN (Business Process Model and Notation) models, effectively bridging the gap from natural language descriptions to visualized processes."</t>
  </si>
  <si>
    <t>"BPM systems integrate a suite of tools and methodologies, encompassing the entire lifecycle of business processes, from design and implementation to monitoring and optimization, with the objective of improving process efficiency, effectiveness, and adaptability."</t>
  </si>
  <si>
    <t>padronização inteligente de workflows, transformação digital da infraestrutura elétrica, automação de conformidade regulatória (compliance auditing), e eficiência operacional</t>
  </si>
  <si>
    <t>s shown in Table 2, the Lumina BPM-10B model achieves strong performance in actor recognition, with a recall of 0.8842, a precision of 0.9474, and an F1 score of 0.9147. These results indicate that the model can accurately and comprehensively identify actor-related components from natural language descriptions. Compared with other models such as ChatGPT (F1 score: 0.8117), Wenxin Yiyan (F1 score: 0.7712), and Doubao (F1 score: 0.6985), Lumina BPM-10B performs better across all evaluation metrics."</t>
  </si>
  <si>
    <t>"While significant progress has been made in automated business process modeling for English texts, the development of comparable methodologies for Chinese process documentation remains underexplored, highlighting a critical research gap that merits further investigation."
E também: "At present, human experts were involved only in the evaluation phase, where they manually assessed the correctness of generated BPMN elements. The system itself does not incorporate an interactive human-in-the-loop mechanism. For safety-critical domains such as electric power, integrating domain experts or system operators into the loop could further enhance reliability by allowing corrective feedback and iterative refinement of workflow extraction and BPMN generation."</t>
  </si>
  <si>
    <r>
      <rPr>
        <rFont val="Helvetica Neue"/>
        <color rgb="FF1155CC"/>
        <u/>
      </rPr>
      <t>https://www.sciencedirect.com/science/article/pii/S0360835225000828</t>
    </r>
  </si>
  <si>
    <t xml:space="preserve">“The analysis of the case consisted of the application of Business Process Modeling and Notation (BPMN) standards to design the passage from ‘AS-IS’ to ‘TO-BE’ transition by highlighting the impact of digital technologies…” / “The impact of digital technologies is analyzed for both ‘AS IS’ and the ‘TO BE’ processes…”  
</t>
  </si>
  <si>
    <t xml:space="preserve">“mapping of the BPMN ‘AS IS’ processes highlighting bottlenecks and discussing possible interventions to solve problems…” / “mapping of the BPMN ‘TO BE’ process developing the new organisational model including the definition of the new human resource skills and the Key Performance Indicators (KPIs) to estimate for the monitoring of the ‘TO BE’ processes.”  
</t>
  </si>
  <si>
    <t xml:space="preserve">“The ‘TO BE’ digital solutions are aimed at accelerating the process of transforming the company from a service company to a service and production company in the advanced manufacturing sector.” / “The TO-BE process mapping activity had as its objective the ‘focusing’ of the technological interventions in a logic of process efficiency deriving from the twin transformation process.”  </t>
  </si>
  <si>
    <t xml:space="preserve">“The digital maturity analysis and the identification of the high impact technologies allowed to establish the optimum ‘TO BE’ processes to accompany the firm in the transition.” / “The process mapping and the study of the new model including digital technologies allow us to comprehend the mechanisms to construct a twin transition process transforming the case study from service to service and manufacturing firm.”  
</t>
  </si>
  <si>
    <t xml:space="preserve">“The paper acknowledges several limitations that point to the need for further investigation.” / “the limitations are related to the empirical evidence, which includes the qualitative nature of the approach and the sectorial profile of the company analyzed.” / “future investigation could be addressed to solve the limitation due to the not sufficient availability of data to estimate the scoring of the ‘TO BE’ implemented process.”  
</t>
  </si>
  <si>
    <t>Modeling, Design and Redesign; Monitoring, Control and Analysis</t>
  </si>
  <si>
    <t>Customer/Stakeholder and Service Outcomes; Technical or Conceptual Validation</t>
  </si>
  <si>
    <r>
      <rPr>
        <rFont val="Helvetica Neue"/>
        <color rgb="FF1155CC"/>
        <u/>
      </rPr>
      <t>https://www.sciencedirect.com/science/article/pii/S2405896325025613</t>
    </r>
  </si>
  <si>
    <t xml:space="preserve">“The increasing integration of advanced technologies and artificial intelligence (AI) into manufacturing and business processes drives the adoption of low-code development platforms (LCDPs).” / “Keywords: Artificial Intelligence (AI), Low-Code Development Platform (LCDP), Business Processes, Manufacturing Processes, Industry 4.0, Digital Transformation, Automation.” / “The integration of AI capabilities into low-code platforms has the potential to address several of stakeholders’ expectations by providing intelligent automation, predictive insights, and personalized recommendations…”  
</t>
  </si>
  <si>
    <t xml:space="preserve">“The IT Department plays a key role in managing business and manufacturing process support systems, as technological and software solutions are often used to automate, monitor, and support various processes.” / “Process Owners… are responsible for the efficiency, optimization, and continuous improvement of the processes…” / “Table 5. Application of artificial intelligence in LCDPs” inclui “Process Automation &amp; Optim.”, “Process Monitoring and Analytics”, “Real-Time Decision Making” e “Predictive Maintenance.”  
</t>
  </si>
  <si>
    <t xml:space="preserve">“The integration of advanced technologies and AI is transforming the manufacturing landscape, driven by a need to optimize production and enhance efficiency.” / “This approach accelerates development, allowing organizations to respond faster to business needs and fostering innovation.” / “Top management is primarily interested in the potential for low-code platforms to alleviate the shortage of skilled developers, reduce errors, and deliver significant time savings…”
</t>
  </si>
  <si>
    <t>O artigo apresenta resultados de survey sobre prioridades de stakeholders e análise de funcionalidades em LCDPs. Mostra diferenças entre grupos: Top Management prioriza cost reduction e predictive analytics; Process Owners priorizam alerts/notifications, process automation e monitoring/analytics; Process Participants priorizam automated document processing; IT prioriza knowledge management e security monitoring. Porém, não relata impactos operacionais de uma implementação real de IA/low-code em processos de manufatura.</t>
  </si>
  <si>
    <t xml:space="preserve">“While the literature establishes the value of AI-augmented low-code development platforms (LCDPs) in manufacturing, it lacks a detailed analysis of stakeholder-specific requirements.” / “A critical gap exists in understanding the nuanced expectations for AI features among diverse groups…” / “This transformation calls for further research into long-term impacts and governance, alongside a formal framework to align stakeholder requirements.”  </t>
  </si>
  <si>
    <t>Efficiency, Cost and Time Reduction; Innovation and Capability Development</t>
  </si>
  <si>
    <t>Performance Gains and Quantitative Benefits; Improved Decision-Making and Process Visibility; Automation, Standardization and Process Quality; Limited or Inconclusive Evidence</t>
  </si>
  <si>
    <t xml:space="preserve">Human, Organizational and Adoption Challenges; Privacy, Security, Ethics and Governance; </t>
  </si>
  <si>
    <r>
      <rPr>
        <rFont val="Helvetica Neue"/>
        <color rgb="FF1155CC"/>
        <u/>
      </rPr>
      <t>https://doi.org/10.1108/BPMJ-05-2025-0759</t>
    </r>
  </si>
  <si>
    <t>O artigo não classifica tecnologias digitais específicas de forma técnica ou detalhada, mas discute como o portfólio de aplicações de TI, tecnologias generativas, low-code/no-code, LLMs, sistemas core/ERP, arquiteturas modulares, microserviços, A/B tests, analytics e process mining podem apoiar BPM na inovação digital contínua. A relação com BPM e inovação digital é central, mas o foco é mais organizacional/gerencial do que tecnológico.</t>
  </si>
  <si>
    <t xml:space="preserve">O artigo define BPM como capacidade de design, modelagem, análise, melhoria e execução de processos, mas não mapeia tecnologias diretamente para cada etapa do ciclo de vida BPM. A contribuição está em mostrar que BPM deve apoiar inovação digital contínua por meio de processos flexíveis, análise de desempenho real, experimentação, feedback de clientes/funcionários e adaptação dos sistemas.
</t>
  </si>
  <si>
    <t xml:space="preserve">“BPM can enable digital innovation along four dimensions: organizational IT application portfolio, organizational structure, organizational culture and organizational capabilities.” / “To continuously enable digital innovation, BPM-related technologies should be implemented to promote stability in certain elements of business processes while allowing for change and flexibility in others.” / “BPM should be set up so that the surrounding organizational structures are designed to allow for fast decision-making about process changes, empower process owners, and foster end-to-end process awareness.”  </t>
  </si>
  <si>
    <t xml:space="preserve">O artigo apresenta resultados conceituais derivados de Delphi e entrevistas com executivos: quatro dimensões pelas quais BPM pode habilitar inovação digital e quatro conjecturas gerenciais. Porém, não relata impacto operacional mensurado, implementação tecnológica específica ou resultados quantitativos de desempenho após adoção de tecnologia.
</t>
  </si>
  <si>
    <t xml:space="preserve">“There remains a gap in the existing research on how BPM can be set up so that it is continuously receptive to and enables digital innovation on an ongoing basis.” / “Since we focused on key decision-makers, our findings reflect experiences and insights as perceived by a number of top managers.” / “the impact of generative Artificial Intelligence and agentic information systems […] was not covered by our empirical material…”  </t>
  </si>
  <si>
    <t>Data Analytics, BI and Data Mining; Process Mining and Event Logs; Enterprise Systems, Cloud, IoT or Integration Technologies</t>
  </si>
  <si>
    <t>Agility, Adaptability and Resilience; Data-Driven Decision Support; Innovation and Capability Development</t>
  </si>
  <si>
    <r>
      <rPr>
        <rFont val="Helvetica Neue"/>
        <color rgb="FF1155CC"/>
        <u/>
      </rPr>
      <t>https://doi.org/10.1108/BPMJ-03-2025-0348</t>
    </r>
  </si>
  <si>
    <t xml:space="preserve">“BPM is characterized as a structured methodology integrating various methods, techniques and tools to design, model, execute, monitor and improve operational processes…” / “PDA utilizes advanced techniques, such as simulation and machine learning, to support informed decision-making and drive innovation.” / “Advanced process automation (APA) boosts process efficiency and enhances decision-making efforts through technologies such as robotic process automation and cognitive automation.” </t>
  </si>
  <si>
    <t>“BPM is characterized as a structured methodology integrating various methods, techniques and tools to design, model, execute, monitor and improve operational processes…” / “Key components of IT capabilities include process design and modeling, process implementation and execution, process monitoring and control, process improvement and innovation…” / “We linked PDA to business processes, which are utilized across all BPM lifecycle phases.”</t>
  </si>
  <si>
    <t xml:space="preserve">“BPM capabilities such as process context management, process compliance management, process data analytics, process architecture and integration and adaptive process improvement exerted a statistically significant influence on reducing digitalization barriers…” / “Organizations employing BPM aim to enhance process efficiency, effectiveness and agility…” / “PDA enables organizations to derive insights from their data, supporting informed decision-making and fostering innovation.”  </t>
  </si>
  <si>
    <t xml:space="preserve">“This study employed a mixed sequential model and had 369 valid respondents… and 30 respondents who participated in qualitative interviews…” / “BPM capabilities such as process context management, process compliance management, process data analytics, process architecture and integration and adaptive process improvement exerted a statistically significant influence on reducing digitalization barriers…” / “Advanced process automation did not have a significant effect on reducing organizational digitalization barriers.” </t>
  </si>
  <si>
    <t xml:space="preserve">“existing studies on BPM and digital innovation have primarily been conducted in Western contexts…” / “the impact of digital innovation through BPM capabilities remains underexamined…” / “This study has several limitations… Most of the study’s respondents are relatively young… the majority of respondents worked in technology companies.” / “Future research should focus more narrowly on individual industries…”  </t>
  </si>
  <si>
    <t>AI, Machine Learning and Intelligent Automation; Automation, RPA and Workflow/BPMS; Modeling, Simulation, Digital Twin and BPMN</t>
  </si>
  <si>
    <t>Efficiency, Cost and Time Reduction; Agility, Adaptability and Resilience; Data-Driven Decision Support; Compliance, Trust, Risk and Accountability; Innovation and Capability Development</t>
  </si>
  <si>
    <t>Improved Decision-Making and Process Visibility; Automation, Standardization and Process Quality; Organizational Agility and Transformation Outcomes; Technical or Conceptual Validation</t>
  </si>
  <si>
    <r>
      <rPr>
        <rFont val="Helvetica Neue"/>
        <color rgb="FF1155CC"/>
        <u/>
      </rPr>
      <t>https://doi.org/10.1108/BPMJ-07-2024-0666</t>
    </r>
  </si>
  <si>
    <t>O artigo não tem como foco identificar tecnologias específicas associadas ao BPM. Ele analisa a relação entre maturidade em BPM e maturidade digital. Ainda assim, menciona tecnologias e dimensões tecnológicas relevantes, como digital technologies, digital tools, IT systems, IT architecture, infrastructure management, data usage, data analytics, AI, digital products/services e digitalized/automated process flows. Porém, essas tecnologias aparecem como dimensões de maturidade digital, não como classificação aprofundada de tecnologias BPM.</t>
  </si>
  <si>
    <t xml:space="preserve">O artigo menciona que BPM envolve métodos e ferramentas aplicados à gestão de processos e que a maturidade BPM se relaciona com processos digitalizados, automação, melhoria, tecnologia, governança e mudança. Porém, não mapeia tecnologias específicas às etapas do ciclo BPM, como modelagem, execução, monitoramento, análise ou melhoria. A contribuição é indireta.
</t>
  </si>
  <si>
    <t xml:space="preserve">“We conclude that excelling in BPM can support an organization’s digital transformation efforts. However, attention should be paid to employing BPM in a way that extends beyond standardization and efficiency and enables customer-centricity and innovation.” / “Digital maturity refers to an organization’s ability to leverage digital technologies to transform business models, operational processes, and customer experience.”  </t>
  </si>
  <si>
    <t xml:space="preserve">“The statistical analysis revealed a strong impact of BPM maturity on change management capabilities. The dimensions of digital processes, competencies, governance, strategy and technological readiness were found to be moderately positively influenced by BPM maturity. The analysis did not confirm a positive influence of BPM maturity on building digital customer value or data usage.” / “The findings show various levels of explanatory power (R²) and </t>
  </si>
  <si>
    <t xml:space="preserve">“Comprehensive research explicitly addressing the impact of BPM capabilities on a more complete set of digital maturity dimensions is lacking.” / “The limitation of this study is that the assignment of BPM maturity levels relied on respondents’ subjective assessments.” / “An additional limitation results from the potential sample bias associated with the convenience sampling method we used.”  </t>
  </si>
  <si>
    <t>Efficiency, Cost and Time Reduction; Strategic Alignment and Competitiveness; Customer/Stakeholder Experience and Service Quality; Innovation and Capability Development</t>
  </si>
  <si>
    <t>Performance Gains and Quantitative Benefits; Customer/Stakeholder and Service Outcomes; Organizational Agility and Transformation Outcomes</t>
  </si>
  <si>
    <r>
      <rPr>
        <rFont val="Helvetica Neue"/>
        <color rgb="FF1155CC"/>
        <u/>
      </rPr>
      <t>https://doi.org/10.1108/BPMJ-06-2024-0467</t>
    </r>
  </si>
  <si>
    <t>O artigo não tem como objetivo principal identificar ou classificar tecnologias específicas associadas ao BPM. O foco está nas capacidades de BPM e em como elas influenciam a transformação digital sustentável em PMEs vietnamitas. Ainda assim, o artigo menciona tecnologias digitais relevantes, como Industry 4.0, Industry 5.0, robótica, inteligência artificial, big data, Internet of Things, blockchain, edge/fog computing, smart sensors, digital twins, augmented reality, mixed reality, 6G, além de ferramentas, métodos e software de BPM.</t>
  </si>
  <si>
    <t xml:space="preserve">O artigo descreve o BPM como abrangendo identificação, descoberta, análise, design, implementação e monitoramento, além de planejamento, análise, desenho, monitoramento e otimização. Também menciona que BPM oferece metodologias e ferramentas para todas as fases do ciclo de vida. Porém, não faz um mapeamento detalhado de cada tecnologia digital para cada etapa do ciclo BPM.
</t>
  </si>
  <si>
    <t xml:space="preserve">“The potential to improve operational efficiency, stimulate innovation and equip organizations to adapt to rapid technological changes is the primary reason for the significance of sustainable digital transformation for SMEs.” / “BPM leaders can identify weaknesses in their business process portfolios and proactively improve their processes to lower risk and satisfy customer requirements when their BPMC is better.” / “practitioners should prioritize enhancing focus on BPMC and DDM, as this would significantly facilitate more comprehensive solutions, enabling SMEs to achieve optimal success in sustainable digital transformation.”  </t>
  </si>
  <si>
    <t xml:space="preserve">“The statistical results indicated that BPMC had a significant and beneficial effect on ESDT. This relationship was partially mediated by DMM.” / “the results of direct effects authenticated that the interconnections between BPMC and ESDT (β = 0.234; t-value = 2.683; p-value = 0.007); BPMC and DDM (β = 0.495; t-value = 7.831; p-value = 0.000); DDM and ESDT (β = 0.332; t-value = 4.007; p-value = 0.000); obtained the positive and significant coefficients.”  </t>
  </si>
  <si>
    <t xml:space="preserve">“the academic literature has not yet devoted much attention to the ways in which BPM can improve and enhance the ESDT.” / “First, since this study was solely undertaken in Vietnam, the results may not be applied to other countries.” / “Third, longitudinal studies are suggested for further research into the same factors over an extended period of time.” / “several in-depth investigations are urged to extend the linked constructs and use them in order to establish a more robust and rigorous interpretation of BPM-related capabilities.”  </t>
  </si>
  <si>
    <t>Efficiency, Cost and Time Reduction; Agility, Adaptability and Resilience; Customer/Stakeholder Experience and Service Quality; Compliance, Trust, Risk and Accountability; Innovation and Capability Development</t>
  </si>
  <si>
    <r>
      <rPr>
        <rFont val="Helvetica Neue"/>
        <color rgb="FF1155CC"/>
        <u/>
      </rPr>
      <t>https://doi.org/10.1108/BPMJ-10-2024-0975</t>
    </r>
  </si>
  <si>
    <t xml:space="preserve">“PII systems (PIIS), which we define as the class of software tools that assist human process designers in PII by (semi-)automating the (re-)design of business processes…” / “Keywords Process improvement, Process innovation, Process redesign, Business process management, Process mining, Generative artificial intelligence” / “PIIS can be considered a subclass of BPMS…”  </t>
  </si>
  <si>
    <t xml:space="preserve">This includes a focus on the actual generation of new process designs, computational support for this task, and a focus on changes at design time.” / “it should be interoperable from a BPM lifecycle perspective, i.e. building on results from process discovery and analysis as well as forming the foundation for implementation activities.”  </t>
  </si>
  <si>
    <t>“Computationally supporting PII is an important step towards that goal, with the potential of making PII less resource-intensive, less costly, and more efficient, leveraging technological capabilities.” / “PIIS are only beneficial to human process designers when they make PII activities more effective, more efficient, or both.” / “Maintain human control during PII.</t>
  </si>
  <si>
    <t>O artigo apresenta como resultado principal 14 princípios de design e 3 requisitos de design para PIIS, avaliados por entrevistas, revisão de literatura e surveys. Também analisa sete artefatos exemplares e mostra lacunas atuais. Porém, não relata impacto organizacional de uma implementação real de PIIS em empresas nem métricas de desempenho operacional pós-adoção.</t>
  </si>
  <si>
    <t xml:space="preserve">“computational support for PII remains scarce.” / “There are no commercial solutions and only few works towards PIIS in research…” / “There is no systematically captured prescriptive design knowledge for PIIS.” / “we limited the scope of our research to an ex-ante investigation of our design principles… and did not develop expository prototypes.”  </t>
  </si>
  <si>
    <t>Process Mining and Event Logs; AI, Machine Learning and Intelligent Automation; Automation, RPA and Workflow/BPMS; Enterprise Systems, Cloud, IoT or Integration Technologies</t>
  </si>
  <si>
    <t xml:space="preserve">Identification and Discovery; Modeling, Design and Redesign; Execution and Automation; Monitoring, Control and Analysis; </t>
  </si>
  <si>
    <t>Efficiency, Cost and Time Reduction; Sustainability and Resource Optimization</t>
  </si>
  <si>
    <t>Performance Gains and Quantitative Benefits; Limited or Inconclusive Evidence</t>
  </si>
  <si>
    <r>
      <rPr>
        <rFont val="Helvetica Neue"/>
        <color rgb="FF1155CC"/>
        <u/>
      </rPr>
      <t>https://www.scopus.com/pages/publications/105017652480?origin=resultslist</t>
    </r>
  </si>
  <si>
    <t xml:space="preserve">“BPM practices were progressively embedded into major IT initiatives, including customer relationship management, enterprise resource planning, service-oriented architecture, and robotic process automation…” / “In 2024, RPA was extended to HR and finance functions, introducing AI-based CV matching and automated document understanding for invoice processing within ERP workflows.” </t>
  </si>
  <si>
    <t xml:space="preserve">“Under the DigiWay transformation program launched in 2022, BPM principles were institutionalised through the Smart Process Management track. This ensured that process discovery, re-engineering, and automation efforts aligned with KPIs and supported measurable outcomes.” / “It marked a clear mental model shift: BPM evolved from a documentation-driven effort to a mechanism for real-time monitoring through business activity monitoring (BAM), cross-functional coordination, and scalable governance.” 
</t>
  </si>
  <si>
    <t xml:space="preserve">“The case shows how BPM can move beyond efficiency, serving as an enabler of digital transformation, strategic alignment, and cultural renewal.” / “SLT’s BPM-driven transformation delivered far-reaching results that extended well beyond technical upgrades. It enhanced operational agility, improved service delivery, and embedded a process-oriented culture.” </t>
  </si>
  <si>
    <t xml:space="preserve">“SLT reduced landline installation time from four weeks to one day and shortened product launch cycles from 4–6 months to 6–8 weeks.” / “Automation over 70 repetitive processes across service delivery and IT operations…” / “In order management, RPA reduced processing times by up to 90%…” / “Real-time monitoring through BAM allowed faster resolution of issues (reduced by 20%) and better SLA compliance (improved by 10%).” </t>
  </si>
  <si>
    <t xml:space="preserve">“This paper does not provide a detailed financial analysis of SLT’s BPM efforts, such as cost-benefit outcomes or return on investment…” / “Nor does it benchmark SLT’s BPM maturity against industry peers or global telecom standards…” / “Broader stakeholder perspectives, such as those of partners and vendors, are also outside the scope of this discussion.” </t>
  </si>
  <si>
    <t xml:space="preserve">Identification and Discovery; Modeling, Design and Redesign; Execution and Automation; Monitoring, Control and Analysis; Governance and Strategic Alignment; </t>
  </si>
  <si>
    <t>Performance Gains and Quantitative Benefits; Improved Decision-Making and Process Visibility; Automation, Standardization and Process Quality; Customer/Stakeholder and Service Outcomes</t>
  </si>
  <si>
    <r>
      <rPr>
        <rFont val="Helvetica Neue"/>
        <color rgb="FF1155CC"/>
        <u/>
      </rPr>
      <t>https://www.scopus.com/pages/publications/105007825601?origin=resultslist</t>
    </r>
  </si>
  <si>
    <t xml:space="preserve">“The purpose of this paper is to analyse and evaluate the different tools and techniques of business process management (BPM) as well as selection and adoption factors for process mining tools in Industry 4.0 for BPM.” / “Industry 4.0 is a visionary but also a realistic concept which includes smart manufacturing, industrial internet, cloud based manufacturing and internet of things (IoT).” / “Process mining is a technology/tool within BPM and improvement that uses data from IT systems to analyse and visualise actual process flows…” </t>
  </si>
  <si>
    <t xml:space="preserve">“A detailed seven-step methodology… Comprehend needs the business… Understanding the business process… Modelling and analysing business process… Redesign business process… Implement new business process… Evaluate new business process and methodology… Review new business process.” / “The basic components of process mining – discovery, conformance and enhancement.” / “The tool… can be used to model the TO-BE processes.” 
</t>
  </si>
  <si>
    <t xml:space="preserve">“The methodology described above is aimed at improving customer satisfaction, improving the quality of service or product, improving productivity and decreasing inventory maintenance costs, increasing profit, etc.” / “The end goal is to formulate an effective BPI strategy to improve the quality of work, increase productivity, aim for better resource management, etc.” / “The business objective… is reducing the downtime of assets…” 
</t>
  </si>
  <si>
    <t>O artigo relata impactos esperados e potenciais do uso de process mining, como melhoria de processos, geração de insights, otimização, aprendizagem organizacional, inovação e melhoria de desempenho. Também apresenta um caso hipotético de asset management em Industry 4.0. Porém, não traz estudo empírico real com dados coletados em uma organização; os resultados são majoritariamente derivados de revisão da literatura, comparação de ferramentas e caso hipotético.</t>
  </si>
  <si>
    <t xml:space="preserve">“There are several challenges and issues are identified during the implementation of BPM tools and techniques in Industry 4.0… intelligent decision-making and negotiation mechanism, high speed IWN protocols, manufacturing specific big data and analytics, system modelling and analysis, cyber security, modularised and flexible physical artefacts, investment issue.” / “The future direction is to augment the theoretical concepts… with fundamental data mining techniques like exploratory data analysis (EDA) and also showcase the capabilities of AI/ML models…” </t>
  </si>
  <si>
    <t>Process Mining and Event Logs; Enterprise Systems, Cloud, IoT or Integration Technologies</t>
  </si>
  <si>
    <t>Efficiency, Cost and Time Reduction; Customer/Stakeholder Experience and Service Quality; Sustainability and Resource Optimization</t>
  </si>
  <si>
    <t>Methodological and Empirical Validation Limits; Technical Scalability, Interoperability and Integration; Privacy, Security, Ethics and Governance; ; Domain or Context-Specific Constraints</t>
  </si>
  <si>
    <r>
      <rPr>
        <rFont val="Helvetica Neue"/>
        <color rgb="FF1155CC"/>
        <u/>
      </rPr>
      <t>https://www.scopus.com/pages/publications/105024114993?origin=resultslist</t>
    </r>
  </si>
  <si>
    <t xml:space="preserve">“This paper examines the interaction between robotic process automation (RPA), business process management (BPM), and digital transformation (DT)-three critical components in improving operational efficiency and driving business modernization.” / “BPM and DT are crucial factors in modernizing and improving business performance… DT provides technologies like RPA, AI, internet of things (IoT), and big data analytics…” </t>
  </si>
  <si>
    <t>O artigo define BPM como metodologia que inclui análise, design, implementação, monitoramento e otimização de processos. Também relaciona RPA à automação de tarefas e DT à melhoria tecnológica dos processos. Porém, não há um mapeamento detalhado tecnologia-etapa do ciclo BPM; a análise é mais conceitual e integrativa.</t>
  </si>
  <si>
    <t xml:space="preserve">“RPA automates repetitive tasks, reduces errors, accelerates processing, and optimizes resource use.” / “It emphasizes that their integration is a strategic approach to improving performance, responsiveness, and continuous innovation.” / “BPM eliminates weaknesses in processes, while DT provides technologies like RPA, AI, internet of things (IoT), and big data analytics to automate and enhance efficiency…” </t>
  </si>
  <si>
    <t>O artigo relata impactos esperados e sintetizados pela literatura, como aumento de eficiência, redução de erros, melhoria de produtividade, redução de custos, inovação e maior competitividade. Também propõe o modelo RPA-BPM-DT Phased Integration Model. Porém, não apresenta estudo empírico próprio nem métricas reais de implementação; os resultados vêm de revisão sistemática e síntese conceitual.</t>
  </si>
  <si>
    <t xml:space="preserve">“there remains a gap: the lack of a comprehensive integrated framework for RPA, BPM, and DT within I4.0/I5.0…” / “Despite its contributions, this study, as a typical SLR research, has several limitations.” / “External validity is constrained by reliance on a single source (Google Scholar), English-only inclusion.” / “future research should: i) conduct empirical evaluations of RPA–BPM integration outcomes…” </t>
  </si>
  <si>
    <t>Efficiency, Cost and Time Reduction; Strategic Alignment and Competitiveness; Innovation and Capability Development; Sustainability and Resource Optimization</t>
  </si>
  <si>
    <t>Performance Gains and Quantitative Benefits; Automation, Standardization and Process Quality; Technical or Conceptual Validation; Limited or Inconclusive Evidence</t>
  </si>
  <si>
    <r>
      <rPr>
        <rFont val="Helvetica Neue"/>
        <color rgb="FF1155CC"/>
        <u/>
      </rPr>
      <t>https://www.scopus.com/pages/publications/105000174701?origin=resultslist</t>
    </r>
  </si>
  <si>
    <t>O artigo menciona várias tecnologias digitais associadas à transformação de processos, como AI, Generative AI, IoT, blockchain, augmented reality, data analytics, chatbots, machine learning, robots, drone technologies, AWS, e-commerce e facial recognition. Porém, a associação com BPM é ampla e genérica; o artigo não classifica essas tecnologias especificamente como tecnologias de BPM nem aprofunda sua aplicação no gerenciamento de processos.</t>
  </si>
  <si>
    <t>O artigo afirma que tecnologias digitais impactam automação, otimização, suporte ao cliente, interação com clientes, logística e supply chain. Também menciona otimização de processos e melhoria de produtividade. Porém, não mapeia tecnologias para etapas do ciclo BPM, como modelagem, execução, monitoramento, análise ou melhoria.</t>
  </si>
  <si>
    <t xml:space="preserve">“The research is guided by the hypothesis that digitization and innovative management are critical drivers of efficiency, productivity, and competitive advantage in the contemporary business environment.” / “Companies that implement digital technologies can gain several advantages, such as: Increased efficiency and productivity… Improved customer service quality… Cost reduction…” 
</t>
  </si>
  <si>
    <t>O artigo relata impactos positivos da digitalização em empresas como Amazon, Siemens, Tesla, Microsoft, PrivatBank, Nova Poshta, Rozetka e SoftServe. Também apresenta análise estatística e modelos econométricos, indicando relação entre inovação e desempenho financeiro. Porém, os resultados são mais ligados a desempenho empresarial geral e inovação, não a resultados específicos de tecnologias em BPM.</t>
  </si>
  <si>
    <t>O artigo menciona desafios e riscos da transformação digital, como falta de experiência, custos financeiros, mudanças culturais, segurança de dados, dilemas éticos, resistência à mudança, instabilidade de mercado, falta de recursos e limitações de infraestrutura. Porém, não apresenta uma seção robusta de limitações metodológicas nem lacunas específicas sobre integração entre tecnologias, BPM e transformação digital.</t>
  </si>
  <si>
    <t xml:space="preserve"> Human, Organizational and Adoption Challenges; Technical Scalability, Interoperability and Integration; Privacy, Security, Ethics and Governance</t>
  </si>
  <si>
    <r>
      <rPr>
        <rFont val="Helvetica Neue"/>
        <color rgb="FF1155CC"/>
        <u/>
      </rPr>
      <t>https://link.springer.com/10.1007/s40821-026-00342-0</t>
    </r>
  </si>
  <si>
    <t>O artigo identifica ERP e BPM systems como sistemas de TI analisados no contexto de transformação digital e produtividade. Porém, ele trata BPM system como um tipo de sistema de informação, não aprofunda tecnologias associadas ao BPM nem classifica tecnologias de BPM em detalhe.</t>
  </si>
  <si>
    <t>O artigo relaciona a adoção de sistemas de TI a objetivos como produtividade, desempenho, agilidade, vantagem competitiva e adaptação às condições de mercado. Porém, esses objetivos são tratados de forma geral para TI, não especificamente para BPM como disciplina de gestão de processos.</t>
  </si>
  <si>
    <t>O artigo apresenta resultados empíricos sobre impactos de ERP e BPM systems na produtividade, mostrando que ambos podem melhorar produtividade, mas com efeitos diferentes por setor.</t>
  </si>
  <si>
    <t>O artigo aponta lacunas sobre efeitos setoriais da TI, falta de estudos sobre sistemas específicos e pouca evidência empírica sobre BPM systems como ferramenta de TI. Porém, não discute lacunas específicas da integração entre tecnologias, BPM e transformação digital.</t>
  </si>
  <si>
    <t>Enterprise Systems, Cloud, IoT or Integration Technologies</t>
  </si>
  <si>
    <r>
      <rPr>
        <rFont val="Helvetica Neue"/>
        <color rgb="FF1155CC"/>
        <u/>
      </rPr>
      <t>https://link.springer.com/10.1007/s44311-025-00028-2</t>
    </r>
  </si>
  <si>
    <t>O artigo associa diretamente GenAI, LLMs, RAG, process mining, event logs, vector database, embedding model e PIIS ao BPM/BPI. A tecnologia principal é o Process Improvement Copilot, classificado como um RAG-enhanced LLM-based Process Improvement and Innovation System.</t>
  </si>
  <si>
    <t>O artigo situa a solução principalmente na etapa de Business Process Improvement / Process Improvement and Innovation, mas também usa process mining e event logs para identificar ineficiências antes da geração de ideias.</t>
  </si>
  <si>
    <t>O artigo apresenta objetivos claros: reduzir tempo e expertise necessários para BPI, automatizar/semi-automatizar a geração de ideias de melhoria, apoiar decisões humanas, usar conhecimento acumulado de BPI e gerar ideias contextualizadas.</t>
  </si>
  <si>
    <t xml:space="preserve">O artigo relata avaliação por entrevistas com especialistas e workshop em empresa real. Os participantes consideraram o sistema útil, fácil de usar e capaz de reduzir tempo e expertise de BPI. Também relata que cerca de 20% das ideias geradas foram consideradas relevantes sem investigação adicional e 40% das ações de follow-up foram avaliadas como acionáveis.
</t>
  </si>
  <si>
    <t xml:space="preserve">O artigo apresenta lacunas e limitações explícitas: falta de suporte computacional para BPI, escopo limitado às etapas de identificação de ineficiências e geração de ideias, base de conhecimento limitada, arquitetura ainda básica, falta de avaliação de complexidade/custos e necessidade de pesquisas futuras com root-cause analysis, reinforcement learning e benchmarking de RAG.
</t>
  </si>
  <si>
    <t>Process Mining and Event Logs</t>
  </si>
  <si>
    <t>Identification and Discovery; Optimization and Continuous Improvement</t>
  </si>
  <si>
    <r>
      <rPr>
        <rFont val="Helvetica Neue"/>
        <color rgb="FF1155CC"/>
        <u/>
      </rPr>
      <t>https://link.springer.com/10.1007/s12599-025-00976-w</t>
    </r>
  </si>
  <si>
    <t>O artigo associa diretamente Large Language Models (LLMs) ao BPM, especificamente à aquisição de conhecimento de processos e process discovery. A tecnologia principal é o PKAI, classificado como um sistema multiagente baseado em LLMs. Também menciona técnicas associadas, como RAG, agentes conversacionais, geração de BPMN, JSON estruturado e APIs da OpenAI.</t>
  </si>
  <si>
    <t>O artigo situa a tecnologia principalmente na etapa de process discovery, com suporte à preparação, elicitação/socialização, externalização, documentação e modelagem BPMN. Não trata execução, monitoramento ou melhoria operacional.</t>
  </si>
  <si>
    <t>O artigo apresenta objetivos claros: apoiar descoberta manual de processos, reduzir esforço e tempo de elicitação, melhorar qualidade semântica/pragmática dos modelos, capturar conhecimento tácito/contextual e permitir trabalho assíncrono entre analistas e especialistas de domínio.</t>
  </si>
  <si>
    <t xml:space="preserve">O artigo relata três avaliações: entrevistas, quase-experimento e estudo de caso real. Os resultados indicam melhor desempenho de analistas apoiados por PKAI, maior qualidade semântica/pragmática dos modelos e integração ágil do PKAI em práticas reais de descoberta de processos.
</t>
  </si>
  <si>
    <t xml:space="preserve">O artigo aponta limitações explícitas: ausência de captura de ações invisíveis detectáveis por process mining, suporte limitado a elementos BPMN, limitações em granularidade, elicitação em grupo, múltiplos stakeholders, escalabilidade de complexidade e dependência de modelos proprietários da OpenAI.
</t>
  </si>
  <si>
    <t>Identification and Discovery; Modeling, Design and Redesign;</t>
  </si>
  <si>
    <t>Methodological and Empirical Validation Limits; Human, Organizational and Adoption Challenges; Technical Scalability, Interoperability and Integration</t>
  </si>
  <si>
    <r>
      <rPr>
        <rFont val="Helvetica Neue"/>
        <color rgb="FF1155CC"/>
        <u/>
      </rPr>
      <t>https://ieeexplore.ieee.org/document/11435350/</t>
    </r>
  </si>
  <si>
    <t>O artigo relata impactos qualitativos concretos: disponibilidade de dados em tempo real, acesso remoto, redução de intervenção manual, maior visibilidade, integração com infraestrutura digital e benefícios observados como menor downtime, menos horas de manutenção, maior eficiência energética e menor consumo de água. Porém, os autores reconhecem que não há avaliação quantitativa completa.</t>
  </si>
  <si>
    <t>O artigo aponta lacunas claras na literatura e limitações do próprio estudo: falta de workflows padronizados para transformação IIoT, fragmentação das iniciativas, poucos casos reais, estudo de caso único, ausência de avaliação quantitativa completa, necessidade de protocolos padronizados, ferramentas modulares, mais estudos de caso e integração futura com analytics/ML.</t>
  </si>
  <si>
    <r>
      <rPr>
        <rFont val="Helvetica Neue"/>
        <color rgb="FF1155CC"/>
        <u/>
      </rPr>
      <t>https://www.sciencedirect.com/science/article/pii/S1877050926001948</t>
    </r>
  </si>
  <si>
    <t xml:space="preserve">“This paper presents a real-world application of an automated Business Process Mapping (BPM) approach using the NFC-Tracer toolkit…” / “The proposed method enables an effective data-driven reconstruction of production workflows through passive NFC event logging…” / “The results demonstrate the feasibility and value of autonomous Business Process Mapping (BPM) for SMEs, providing a lightweight and scalable solution to support digital transformation initiatives.”  </t>
  </si>
  <si>
    <t xml:space="preserve">“Prior to any technological implementation, mapping existing workflows enables a clear understanding of current operations, identifies inefficiencies, and provides a structured baseline for change…” / “Over a two-week observation period, data of the maintenance activities were collected and analyzed to reconstruct the key phases of the industrial workflow.” / “Future developments will focus on extending the system’s capabilities with predictive analytics and real-time monitoring features.”  </t>
  </si>
  <si>
    <t xml:space="preserve">“Without a clear understanding of their internal workflows and operational bottlenecks, SMEs risk misaligning technology choices with actual business needs…” / “This allows process engineers and managers to visualize workflows dynamically, identify deviations, inefficiencies or idle times, and monitor the effects of any process change.” / “the toolkit provides a minimally invasive and scalable solution for SMEs seeking to enhance process visibility in the path toward digital transformation.”  </t>
  </si>
  <si>
    <t xml:space="preserve">“A total of 87 events were captured during the 2 weeks of testing…” / “The experimental results confirmed that the NFC-Tracer system is capable of capturing the actual process sequence for each valve, as well as identifying bottlenecks and inefficiencies.” / “The automatic extraction of statistical models—including best-fit cumulative distribution functions—allowed for a probabilistic assessment of crossing times…” </t>
  </si>
  <si>
    <t xml:space="preserve">“Future developments will focus on extending the system’s capabilities with predictive analytics and real-time monitoring features.” / “Future work will focus on extending the methodology to include real-time performance monitoring, predictive analytics, and integration with maintenance scheduling systems.” / “the authors aim to replicate the study across different industrial domains to validate the generalizability of the approach…”  </t>
  </si>
  <si>
    <t>Efficiency, Cost and Time Reduction; Agility, Adaptability and Resilience; Data-Driven Decision Support; Strategic Alignment and Competitiveness; Compliance, Trust, Risk and Accountability</t>
  </si>
  <si>
    <t>Data Quality, Availability and Generalizability; Technical Scalability, Interoperability and Integration; ; Domain or Context-Specific Constraints</t>
  </si>
  <si>
    <r>
      <rPr>
        <rFont val="Helvetica Neue"/>
        <color rgb="FF1155CC"/>
        <u/>
      </rPr>
      <t>https://doi.org/10.1108/BPMJ-07-2025-1110</t>
    </r>
  </si>
  <si>
    <t>O artigo menciona diretamente AI, blockchain e cloud-based BPM tools/platforms como tecnologias que impactam processos internos em empresas de cibersegurança. Porém, sendo rigoroso, o foco principal do artigo não é BPM nem tecnologias aplicadas ao gerenciamento de processos de negócio em geral; o foco é cibersegurança como estratégia competitiva, modelos de negócio e sustentabilidade. BPM aparece como uma das tecnologias/abordagens dentro de “technology-driven process optimization”.</t>
  </si>
  <si>
    <t xml:space="preserve">“These technologies are shown to enhance threat detection, compliance, workflow automation, and decision-making efficiency, thus transforming cybersecurity capabilities into a strategic asset.” / “These technologies offer multiple strategic advantages, including faster incident response, reduced operational costs, greater scalability, and improved alignment between cybersecurity functions and business objectives.”  </t>
  </si>
  <si>
    <t>O artigo relata achados qualitativos baseados em análise documental de dez grandes empresas de cibersegurança. Os impactos são descritos em nível estratégico: inovação em processos, diferenciação, resiliência, integração de ESG, melhoria de compliance e resposta a incidentes. Porém, não há evidência empírica operacional com métricas de desempenho de processos antes/depois da adoção de BPM tools.</t>
  </si>
  <si>
    <t xml:space="preserve">Most research focuses on one dimension at a time—technical aspects of cybersecurity, strategic models of competition, or sustainability practices—without systematically exploring their intersection.” / “First, it focused solely on companies with the largest market capitalizations, excluding smaller or unlisted firms and startups. Second, the data was sourced entirely from publicly available documents, without direct input from company executives.” / “Future research should extend the analysis to smaller market players…”  </t>
  </si>
  <si>
    <t>Efficiency, Cost and Time Reduction; Data-Driven Decision Support; Strategic Alignment and Competitiveness; Compliance, Trust, Risk and Accountability</t>
  </si>
  <si>
    <t xml:space="preserve">Technical Scalability, Interoperability and Integration; Privacy, Security, Ethics and Governance; </t>
  </si>
  <si>
    <r>
      <rPr>
        <rFont val="Helvetica Neue"/>
        <color rgb="FF1155CC"/>
        <u/>
      </rPr>
      <t>https://doi.org/10.1108/BPMJ-10-2025-1751</t>
    </r>
  </si>
  <si>
    <t xml:space="preserve">“This study examines how women entrepreneurs in emerging economies can optimize business processes through the adoption of digital technologies, using Business Process Technology (BPT) as a conceptual framework.” / “The study integrates BPT theory with empirical evidence on women’s entrepreneurship, proposing a process-oriented training model…” / “Business process technology (BPT), Business process management (BPM), Artificial intelligence (AI), Technology adoption, Digital skills, Process innovation…”  
</t>
  </si>
  <si>
    <t xml:space="preserve">“BPT provides the technological foundation for process analysis, redesign and automation.” / “BPT integrates various digital tools and technologies aimed at the continuous improvement of business processes and is structured around three complementary pillars. First, technological integration… Second, process management and modeling… Third, process automation…” / “The integration of quantitative and qualitative findings made it possible to identify the business processes with the lowest levels of digital maturity…”  </t>
  </si>
  <si>
    <t xml:space="preserve">“The overall objective is to foster progressive digital maturity and technological autonomy among women entrepreneurs, providing them with tools to visualize, connect, and optimize their processes through AI-supported and accessible digital solutions.” / “The proposal directly addresses the three priority areas identified—digital sales, operational efficiency, and digital finance…” / “This approach enables women entrepreneurs to understand how digital technologies can be embedded into operational, commercial, and financial workflows…”  </t>
  </si>
  <si>
    <t xml:space="preserve">“The findings reveal uneven digital maturity, characterized by (1) high adoption of social networks and digital communication channels, contrasted with limited use of financial and e-commerce platforms…” / “The results revealed that having a website was the only factor showing statistically significant differences.” / “Two digital adoption profiles were identified…” / “The triangulation indicates that participants exhibit an intermediate stage of digital adoption.”  </t>
  </si>
  <si>
    <t xml:space="preserve">“Existing studies primarily emphasize digital access, skill development, and structural barriers… However, they offer limited insight into how these conditions shape the redesign, integration, and automation of operational, commercial, and financial activities…” / “Although the study provides substantive empirical evidence… its limitations include the sample size, the exploratory nature of the analysis, and the reliance on self-reported data.” / “Future research should empirically assess the impact of the proposed BPT-based model on actual business processes…”  </t>
  </si>
  <si>
    <t xml:space="preserve">Data Quality, Availability and Generalizability; Methodological and Empirical Validation Limits; Technical Scalability, Interoperability and Integration; </t>
  </si>
  <si>
    <r>
      <rPr>
        <rFont val="Helvetica Neue"/>
        <color rgb="FF1155CC"/>
        <u/>
      </rPr>
      <t>https://doi.org/10.1108/BPMJ-08-2025-1254</t>
    </r>
  </si>
  <si>
    <t xml:space="preserve">“This study investigates the feasibility of developing an automated solution that can generate dynamic decision tables from business process model and notation (BPMN) models using agentic artificial intelligence (AI).” / “The proposed system integrates large language models within an agentic AI framework that autonomously analyses BPMN processes, identifies decision points and produces optimized DMN tables.”  </t>
  </si>
  <si>
    <t xml:space="preserve">“The framework is structured around four main phases…” / “Phase I: structural analysis and decision point identification.” / “Phase III: automated generation and collaborative validation of DMN tables.” / “Phase IV: integration and systemic validation.”  
</t>
  </si>
  <si>
    <t xml:space="preserve">“This work purpose is to reduce human error, inconsistencies and cognitive biases…” / “The system optimizes processes by transforming ambiguous paths into precise decisions.” / “This approach establishes the foundation for intelligent, adaptive decision support systems within mission-critical environments…”  </t>
  </si>
  <si>
    <t xml:space="preserve">“The product availability management process exemplifies the framework’s capability to transform binary decision logic into sophisticated four-state availability assessment…” / “Table 2 presents comprehensive comparative analysis…” / “Rule Modification Time (-85%)…” / “Process Maintenance Complexity (-60%)…”  </t>
  </si>
  <si>
    <t xml:space="preserve">“The most critical limitation is « optimization hallucination occurring when the framework is applied to already-optimized decision logic.” / “The framework exhibits fundamental inability to assess decision logic completeness…” / “Despite agentic classification, the framework remains dependent on human expertise for validation, refinement and contextual interpretation…”  </t>
  </si>
  <si>
    <t>Data Analytics, BI and Data Mining; AI, Machine Learning and Intelligent Automation; Modeling, Simulation, Digital Twin and BPMN</t>
  </si>
  <si>
    <t>Agility, Adaptability and Resilience; Data-Driven Decision Support</t>
  </si>
  <si>
    <r>
      <rPr>
        <rFont val="Helvetica Neue"/>
        <color rgb="FF1155CC"/>
        <u/>
      </rPr>
      <t>https://www.scopus.com/pages/publications/105032643711?origin=resultslist</t>
    </r>
  </si>
  <si>
    <t xml:space="preserve">“This paper presents BPMN Assistant, a tool that leverages Large Language Models for natural language-based creation and editing of BPMN diagrams.” / “We introduce a specialized JSON-based intermediate representation designed to facilitate atomic editing operations through function calling.” / “Keywords: Business Process Model and Notation (BPMN); Large Language Models (LLMs); process modeling; generative AI; natural language processing” </t>
  </si>
  <si>
    <t xml:space="preserve">“The proposed system is designed for integration into enterprise Business Process Management (BPM) platforms, with the aim of assisting non-technical business analysts in drafting and modifying executable BPMN models using natural language.” / “Rather than framing BPMN modeling as a one-shot generation problem, this work is conceptualized around the idea of incremental process transformation.” / “modifications are expressed as atomic logical operations rather than as low-level syntactic changes to XML documents.” </t>
  </si>
  <si>
    <t xml:space="preserve">“This potential to reduce the dependency on technical modeling experts could accelerate the digital transformation workflow.” / “This bottleneck often leads to inefficiencies and a reliance on experts, increasing operational costs and delaying decision-making.” / “Our evaluation reveals significant improvements in editing success rates… and reduces processing latency and output token costs…” </t>
  </si>
  <si>
    <t xml:space="preserve">“Results demonstrate that the JSON-based approach significantly outperforms direct XML in editing tasks…” / “JSON achieving an average F1 score of 0.72 compared to 0.69 for XML…” / “our approach reduces generation latency by approximately 43% and output token count by over 75%…” / “Each model was evaluated on 40 diverse editing tasks.” </t>
  </si>
  <si>
    <t xml:space="preserve">“the current implementation does not support collaboration diagrams (pools and lanes) or complex artifacts like data objects.” / “we did not perform a granular taxonomy of failure modes…” / “we acknowledge that our evaluation relies on synthetic process descriptions.” / “HCI studies would be necessary to properly evaluate the usability of the system for non-technical users.” </t>
  </si>
  <si>
    <t>Modeling, Design and Redesign; Governance and Strategic Alignment</t>
  </si>
  <si>
    <r>
      <rPr>
        <rFont val="Helvetica Neue"/>
        <color rgb="FF1155CC"/>
        <u/>
      </rPr>
      <t>https://www.scopus.com/pages/publications/105036018031?origin=resultslist</t>
    </r>
  </si>
  <si>
    <t xml:space="preserve">O artigo não tem como foco principal classificar tecnologias específicas associadas ao BPM. O foco é analisar como a maturidade em BPM influencia a transformação digital em uma instituição financeira. Ainda assim, menciona tecnologias e iniciativas digitais relevantes, como mobile channels, open finance, advanced analytics, artificial intelligence, automation, RPA, intelligent document processing, mobile banking, API-based architecture, CRM, BI dashboards, Confluence, Grafana e Bizagi.
</t>
  </si>
  <si>
    <t xml:space="preserve">“BPM provides a systematic approach to identifying, modelling, analysing, executing, monitoring and continuously improving end-to-end processes so that they are aligned with strategic objectives.” / “Approximately 86% of subprocesses have been modelled in BPMN using Bizagi…” / “One flagship DT initiative in Bank A involved automating high-volume operational processes through robotic process automation (RPA).” </t>
  </si>
  <si>
    <t xml:space="preserve">“In financial institutions characterised by complex workflows and stringent regulation, BPM supports operational reliability, compliance and adaptability.” / “DT represents the integration of digital technologies into organisational operations and business models, reshaping how value is created and delivered.” / “Automation projects strengthened Governance by clarifying roles and formalising decision rights.” </t>
  </si>
  <si>
    <t xml:space="preserve">“The findings reveal an asymmetric BPM maturity profile: technical-structural dimensions—strategic alignment, governance and information technology—reached the defined level (Level 3), while socio-organisational dimensions—methods, people and culture—remained at the repeatable level (Level 2)…” / “DT initiatives reinforce governance and IT capabilities but simultaneously expose weaknesses in process understanding, methodological consistency and cross-functional collaboration.” </t>
  </si>
  <si>
    <t xml:space="preserve">“Despite the recognised importance of BPM maturity for DT, empirical evidence on how specific maturity dimensions shape and are reshaped by DT in practice remains limited.” / “As a single case study, the results offer analytical rather than statistical generalisation…” / “the single-researcher design introduces potential subjectivity in coding and maturity assessment.” / “the cross-sectional design captures BPM-DT dynamics at a single point in time…” </t>
  </si>
  <si>
    <t>Agility, Adaptability and Resilience; Data-Driven Decision Support; Compliance, Trust, Risk and Accountability</t>
  </si>
  <si>
    <t>Question</t>
  </si>
  <si>
    <t>Category</t>
  </si>
  <si>
    <t>Description</t>
  </si>
  <si>
    <t>Count</t>
  </si>
  <si>
    <t>Classification criteria</t>
  </si>
  <si>
    <t>Notes</t>
  </si>
  <si>
    <t>Q1</t>
  </si>
  <si>
    <t>Data Analytics, BI and Data Mining</t>
  </si>
  <si>
    <t>Mentions data mining, business intelligence, data science, analytics, dashboards or data-driven analysis as BPM-associated technologies.</t>
  </si>
  <si>
    <t>Keyword/semantic coding based on the answer text and question-specific theme definitions.</t>
  </si>
  <si>
    <t>Responses can receive multiple categories; empty/sem resposta/Não responde are coded as No response.</t>
  </si>
  <si>
    <t>Mentions process mining, event logs, trace analysis, conformance checking or discovery from process data.</t>
  </si>
  <si>
    <t>Mentions AI, machine learning, deep learning, NLP, recommendation/intelligent systems or algorithmic decision support.</t>
  </si>
  <si>
    <t>Automation, RPA and Workflow/BPMS</t>
  </si>
  <si>
    <t>Mentions automation tools, RPA, workflow systems, BPM suites or systems that execute/orchestrate processes.</t>
  </si>
  <si>
    <t>Mentions process modeling notations/tools, BPMN, simulation, digital twins or modeling environments.</t>
  </si>
  <si>
    <t>Mentions ERP/enterprise systems, cloud, IoT, blockchain, API/system integration or broad digital infrastructure.</t>
  </si>
  <si>
    <t>(</t>
  </si>
  <si>
    <t>Mentions technologies focused on trust, risk, compliance, privacy, governance or transparency in processes.</t>
  </si>
  <si>
    <t>The answer discusses technologies only broadly or indirectly, without a specific technology family being central.</t>
  </si>
  <si>
    <t>No substantive answer is available for this question.</t>
  </si>
  <si>
    <t>Q2</t>
  </si>
  <si>
    <t>Identification and Discovery</t>
  </si>
  <si>
    <t>Covers process identification, discovery, elicitation or reconstruction of existing/as-is processes.</t>
  </si>
  <si>
    <t>Modeling, Design and Redesign</t>
  </si>
  <si>
    <t>Covers process modeling, design, redesign, re-engineering, as-is/to-be representation or architectural definition.</t>
  </si>
  <si>
    <t>Execution and Automation</t>
  </si>
  <si>
    <t>Covers process enactment, orchestration, implementation, automation or operational execution.</t>
  </si>
  <si>
    <t>Monitoring, Control and Analysis</t>
  </si>
  <si>
    <t>Covers monitoring, measurement, control, conformance, analysis of performance or event data.</t>
  </si>
  <si>
    <t>Optimization and Continuous Improvement</t>
  </si>
  <si>
    <t>Covers improvement, optimization, adaptation, redesign cycles or continuous process enhancement.</t>
  </si>
  <si>
    <t>Governance and Strategic Alignment</t>
  </si>
  <si>
    <t>Covers governance, strategic alignment, management/decision layers or organizational coordination.</t>
  </si>
  <si>
    <t>Q3</t>
  </si>
  <si>
    <t>Objectives include productivity, cost savings, cycle-time reduction, simplification or operational efficiency.</t>
  </si>
  <si>
    <t>Objectives include organizational agility, adaptability, resilience, flexibility or response to change/crisis.</t>
  </si>
  <si>
    <t>Objectives include better decisions, insights, data-driven management, transparency or managerial control.</t>
  </si>
  <si>
    <t>Objectives include business value, competitive advantage, strategic alignment or digital transformation goals.</t>
  </si>
  <si>
    <t>Customer/Stakeholder Experience and Service Quality</t>
  </si>
  <si>
    <t>Objectives include service quality, customer satisfaction, stakeholder value, user experience or loyalty.</t>
  </si>
  <si>
    <t>Compliance, Trust, Risk and Accountability</t>
  </si>
  <si>
    <t>Objectives include compliance, trust, risk management, auditability, accountability or security/privacy controls.</t>
  </si>
  <si>
    <t>Objectives include innovation, new capabilities, knowledge management, digital maturity or learning.</t>
  </si>
  <si>
    <t>Sustainability and Resource Optimization</t>
  </si>
  <si>
    <t>Objectives include sustainability, environmental goals or resource/resource-use optimization.</t>
  </si>
  <si>
    <t>Q4</t>
  </si>
  <si>
    <t>Reports measurable or stated gains in time, cost, productivity, throughput, quality or efficiency.</t>
  </si>
  <si>
    <t>Reports better insights, visibility, analytics, traceability, transparency or managerial decision support.</t>
  </si>
  <si>
    <t>Automation, Standardization and Process Quality</t>
  </si>
  <si>
    <t>Reports improved automation, standardization, compliance, process quality, fewer errors or better control.</t>
  </si>
  <si>
    <t>Reports improved customer satisfaction, service quality, user/stakeholder experience or loyalty.</t>
  </si>
  <si>
    <t>Reports agility, resilience, readiness, digital transformation outcomes or organizational change effects.</t>
  </si>
  <si>
    <t>Reports mainly prototype, framework, model, algorithm or conceptual validation rather than organizational impact.</t>
  </si>
  <si>
    <t>The article reports limited, partial, indirect or not fully validated impacts.</t>
  </si>
  <si>
    <t>Q5</t>
  </si>
  <si>
    <t>Data Quality, Availability and Generalizability</t>
  </si>
  <si>
    <t>Limitations involve data quality, access, incomplete data, dataset limitations or weak generalizability.</t>
  </si>
  <si>
    <t>Limitations involve limited cases, samples, experimental design, evaluation depth, metrics or empirical validation.</t>
  </si>
  <si>
    <t>Limitations involve user adoption, change management, skills, culture, stakeholder participation or human expertise.</t>
  </si>
  <si>
    <t>Limitations involve scalability, system integration, interoperability, computational cost or technical complexity.</t>
  </si>
  <si>
    <t>Privacy, Security, Ethics and Governance</t>
  </si>
  <si>
    <t>Limitations involve privacy, security, ethics, governance, accountability or regulatory issues.</t>
  </si>
  <si>
    <t>Limitations are tied to a specific sector, context, case type, organization or domain-specific assumptions.</t>
  </si>
  <si>
    <t>Item</t>
  </si>
  <si>
    <t>Application</t>
  </si>
  <si>
    <t>Verification</t>
  </si>
  <si>
    <t>Input columns</t>
  </si>
  <si>
    <t>The analysis uses the answer-text columns immediately after each Q status column: Q1, Q2, Q3, Q4 and Q5 responses.</t>
  </si>
  <si>
    <t>Each article was evaluated for all five questions.</t>
  </si>
  <si>
    <t>No article row was excluded.</t>
  </si>
  <si>
    <t>Multiple categories</t>
  </si>
  <si>
    <t>A response can be assigned to more than one category when it mentions multiple themes.</t>
  </si>
  <si>
    <t>The appended columns include a semicolon-separated summary and one verification column per category.</t>
  </si>
  <si>
    <t>Marked with 'X' when the category applies.</t>
  </si>
  <si>
    <t>Responses that are blank, 'sem resposta', or marked as 'Não responde' were assigned to No response.</t>
  </si>
  <si>
    <t>This prevents exclusion of missing answers.</t>
  </si>
  <si>
    <t>Visible in the Qn Categories column and in the Qn | No response column.</t>
  </si>
  <si>
    <t>Consistency</t>
  </si>
  <si>
    <t>Categories were defined separately for each question according to the expected content of that question.</t>
  </si>
  <si>
    <t>Q1 focuses on technologies, Q2 on BPM lifecycle stages, Q3 on objectives, Q4 on impacts/results, Q5 on limitations and gaps.</t>
  </si>
  <si>
    <t>Category Summary sheet lists criteria and counts.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</si>
</sst>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
    <numFmt numFmtId="165" formatCode="dd-mm"/>
    <numFmt numFmtId="166" formatCode="0.0%"/>
  </numFmts>
  <fonts count="46">
    <font>
      <sz val="10.0"/>
      <color rgb="FF000000"/>
      <name val="Arial"/>
      <scheme val="minor"/>
    </font>
    <font>
      <color theme="1"/>
      <name val="Arial"/>
      <scheme val="minor"/>
    </font>
    <font>
      <color theme="1"/>
      <name val="Arial"/>
    </font>
    <font>
      <b/>
      <color theme="1"/>
      <name val="Arial"/>
    </font>
    <font>
      <b/>
      <color rgb="FF000000"/>
      <name val="Helvetica Neue"/>
    </font>
    <font>
      <b/>
      <sz val="16.0"/>
      <color rgb="FF000000"/>
      <name val="Helvetica Neue"/>
    </font>
    <font>
      <color rgb="FF000000"/>
      <name val="Helvetica Neue"/>
    </font>
    <font>
      <u/>
      <color rgb="FF0000FF"/>
      <name val="Helvetica Neue"/>
    </font>
    <font>
      <sz val="16.0"/>
      <color theme="1"/>
      <name val="Arial"/>
      <scheme val="minor"/>
    </font>
    <font>
      <sz val="16.0"/>
      <color rgb="FF000000"/>
      <name val="Helvetica Neue"/>
    </font>
    <font>
      <sz val="10.0"/>
      <color rgb="FF222222"/>
      <name val="Merriweather"/>
    </font>
    <font>
      <b/>
      <sz val="13.0"/>
      <color rgb="FF000000"/>
      <name val="Helvetica Neue"/>
    </font>
    <font>
      <u/>
      <color rgb="FF0000FF"/>
      <name val="Helvetica Neue"/>
    </font>
    <font>
      <sz val="13.0"/>
      <color rgb="FF000000"/>
      <name val="Helvetica Neue"/>
    </font>
    <font>
      <u/>
      <color rgb="FF0000FF"/>
      <name val="Helvetica Neue"/>
    </font>
    <font>
      <u/>
      <color rgb="FF0000FF"/>
      <name val="Helvetica Neue"/>
    </font>
    <font>
      <u/>
      <color rgb="FF0000FF"/>
    </font>
    <font>
      <b/>
      <sz val="12.0"/>
      <color rgb="FF000000"/>
      <name val="Helvetica Neue"/>
    </font>
    <font>
      <sz val="12.0"/>
      <color rgb="FF000000"/>
      <name val="Helvetica Neue"/>
    </font>
    <font>
      <color theme="1"/>
      <name val="Helvetica Neue"/>
    </font>
    <font>
      <b/>
      <color theme="1"/>
      <name val="Arial"/>
      <scheme val="minor"/>
    </font>
    <font>
      <b/>
      <sz val="13.0"/>
      <color rgb="FFFFFFFF"/>
      <name val="Arial"/>
    </font>
    <font/>
    <font>
      <sz val="9.0"/>
      <color rgb="FF1F3864"/>
      <name val="Arial"/>
    </font>
    <font>
      <b/>
      <sz val="9.0"/>
      <color rgb="FF7F6000"/>
      <name val="Arial"/>
    </font>
    <font>
      <b/>
      <sz val="11.0"/>
      <color rgb="FFFFFFFF"/>
      <name val="Arial"/>
    </font>
    <font>
      <b/>
      <color rgb="FFFFFFFF"/>
      <name val="Arial"/>
    </font>
    <font>
      <b/>
      <sz val="12.0"/>
      <color rgb="FFFFFFFF"/>
      <name val="Arial"/>
    </font>
    <font>
      <b/>
      <sz val="9.0"/>
      <color rgb="FFFFFFFF"/>
      <name val="Arial"/>
    </font>
    <font>
      <sz val="9.0"/>
      <color theme="1"/>
      <name val="Arial"/>
    </font>
    <font>
      <b/>
      <sz val="9.0"/>
      <color theme="1"/>
      <name val="Arial"/>
    </font>
    <font>
      <b/>
      <color rgb="FFFFFFFF"/>
      <name val="Mukta"/>
    </font>
    <font>
      <b/>
      <color theme="1"/>
      <name val="Mukta"/>
    </font>
    <font>
      <b/>
      <sz val="13.0"/>
      <color theme="1"/>
      <name val="Mukta"/>
    </font>
    <font>
      <color theme="1"/>
      <name val="Mukta"/>
    </font>
    <font>
      <u/>
      <color rgb="FF0000FF"/>
      <name val="Helvetica Neue"/>
    </font>
    <font>
      <u/>
      <color rgb="FF0000FF"/>
      <name val="Helvetica Neue"/>
    </font>
    <font>
      <sz val="13.0"/>
      <color theme="1"/>
      <name val="Arial"/>
      <scheme val="minor"/>
    </font>
    <font>
      <sz val="8.0"/>
      <color theme="1"/>
      <name val="Arial"/>
    </font>
    <font>
      <b/>
      <sz val="11.0"/>
      <color theme="1"/>
      <name val="Mukta"/>
    </font>
    <font>
      <b/>
      <sz val="10.0"/>
      <color rgb="FFFFFFFF"/>
      <name val="Arial"/>
    </font>
    <font>
      <color rgb="FF0000FF"/>
      <name val="Helvetica Neue"/>
    </font>
    <font>
      <sz val="10.0"/>
      <color rgb="FF000000"/>
      <name val="Arial"/>
    </font>
    <font>
      <u/>
      <color rgb="FF0000FF"/>
      <name val="Helvetica Neue"/>
    </font>
    <font>
      <sz val="11.0"/>
      <color rgb="FF131314"/>
      <name val="Google Sans"/>
    </font>
    <font>
      <b/>
      <sz val="10.0"/>
      <color theme="1"/>
      <name val="Arial"/>
    </font>
  </fonts>
  <fills count="19">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D4D4D4"/>
        <bgColor rgb="FFD4D4D4"/>
      </patternFill>
    </fill>
    <fill>
      <patternFill patternType="solid">
        <fgColor rgb="FF1F3864"/>
        <bgColor rgb="FF1F3864"/>
      </patternFill>
    </fill>
    <fill>
      <patternFill patternType="solid">
        <fgColor rgb="FFD6E4F0"/>
        <bgColor rgb="FFD6E4F0"/>
      </patternFill>
    </fill>
    <fill>
      <patternFill patternType="solid">
        <fgColor rgb="FFFFF2CC"/>
        <bgColor rgb="FFFFF2CC"/>
      </patternFill>
    </fill>
    <fill>
      <patternFill patternType="solid">
        <fgColor rgb="FF2F75B6"/>
        <bgColor rgb="FF2F75B6"/>
      </patternFill>
    </fill>
    <fill>
      <patternFill patternType="solid">
        <fgColor rgb="FFE2EFDA"/>
        <bgColor rgb="FFE2EFDA"/>
      </patternFill>
    </fill>
    <fill>
      <patternFill patternType="solid">
        <fgColor rgb="FFFCE4D6"/>
        <bgColor rgb="FFFCE4D6"/>
      </patternFill>
    </fill>
    <fill>
      <patternFill patternType="solid">
        <fgColor rgb="FFF2F2F2"/>
        <bgColor rgb="FFF2F2F2"/>
      </patternFill>
    </fill>
    <fill>
      <patternFill patternType="solid">
        <fgColor rgb="FF2E4057"/>
        <bgColor rgb="FF2E4057"/>
      </patternFill>
    </fill>
    <fill>
      <patternFill patternType="solid">
        <fgColor rgb="FF000000"/>
        <bgColor rgb="FF000000"/>
      </patternFill>
    </fill>
    <fill>
      <patternFill patternType="solid">
        <fgColor rgb="FFBDBDBD"/>
        <bgColor rgb="FFBDBDBD"/>
      </patternFill>
    </fill>
    <fill>
      <patternFill patternType="solid">
        <fgColor rgb="FFD0E0E3"/>
        <bgColor rgb="FFD0E0E3"/>
      </patternFill>
    </fill>
    <fill>
      <patternFill patternType="solid">
        <fgColor rgb="FFF4CCCC"/>
        <bgColor rgb="FFF4CCCC"/>
      </patternFill>
    </fill>
    <fill>
      <patternFill patternType="solid">
        <fgColor rgb="FF1F4E78"/>
        <bgColor rgb="FF1F4E78"/>
      </patternFill>
    </fill>
    <fill>
      <patternFill patternType="solid">
        <fgColor rgb="FF7C2D12"/>
        <bgColor rgb="FF7C2D12"/>
      </patternFill>
    </fill>
  </fills>
  <borders count="6">
    <border/>
    <border>
      <left style="thin">
        <color rgb="FF000000"/>
      </left>
      <right style="thin">
        <color rgb="FF000000"/>
      </right>
      <top style="thin">
        <color rgb="FF000000"/>
      </top>
      <bottom style="thin">
        <color rgb="FF000000"/>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5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vertical="bottom" wrapText="0"/>
    </xf>
    <xf borderId="0" fillId="0" fontId="3" numFmtId="0" xfId="0" applyAlignment="1" applyFont="1">
      <alignment readingOrder="0" shrinkToFit="0" vertical="bottom" wrapText="0"/>
    </xf>
    <xf borderId="1" fillId="2" fontId="4" numFmtId="0" xfId="0" applyAlignment="1" applyBorder="1" applyFill="1" applyFont="1">
      <alignment readingOrder="0" shrinkToFit="0" vertical="top" wrapText="0"/>
    </xf>
    <xf borderId="1" fillId="2" fontId="5" numFmtId="0" xfId="0" applyAlignment="1" applyBorder="1" applyFont="1">
      <alignment readingOrder="0" shrinkToFit="0" vertical="top" wrapText="0"/>
    </xf>
    <xf borderId="0" fillId="0" fontId="1" numFmtId="0" xfId="0" applyAlignment="1" applyFont="1">
      <alignment shrinkToFit="0" wrapText="0"/>
    </xf>
    <xf borderId="0" fillId="0" fontId="2" numFmtId="0" xfId="0" applyAlignment="1" applyFont="1">
      <alignment readingOrder="0" shrinkToFit="0" vertical="bottom" wrapText="0"/>
    </xf>
    <xf borderId="0" fillId="0" fontId="2" numFmtId="0" xfId="0" applyAlignment="1" applyFont="1">
      <alignment readingOrder="0" vertical="bottom"/>
    </xf>
    <xf borderId="1" fillId="0" fontId="6" numFmtId="0" xfId="0" applyAlignment="1" applyBorder="1" applyFont="1">
      <alignment readingOrder="0" shrinkToFit="0" vertical="top" wrapText="0"/>
    </xf>
    <xf borderId="1" fillId="0" fontId="7" numFmtId="0" xfId="0" applyAlignment="1" applyBorder="1" applyFont="1">
      <alignment readingOrder="0" shrinkToFit="0" vertical="top" wrapText="0"/>
    </xf>
    <xf borderId="1" fillId="0" fontId="8" numFmtId="0" xfId="0" applyAlignment="1" applyBorder="1" applyFont="1">
      <alignment readingOrder="0" shrinkToFit="0" vertical="top" wrapText="0"/>
    </xf>
    <xf borderId="1" fillId="0" fontId="1" numFmtId="0" xfId="0" applyAlignment="1" applyBorder="1" applyFont="1">
      <alignment shrinkToFit="0" vertical="top" wrapText="0"/>
    </xf>
    <xf borderId="1" fillId="0" fontId="9" numFmtId="0" xfId="0" applyAlignment="1" applyBorder="1" applyFont="1">
      <alignment readingOrder="0" shrinkToFit="0" vertical="top" wrapText="0"/>
    </xf>
    <xf borderId="0" fillId="0" fontId="2" numFmtId="0" xfId="0" applyAlignment="1" applyFont="1">
      <alignment shrinkToFit="0" vertical="bottom" wrapText="0"/>
    </xf>
    <xf borderId="1" fillId="0" fontId="1" numFmtId="0" xfId="0" applyAlignment="1" applyBorder="1" applyFont="1">
      <alignment readingOrder="0" shrinkToFit="0" vertical="top" wrapText="0"/>
    </xf>
    <xf borderId="0" fillId="3" fontId="10" numFmtId="0" xfId="0" applyAlignment="1" applyFill="1" applyFont="1">
      <alignment readingOrder="0" shrinkToFit="0" wrapText="0"/>
    </xf>
    <xf borderId="0" fillId="0" fontId="3" numFmtId="0" xfId="0" applyAlignment="1" applyFont="1">
      <alignment shrinkToFit="0" vertical="center" wrapText="0"/>
    </xf>
    <xf borderId="0" fillId="3" fontId="2" numFmtId="0" xfId="0" applyAlignment="1" applyFont="1">
      <alignment shrinkToFit="0" vertical="center" wrapText="0"/>
    </xf>
    <xf borderId="0" fillId="3" fontId="3" numFmtId="0" xfId="0" applyAlignment="1" applyFont="1">
      <alignment shrinkToFit="0" vertical="center" wrapText="0"/>
    </xf>
    <xf borderId="1" fillId="2" fontId="4" numFmtId="0" xfId="0" applyAlignment="1" applyBorder="1" applyFont="1">
      <alignment readingOrder="0" shrinkToFit="0" vertical="center" wrapText="0"/>
    </xf>
    <xf borderId="1" fillId="2" fontId="11" numFmtId="0" xfId="0" applyAlignment="1" applyBorder="1" applyFont="1">
      <alignment readingOrder="0" shrinkToFit="0" vertical="center" wrapText="0"/>
    </xf>
    <xf borderId="0" fillId="2" fontId="4" numFmtId="0" xfId="0" applyAlignment="1" applyFont="1">
      <alignment readingOrder="0" shrinkToFit="0" vertical="center" wrapText="0"/>
    </xf>
    <xf borderId="0" fillId="0" fontId="2" numFmtId="0" xfId="0" applyAlignment="1" applyFont="1">
      <alignment readingOrder="0" shrinkToFit="0" vertical="center" wrapText="0"/>
    </xf>
    <xf borderId="0" fillId="3" fontId="2" numFmtId="0" xfId="0" applyAlignment="1" applyFont="1">
      <alignment readingOrder="0" shrinkToFit="0" vertical="center" wrapText="0"/>
    </xf>
    <xf borderId="0" fillId="0" fontId="2" numFmtId="0" xfId="0" applyAlignment="1" applyFont="1">
      <alignment shrinkToFit="0" vertical="center" wrapText="0"/>
    </xf>
    <xf borderId="1" fillId="0" fontId="6" numFmtId="0" xfId="0" applyAlignment="1" applyBorder="1" applyFont="1">
      <alignment readingOrder="0" shrinkToFit="0" vertical="center" wrapText="0"/>
    </xf>
    <xf borderId="1" fillId="0" fontId="12" numFmtId="0" xfId="0" applyAlignment="1" applyBorder="1" applyFont="1">
      <alignment readingOrder="0" shrinkToFit="0" vertical="center" wrapText="0"/>
    </xf>
    <xf borderId="1" fillId="0" fontId="6" numFmtId="164" xfId="0" applyAlignment="1" applyBorder="1" applyFont="1" applyNumberFormat="1">
      <alignment readingOrder="0" shrinkToFit="0" vertical="center" wrapText="0"/>
    </xf>
    <xf borderId="1" fillId="0" fontId="13" numFmtId="0" xfId="0" applyAlignment="1" applyBorder="1" applyFont="1">
      <alignment readingOrder="0" shrinkToFit="0" vertical="center" wrapText="0"/>
    </xf>
    <xf borderId="1" fillId="0" fontId="1" numFmtId="0" xfId="0" applyAlignment="1" applyBorder="1" applyFont="1">
      <alignment shrinkToFit="0" vertical="center" wrapText="0"/>
    </xf>
    <xf borderId="0" fillId="0" fontId="6" numFmtId="0" xfId="0" applyAlignment="1" applyFont="1">
      <alignment readingOrder="0" shrinkToFit="0" vertical="center" wrapText="0"/>
    </xf>
    <xf borderId="1" fillId="0" fontId="1" numFmtId="0" xfId="0" applyAlignment="1" applyBorder="1" applyFon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1" fillId="0" fontId="6" numFmtId="165" xfId="0" applyAlignment="1" applyBorder="1" applyFont="1" applyNumberFormat="1">
      <alignment readingOrder="0" shrinkToFit="0" vertical="center" wrapText="0"/>
    </xf>
    <xf borderId="0" fillId="0" fontId="14" numFmtId="0" xfId="0" applyAlignment="1" applyFont="1">
      <alignment readingOrder="0" shrinkToFit="0" vertical="center" wrapText="0"/>
    </xf>
    <xf borderId="1" fillId="2" fontId="4" numFmtId="0" xfId="0" applyAlignment="1" applyBorder="1" applyFont="1">
      <alignment readingOrder="0" shrinkToFit="0" vertical="bottom" wrapText="0"/>
    </xf>
    <xf borderId="1" fillId="2" fontId="11" numFmtId="0" xfId="0" applyAlignment="1" applyBorder="1" applyFont="1">
      <alignment readingOrder="0" shrinkToFit="0" vertical="top" wrapText="0"/>
    </xf>
    <xf borderId="1" fillId="0" fontId="6" numFmtId="0" xfId="0" applyAlignment="1" applyBorder="1" applyFont="1">
      <alignment readingOrder="0" shrinkToFit="0" vertical="bottom" wrapText="0"/>
    </xf>
    <xf borderId="1" fillId="0" fontId="13" numFmtId="0" xfId="0" applyAlignment="1" applyBorder="1" applyFont="1">
      <alignment readingOrder="0" shrinkToFit="0" vertical="top" wrapText="0"/>
    </xf>
    <xf borderId="1" fillId="0" fontId="15" numFmtId="0" xfId="0" applyAlignment="1" applyBorder="1" applyFont="1">
      <alignment readingOrder="0" shrinkToFit="0" vertical="top" wrapText="0"/>
    </xf>
    <xf borderId="0" fillId="0" fontId="16" numFmtId="0" xfId="0" applyAlignment="1" applyFont="1">
      <alignment readingOrder="0" shrinkToFit="0" wrapText="0"/>
    </xf>
    <xf borderId="1" fillId="2" fontId="17" numFmtId="0" xfId="0" applyAlignment="1" applyBorder="1" applyFont="1">
      <alignment readingOrder="0" shrinkToFit="0" vertical="top" wrapText="1"/>
    </xf>
    <xf borderId="0" fillId="2" fontId="4" numFmtId="0" xfId="0" applyAlignment="1" applyFont="1">
      <alignment readingOrder="0" shrinkToFit="0" vertical="top" wrapText="0"/>
    </xf>
    <xf borderId="1" fillId="0" fontId="18" numFmtId="0" xfId="0" applyAlignment="1" applyBorder="1" applyFont="1">
      <alignment readingOrder="0" shrinkToFit="0" vertical="top" wrapText="1"/>
    </xf>
    <xf borderId="0" fillId="0" fontId="19" numFmtId="0" xfId="0" applyAlignment="1" applyFont="1">
      <alignment readingOrder="0" shrinkToFit="0" vertical="top" wrapText="0"/>
    </xf>
    <xf borderId="0" fillId="0" fontId="1" numFmtId="0" xfId="0" applyAlignment="1" applyFont="1">
      <alignment readingOrder="0" shrinkToFit="0" wrapText="0"/>
    </xf>
    <xf borderId="1" fillId="2" fontId="4" numFmtId="0" xfId="0" applyAlignment="1" applyBorder="1" applyFont="1">
      <alignment readingOrder="0" shrinkToFit="0" vertical="top" wrapText="1"/>
    </xf>
    <xf borderId="1" fillId="4" fontId="4" numFmtId="0" xfId="0" applyAlignment="1" applyBorder="1" applyFill="1" applyFont="1">
      <alignment readingOrder="0" shrinkToFit="0" vertical="top" wrapText="0"/>
    </xf>
    <xf borderId="0" fillId="0" fontId="1" numFmtId="0" xfId="0" applyAlignment="1" applyFont="1">
      <alignment shrinkToFit="0" vertical="top" wrapText="0"/>
    </xf>
    <xf borderId="1" fillId="0" fontId="6" numFmtId="0" xfId="0" applyAlignment="1" applyBorder="1" applyFont="1">
      <alignment readingOrder="0" shrinkToFit="0" vertical="top" wrapText="1"/>
    </xf>
    <xf borderId="1" fillId="0" fontId="1" numFmtId="0" xfId="0" applyAlignment="1" applyBorder="1" applyFont="1">
      <alignment shrinkToFit="0" vertical="top" wrapText="0"/>
    </xf>
    <xf borderId="0" fillId="0" fontId="20" numFmtId="0" xfId="0" applyAlignment="1" applyFont="1">
      <alignment readingOrder="0"/>
    </xf>
    <xf borderId="1" fillId="0" fontId="6" numFmtId="0" xfId="0" applyAlignment="1" applyBorder="1" applyFont="1">
      <alignment readingOrder="0" vertical="top"/>
    </xf>
    <xf borderId="2" fillId="5" fontId="21" numFmtId="0" xfId="0" applyAlignment="1" applyBorder="1" applyFill="1" applyFont="1">
      <alignment shrinkToFit="0" wrapText="1"/>
    </xf>
    <xf borderId="3" fillId="0" fontId="22" numFmtId="0" xfId="0" applyBorder="1" applyFont="1"/>
    <xf borderId="4" fillId="0" fontId="22" numFmtId="0" xfId="0" applyBorder="1" applyFont="1"/>
    <xf borderId="0" fillId="0" fontId="2" numFmtId="0" xfId="0" applyAlignment="1" applyFont="1">
      <alignment vertical="bottom"/>
    </xf>
    <xf borderId="2" fillId="6" fontId="23" numFmtId="0" xfId="0" applyAlignment="1" applyBorder="1" applyFill="1" applyFont="1">
      <alignment shrinkToFit="0" wrapText="1"/>
    </xf>
    <xf borderId="2" fillId="7" fontId="24" numFmtId="0" xfId="0" applyAlignment="1" applyBorder="1" applyFill="1" applyFont="1">
      <alignment shrinkToFit="0" wrapText="1"/>
    </xf>
    <xf borderId="2" fillId="5" fontId="25" numFmtId="0" xfId="0" applyAlignment="1" applyBorder="1" applyFont="1">
      <alignment shrinkToFit="0" wrapText="1"/>
    </xf>
    <xf borderId="5" fillId="8" fontId="26" numFmtId="0" xfId="0" applyAlignment="1" applyBorder="1" applyFill="1" applyFont="1">
      <alignment horizontal="center" shrinkToFit="0" wrapText="1"/>
    </xf>
    <xf borderId="5" fillId="3" fontId="2" numFmtId="0" xfId="0" applyAlignment="1" applyBorder="1" applyFont="1">
      <alignment shrinkToFit="0" wrapText="1"/>
    </xf>
    <xf borderId="5" fillId="3" fontId="2" numFmtId="0" xfId="0" applyAlignment="1" applyBorder="1" applyFont="1">
      <alignment horizontal="center" shrinkToFit="0" wrapText="1"/>
    </xf>
    <xf borderId="5" fillId="9" fontId="2" numFmtId="0" xfId="0" applyAlignment="1" applyBorder="1" applyFill="1" applyFont="1">
      <alignment shrinkToFit="0" wrapText="1"/>
    </xf>
    <xf borderId="5" fillId="9" fontId="2" numFmtId="0" xfId="0" applyAlignment="1" applyBorder="1" applyFont="1">
      <alignment horizontal="center" shrinkToFit="0" wrapText="1"/>
    </xf>
    <xf borderId="5" fillId="10" fontId="2" numFmtId="0" xfId="0" applyAlignment="1" applyBorder="1" applyFill="1" applyFont="1">
      <alignment shrinkToFit="0" wrapText="1"/>
    </xf>
    <xf borderId="5" fillId="10" fontId="2" numFmtId="0" xfId="0" applyAlignment="1" applyBorder="1" applyFont="1">
      <alignment horizontal="center" shrinkToFit="0" wrapText="1"/>
    </xf>
    <xf borderId="5" fillId="11" fontId="2" numFmtId="0" xfId="0" applyAlignment="1" applyBorder="1" applyFill="1" applyFont="1">
      <alignment shrinkToFit="0" wrapText="1"/>
    </xf>
    <xf borderId="5" fillId="11" fontId="2" numFmtId="0" xfId="0" applyAlignment="1" applyBorder="1" applyFont="1">
      <alignment horizontal="center" shrinkToFit="0" wrapText="1"/>
    </xf>
    <xf borderId="5" fillId="6" fontId="2" numFmtId="0" xfId="0" applyAlignment="1" applyBorder="1" applyFont="1">
      <alignment shrinkToFit="0" wrapText="1"/>
    </xf>
    <xf borderId="5" fillId="6" fontId="2" numFmtId="166" xfId="0" applyAlignment="1" applyBorder="1" applyFont="1" applyNumberFormat="1">
      <alignment horizontal="center" shrinkToFit="0" wrapText="1"/>
    </xf>
    <xf borderId="2" fillId="5" fontId="27" numFmtId="0" xfId="0" applyAlignment="1" applyBorder="1" applyFont="1">
      <alignment shrinkToFit="0" wrapText="1"/>
    </xf>
    <xf borderId="5" fillId="12" fontId="28" numFmtId="0" xfId="0" applyAlignment="1" applyBorder="1" applyFill="1" applyFont="1">
      <alignment horizontal="center" shrinkToFit="0" wrapText="1"/>
    </xf>
    <xf borderId="5" fillId="3" fontId="29" numFmtId="0" xfId="0" applyAlignment="1" applyBorder="1" applyFont="1">
      <alignment shrinkToFit="0" wrapText="1"/>
    </xf>
    <xf borderId="5" fillId="3" fontId="29" numFmtId="0" xfId="0" applyAlignment="1" applyBorder="1" applyFont="1">
      <alignment horizontal="center" shrinkToFit="0" wrapText="1"/>
    </xf>
    <xf borderId="5" fillId="11" fontId="29" numFmtId="0" xfId="0" applyAlignment="1" applyBorder="1" applyFont="1">
      <alignment shrinkToFit="0" wrapText="1"/>
    </xf>
    <xf borderId="5" fillId="11" fontId="29" numFmtId="0" xfId="0" applyAlignment="1" applyBorder="1" applyFont="1">
      <alignment horizontal="center" shrinkToFit="0" wrapText="1"/>
    </xf>
    <xf borderId="5" fillId="11" fontId="2" numFmtId="0" xfId="0" applyBorder="1" applyFont="1"/>
    <xf borderId="5" fillId="3" fontId="2" numFmtId="0" xfId="0" applyBorder="1" applyFont="1"/>
    <xf borderId="5" fillId="11" fontId="30" numFmtId="0" xfId="0" applyAlignment="1" applyBorder="1" applyFont="1">
      <alignment shrinkToFit="0" vertical="top" wrapText="1"/>
    </xf>
    <xf borderId="2" fillId="11" fontId="29" numFmtId="0" xfId="0" applyAlignment="1" applyBorder="1" applyFont="1">
      <alignment shrinkToFit="0" vertical="top" wrapText="1"/>
    </xf>
    <xf borderId="5" fillId="3" fontId="30" numFmtId="0" xfId="0" applyAlignment="1" applyBorder="1" applyFont="1">
      <alignment shrinkToFit="0" vertical="top" wrapText="1"/>
    </xf>
    <xf borderId="2" fillId="3" fontId="29" numFmtId="0" xfId="0" applyAlignment="1" applyBorder="1" applyFont="1">
      <alignment shrinkToFit="0" vertical="top" wrapText="1"/>
    </xf>
    <xf borderId="0" fillId="13" fontId="31" numFmtId="0" xfId="0" applyAlignment="1" applyFill="1" applyFont="1">
      <alignment horizontal="center" readingOrder="0" shrinkToFit="0" vertical="bottom" wrapText="1"/>
    </xf>
    <xf borderId="0" fillId="14" fontId="32" numFmtId="0" xfId="0" applyAlignment="1" applyFill="1" applyFont="1">
      <alignment horizontal="center" shrinkToFit="0" vertical="bottom" wrapText="1"/>
    </xf>
    <xf borderId="0" fillId="15" fontId="32" numFmtId="0" xfId="0" applyAlignment="1" applyFill="1" applyFont="1">
      <alignment horizontal="center" vertical="bottom"/>
    </xf>
    <xf borderId="0" fillId="15" fontId="32" numFmtId="0" xfId="0" applyAlignment="1" applyFont="1">
      <alignment horizontal="center" shrinkToFit="0" vertical="bottom" wrapText="0"/>
    </xf>
    <xf borderId="0" fillId="15" fontId="33" numFmtId="0" xfId="0" applyAlignment="1" applyFont="1">
      <alignment horizontal="center" shrinkToFit="0" vertical="bottom" wrapText="0"/>
    </xf>
    <xf borderId="0" fillId="15" fontId="32" numFmtId="0" xfId="0" applyAlignment="1" applyFont="1">
      <alignment horizontal="center" shrinkToFit="0" vertical="bottom" wrapText="1"/>
    </xf>
    <xf borderId="0" fillId="0" fontId="32" numFmtId="0" xfId="0" applyAlignment="1" applyFont="1">
      <alignment horizontal="center" vertical="bottom"/>
    </xf>
    <xf borderId="0" fillId="0" fontId="2" numFmtId="0" xfId="0" applyAlignment="1" applyFont="1">
      <alignment horizontal="center" readingOrder="0" vertical="bottom"/>
    </xf>
    <xf borderId="0" fillId="7" fontId="29" numFmtId="0" xfId="0" applyAlignment="1" applyFont="1">
      <alignment horizontal="center" shrinkToFit="0" vertical="bottom" wrapText="1"/>
    </xf>
    <xf borderId="0" fillId="0" fontId="34" numFmtId="0" xfId="0" applyAlignment="1" applyFont="1">
      <alignment horizontal="center" readingOrder="0" vertical="bottom"/>
    </xf>
    <xf borderId="0" fillId="7" fontId="2" numFmtId="0" xfId="0" applyAlignment="1" applyFont="1">
      <alignment vertical="bottom"/>
    </xf>
    <xf borderId="0" fillId="16" fontId="32" numFmtId="0" xfId="0" applyAlignment="1" applyFill="1" applyFont="1">
      <alignment horizontal="center" vertical="bottom"/>
    </xf>
    <xf borderId="0" fillId="16" fontId="2" numFmtId="0" xfId="0" applyAlignment="1" applyFont="1">
      <alignment horizontal="center" vertical="bottom"/>
    </xf>
    <xf borderId="0" fillId="16" fontId="29" numFmtId="0" xfId="0" applyAlignment="1" applyFont="1">
      <alignment horizontal="center" shrinkToFit="0" vertical="bottom" wrapText="1"/>
    </xf>
    <xf borderId="0" fillId="16" fontId="2" numFmtId="0" xfId="0" applyAlignment="1" applyFont="1">
      <alignment vertical="bottom"/>
    </xf>
    <xf borderId="1" fillId="16" fontId="35" numFmtId="0" xfId="0" applyAlignment="1" applyBorder="1" applyFont="1">
      <alignment readingOrder="0" shrinkToFit="0" vertical="top" wrapText="0"/>
    </xf>
    <xf borderId="1" fillId="16" fontId="13" numFmtId="0" xfId="0" applyAlignment="1" applyBorder="1" applyFont="1">
      <alignment readingOrder="0" shrinkToFit="0" vertical="top" wrapText="0"/>
    </xf>
    <xf borderId="1" fillId="16" fontId="6" numFmtId="0" xfId="0" applyAlignment="1" applyBorder="1" applyFont="1">
      <alignment readingOrder="0" shrinkToFit="0" vertical="top" wrapText="0"/>
    </xf>
    <xf borderId="1" fillId="16" fontId="6" numFmtId="164" xfId="0" applyAlignment="1" applyBorder="1" applyFont="1" applyNumberFormat="1">
      <alignment readingOrder="0" shrinkToFit="0" vertical="top" wrapText="0"/>
    </xf>
    <xf borderId="0" fillId="16" fontId="34" numFmtId="0" xfId="0" applyAlignment="1" applyFont="1">
      <alignment horizontal="center" readingOrder="0" vertical="bottom"/>
    </xf>
    <xf borderId="0" fillId="16" fontId="2" numFmtId="0" xfId="0" applyAlignment="1" applyFont="1">
      <alignment readingOrder="0" vertical="bottom"/>
    </xf>
    <xf borderId="0" fillId="16" fontId="1" numFmtId="0" xfId="0" applyFont="1"/>
    <xf borderId="0" fillId="16" fontId="1" numFmtId="0" xfId="0" applyFont="1"/>
    <xf borderId="0" fillId="0" fontId="1" numFmtId="0" xfId="0" applyFont="1"/>
    <xf borderId="1" fillId="0" fontId="6" numFmtId="164" xfId="0" applyAlignment="1" applyBorder="1" applyFont="1" applyNumberFormat="1">
      <alignment readingOrder="0" shrinkToFit="0" vertical="top" wrapText="0"/>
    </xf>
    <xf borderId="1" fillId="0" fontId="13" numFmtId="0" xfId="0" applyAlignment="1" applyBorder="1" applyFont="1">
      <alignment readingOrder="0" shrinkToFit="0" vertical="bottom" wrapText="0"/>
    </xf>
    <xf borderId="1" fillId="0" fontId="19" numFmtId="0" xfId="0" applyAlignment="1" applyBorder="1" applyFont="1">
      <alignment horizontal="right" shrinkToFit="0" vertical="top" wrapText="0"/>
    </xf>
    <xf borderId="0" fillId="16" fontId="34" numFmtId="0" xfId="0" applyAlignment="1" applyFont="1">
      <alignment horizontal="center" vertical="bottom"/>
    </xf>
    <xf borderId="0" fillId="16" fontId="29" numFmtId="0" xfId="0" applyAlignment="1" applyFont="1">
      <alignment horizontal="center" readingOrder="0" shrinkToFit="0" vertical="bottom" wrapText="1"/>
    </xf>
    <xf borderId="1" fillId="16" fontId="36" numFmtId="0" xfId="0" applyAlignment="1" applyBorder="1" applyFont="1">
      <alignment readingOrder="0" shrinkToFit="0" vertical="top" wrapText="0"/>
    </xf>
    <xf borderId="1" fillId="16" fontId="4" numFmtId="0" xfId="0" applyAlignment="1" applyBorder="1" applyFont="1">
      <alignment readingOrder="0" shrinkToFit="0" vertical="top" wrapText="0"/>
    </xf>
    <xf borderId="0" fillId="16" fontId="1" numFmtId="0" xfId="0" applyAlignment="1" applyFont="1">
      <alignment shrinkToFit="0" wrapText="0"/>
    </xf>
    <xf borderId="0" fillId="16" fontId="1" numFmtId="0" xfId="0" applyAlignment="1" applyFont="1">
      <alignment readingOrder="0"/>
    </xf>
    <xf borderId="0" fillId="0" fontId="37" numFmtId="0" xfId="0" applyAlignment="1" applyFont="1">
      <alignment shrinkToFit="0" wrapText="0"/>
    </xf>
    <xf borderId="0" fillId="15" fontId="32" numFmtId="0" xfId="0" applyAlignment="1" applyFont="1">
      <alignment horizontal="center" vertical="top"/>
    </xf>
    <xf borderId="0" fillId="15" fontId="32" numFmtId="0" xfId="0" applyAlignment="1" applyFont="1">
      <alignment horizontal="center" shrinkToFit="0" vertical="top" wrapText="1"/>
    </xf>
    <xf borderId="0" fillId="0" fontId="38" numFmtId="0" xfId="0" applyAlignment="1" applyFont="1">
      <alignment readingOrder="0" vertical="top"/>
    </xf>
    <xf borderId="0" fillId="15" fontId="32" numFmtId="0" xfId="0" applyAlignment="1" applyFont="1">
      <alignment horizontal="center" vertical="bottom"/>
    </xf>
    <xf borderId="0" fillId="15" fontId="32" numFmtId="0" xfId="0" applyAlignment="1" applyFont="1">
      <alignment horizontal="center" shrinkToFit="0" vertical="bottom" wrapText="0"/>
    </xf>
    <xf borderId="0" fillId="15" fontId="32" numFmtId="0" xfId="0" applyAlignment="1" applyFont="1">
      <alignment horizontal="center" shrinkToFit="0" vertical="bottom" wrapText="1"/>
    </xf>
    <xf borderId="0" fillId="15" fontId="39" numFmtId="0" xfId="0" applyAlignment="1" applyFont="1">
      <alignment horizontal="center" shrinkToFit="0" vertical="bottom" wrapText="1"/>
    </xf>
    <xf borderId="0" fillId="17" fontId="40" numFmtId="0" xfId="0" applyAlignment="1" applyFill="1" applyFont="1">
      <alignment horizontal="center" shrinkToFit="0" vertical="center" wrapText="1"/>
    </xf>
    <xf borderId="0" fillId="0" fontId="38" numFmtId="0" xfId="0" applyAlignment="1" applyFont="1">
      <alignment vertical="top"/>
    </xf>
    <xf borderId="1" fillId="0" fontId="13" numFmtId="0" xfId="0" applyAlignment="1" applyBorder="1" applyFont="1">
      <alignment shrinkToFit="0" vertical="top" wrapText="0"/>
    </xf>
    <xf borderId="1" fillId="0" fontId="6" numFmtId="0" xfId="0" applyAlignment="1" applyBorder="1" applyFont="1">
      <alignment shrinkToFit="0" vertical="top" wrapText="0"/>
    </xf>
    <xf borderId="0" fillId="0" fontId="34" numFmtId="0" xfId="0" applyAlignment="1" applyFont="1">
      <alignment horizontal="center" vertical="bottom"/>
    </xf>
    <xf borderId="0" fillId="0" fontId="2" numFmtId="0" xfId="0" applyAlignment="1" applyFont="1">
      <alignment shrinkToFit="0" vertical="bottom" wrapText="1"/>
    </xf>
    <xf borderId="1" fillId="0" fontId="41" numFmtId="0" xfId="0" applyAlignment="1" applyBorder="1" applyFont="1">
      <alignment shrinkToFit="0" vertical="top" wrapText="0"/>
    </xf>
    <xf borderId="0" fillId="0" fontId="2" numFmtId="0" xfId="0" applyAlignment="1" applyFont="1">
      <alignment vertical="bottom"/>
    </xf>
    <xf borderId="0" fillId="0" fontId="42" numFmtId="0" xfId="0" applyAlignment="1" applyFont="1">
      <alignment shrinkToFit="0" vertical="top" wrapText="1"/>
    </xf>
    <xf borderId="0" fillId="0" fontId="42" numFmtId="0" xfId="0" applyAlignment="1" applyFont="1">
      <alignment readingOrder="0" shrinkToFit="0" vertical="top" wrapText="1"/>
    </xf>
    <xf borderId="1" fillId="0" fontId="13" numFmtId="0" xfId="0" applyAlignment="1" applyBorder="1" applyFont="1">
      <alignment shrinkToFit="0" vertical="bottom" wrapText="0"/>
    </xf>
    <xf borderId="1" fillId="0" fontId="19" numFmtId="0" xfId="0" applyAlignment="1" applyBorder="1" applyFont="1">
      <alignment horizontal="right" shrinkToFit="0" vertical="top" wrapText="0"/>
    </xf>
    <xf borderId="0" fillId="0" fontId="2" numFmtId="0" xfId="0" applyAlignment="1" applyFont="1">
      <alignment shrinkToFit="0" vertical="bottom" wrapText="0"/>
    </xf>
    <xf borderId="0" fillId="0" fontId="2" numFmtId="0" xfId="0" applyFont="1"/>
    <xf borderId="1" fillId="0" fontId="43" numFmtId="0" xfId="0" applyAlignment="1" applyBorder="1" applyFont="1">
      <alignment readingOrder="0" shrinkToFit="0" vertical="top" wrapText="0"/>
    </xf>
    <xf borderId="1" fillId="4" fontId="4" numFmtId="0" xfId="0" applyAlignment="1" applyBorder="1" applyFont="1">
      <alignment shrinkToFit="0" vertical="top" wrapText="0"/>
    </xf>
    <xf borderId="1" fillId="0" fontId="2" numFmtId="0" xfId="0" applyAlignment="1" applyBorder="1" applyFont="1">
      <alignment shrinkToFit="0" wrapText="0"/>
    </xf>
    <xf borderId="0" fillId="0" fontId="3" numFmtId="0" xfId="0" applyFont="1"/>
    <xf borderId="0" fillId="3" fontId="44" numFmtId="0" xfId="0" applyAlignment="1" applyFont="1">
      <alignment vertical="bottom"/>
    </xf>
    <xf borderId="0" fillId="3" fontId="44" numFmtId="0" xfId="0" applyAlignment="1" applyFont="1">
      <alignment shrinkToFit="0" vertical="bottom" wrapText="1"/>
    </xf>
    <xf borderId="0" fillId="0" fontId="6" numFmtId="0" xfId="0" applyAlignment="1" applyFont="1">
      <alignment shrinkToFit="0" vertical="top" wrapText="0"/>
    </xf>
    <xf borderId="0" fillId="0" fontId="2" numFmtId="0" xfId="0" applyAlignment="1" applyFont="1">
      <alignment shrinkToFit="0" wrapText="0"/>
    </xf>
    <xf borderId="0" fillId="0" fontId="45" numFmtId="0" xfId="0" applyAlignment="1" applyFont="1">
      <alignment horizontal="center" readingOrder="0" shrinkToFit="0" vertical="center" wrapText="1"/>
    </xf>
    <xf borderId="0" fillId="0" fontId="42" numFmtId="0" xfId="0" applyAlignment="1" applyFont="1">
      <alignment shrinkToFit="0" vertical="bottom" wrapText="1"/>
    </xf>
    <xf borderId="0" fillId="0" fontId="42" numFmtId="0" xfId="0" applyAlignment="1" applyFont="1">
      <alignment shrinkToFit="0" vertical="bottom" wrapText="1"/>
    </xf>
    <xf borderId="0" fillId="0" fontId="42" numFmtId="0" xfId="0" applyAlignment="1" applyFont="1">
      <alignment shrinkToFit="0" vertical="bottom" wrapText="1"/>
    </xf>
    <xf borderId="0" fillId="0" fontId="42" numFmtId="0" xfId="0" applyAlignment="1" applyFont="1">
      <alignment readingOrder="0" shrinkToFit="0" vertical="bottom" wrapText="1"/>
    </xf>
    <xf borderId="0" fillId="18" fontId="40" numFmtId="0" xfId="0" applyAlignment="1" applyFill="1" applyFont="1">
      <alignment horizontal="center" shrinkToFit="0" vertical="center" wrapText="1"/>
    </xf>
    <xf borderId="0" fillId="0" fontId="1" numFmtId="0" xfId="0" applyFont="1"/>
  </cellXfs>
  <cellStyles count="1">
    <cellStyle xfId="0" name="Normal" builtinId="0"/>
  </cellStyles>
  <dxfs count="8">
    <dxf>
      <font/>
      <fill>
        <patternFill patternType="solid">
          <fgColor rgb="FFB7E1CD"/>
          <bgColor rgb="FFB7E1CD"/>
        </patternFill>
      </fill>
      <border/>
    </dxf>
    <dxf>
      <font/>
      <fill>
        <patternFill patternType="solid">
          <fgColor rgb="FFF4C7C3"/>
          <bgColor rgb="FFF4C7C3"/>
        </patternFill>
      </fill>
      <border/>
    </dxf>
    <dxf>
      <font/>
      <fill>
        <patternFill patternType="solid">
          <fgColor rgb="FFFCE8B2"/>
          <bgColor rgb="FFFCE8B2"/>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Category Summary-style">
      <tableStyleElement dxfId="4" type="headerRow"/>
      <tableStyleElement dxfId="5" type="firstRowStripe"/>
      <tableStyleElement dxfId="6" type="secondRowStripe"/>
      <tableStyleElement dxfId="7"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41" displayName="Tabela_1" name="Tabela_1" id="1">
  <tableColumns count="6">
    <tableColumn name="Question" id="1"/>
    <tableColumn name="Category" id="2"/>
    <tableColumn name="Description" id="3"/>
    <tableColumn name="Count" id="4"/>
    <tableColumn name="Classification criteria" id="5"/>
    <tableColumn name="Notes" id="6"/>
  </tableColumns>
  <tableStyleInfo name="Category Summar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link.springer.com/10.1007/s12063-021-00204-0" TargetMode="External"/><Relationship Id="rId42" Type="http://schemas.openxmlformats.org/officeDocument/2006/relationships/hyperlink" Target="https://link.springer.com/10.1007/s12599-021-00713-z" TargetMode="External"/><Relationship Id="rId41" Type="http://schemas.openxmlformats.org/officeDocument/2006/relationships/hyperlink" Target="https://link.springer.com/10.1007/s43546-025-00917-5" TargetMode="External"/><Relationship Id="rId44" Type="http://schemas.openxmlformats.org/officeDocument/2006/relationships/hyperlink" Target="https://link.springer.com/10.1007/s44311-025-00028-2" TargetMode="External"/><Relationship Id="rId43" Type="http://schemas.openxmlformats.org/officeDocument/2006/relationships/hyperlink" Target="https://link.springer.com/10.1007/s12599-024-00895-2" TargetMode="External"/><Relationship Id="rId46" Type="http://schemas.openxmlformats.org/officeDocument/2006/relationships/hyperlink" Target="https://link.springer.com/10.1007/s41666-024-00165-6" TargetMode="External"/><Relationship Id="rId45" Type="http://schemas.openxmlformats.org/officeDocument/2006/relationships/hyperlink" Target="https://link.springer.com/10.1007/s10664-024-10584-z" TargetMode="External"/><Relationship Id="rId1" Type="http://schemas.openxmlformats.org/officeDocument/2006/relationships/hyperlink" Target="https://link.springer.com/10.1007/s43069-025-00428-x" TargetMode="External"/><Relationship Id="rId2" Type="http://schemas.openxmlformats.org/officeDocument/2006/relationships/hyperlink" Target="https://link.springer.com/10.1007/s12599-024-00882-7" TargetMode="External"/><Relationship Id="rId3" Type="http://schemas.openxmlformats.org/officeDocument/2006/relationships/hyperlink" Target="https://link.springer.com/10.1007/s10796-024-10474-1" TargetMode="External"/><Relationship Id="rId4" Type="http://schemas.openxmlformats.org/officeDocument/2006/relationships/hyperlink" Target="https://fbj.springeropen.com/articles/10.1186/s43093-023-00296-z" TargetMode="External"/><Relationship Id="rId9" Type="http://schemas.openxmlformats.org/officeDocument/2006/relationships/hyperlink" Target="https://link.springer.com/10.1007/s10115-023-02042-x" TargetMode="External"/><Relationship Id="rId48" Type="http://schemas.openxmlformats.org/officeDocument/2006/relationships/hyperlink" Target="https://link.springer.com/10.1007/s12599-021-00685-0" TargetMode="External"/><Relationship Id="rId47" Type="http://schemas.openxmlformats.org/officeDocument/2006/relationships/hyperlink" Target="https://link.springer.com/10.1007/s10257-022-00576-1" TargetMode="External"/><Relationship Id="rId49" Type="http://schemas.openxmlformats.org/officeDocument/2006/relationships/hyperlink" Target="https://link.springer.com/10.1007/s10515-022-00321-5" TargetMode="External"/><Relationship Id="rId5" Type="http://schemas.openxmlformats.org/officeDocument/2006/relationships/hyperlink" Target="https://link.springer.com/10.1007/s41870-025-02593-y" TargetMode="External"/><Relationship Id="rId6" Type="http://schemas.openxmlformats.org/officeDocument/2006/relationships/hyperlink" Target="https://link.springer.com/10.1007/s10257-024-00689-9" TargetMode="External"/><Relationship Id="rId7" Type="http://schemas.openxmlformats.org/officeDocument/2006/relationships/hyperlink" Target="https://link.springer.com/10.1007/s11301-026-00586-0" TargetMode="External"/><Relationship Id="rId8" Type="http://schemas.openxmlformats.org/officeDocument/2006/relationships/hyperlink" Target="https://link.springer.com/10.1007/s10257-024-00681-3" TargetMode="External"/><Relationship Id="rId73" Type="http://schemas.openxmlformats.org/officeDocument/2006/relationships/hyperlink" Target="https://link.springer.com/10.1007/s41471-023-00178-8" TargetMode="External"/><Relationship Id="rId72" Type="http://schemas.openxmlformats.org/officeDocument/2006/relationships/hyperlink" Target="https://link.springer.com/10.1007/s12599-023-00805-y" TargetMode="External"/><Relationship Id="rId31" Type="http://schemas.openxmlformats.org/officeDocument/2006/relationships/hyperlink" Target="https://link.springer.com/10.1007/s11740-024-01302-1" TargetMode="External"/><Relationship Id="rId75" Type="http://schemas.openxmlformats.org/officeDocument/2006/relationships/hyperlink" Target="https://link.springer.com/10.1007/s12144-022-03293-7" TargetMode="External"/><Relationship Id="rId30" Type="http://schemas.openxmlformats.org/officeDocument/2006/relationships/hyperlink" Target="https://link.springer.com/10.1007/s10257-024-00675-1" TargetMode="External"/><Relationship Id="rId74" Type="http://schemas.openxmlformats.org/officeDocument/2006/relationships/hyperlink" Target="https://link.springer.com/10.1007/s12599-021-00700-4" TargetMode="External"/><Relationship Id="rId33" Type="http://schemas.openxmlformats.org/officeDocument/2006/relationships/hyperlink" Target="https://link.springer.com/10.1007/s42786-021-00030-9" TargetMode="External"/><Relationship Id="rId32" Type="http://schemas.openxmlformats.org/officeDocument/2006/relationships/hyperlink" Target="https://link.springer.com/10.1007/s12599-021-00740-w" TargetMode="External"/><Relationship Id="rId76" Type="http://schemas.openxmlformats.org/officeDocument/2006/relationships/drawing" Target="../drawings/drawing2.xml"/><Relationship Id="rId35" Type="http://schemas.openxmlformats.org/officeDocument/2006/relationships/hyperlink" Target="https://link.springer.com/10.1007/s11761-025-00448-9" TargetMode="External"/><Relationship Id="rId34" Type="http://schemas.openxmlformats.org/officeDocument/2006/relationships/hyperlink" Target="https://link.springer.com/10.1007/s12599-021-00718-8" TargetMode="External"/><Relationship Id="rId71" Type="http://schemas.openxmlformats.org/officeDocument/2006/relationships/hyperlink" Target="https://link.springer.com/10.1007/s12599-021-00693-0" TargetMode="External"/><Relationship Id="rId70" Type="http://schemas.openxmlformats.org/officeDocument/2006/relationships/hyperlink" Target="https://link.springer.com/10.1007/s10898-024-01430-z" TargetMode="External"/><Relationship Id="rId37" Type="http://schemas.openxmlformats.org/officeDocument/2006/relationships/hyperlink" Target="https://link.springer.com/10.1007/s12063-024-00519-8" TargetMode="External"/><Relationship Id="rId36" Type="http://schemas.openxmlformats.org/officeDocument/2006/relationships/hyperlink" Target="https://link.springer.com/10.1007/s12525-024-00730-2" TargetMode="External"/><Relationship Id="rId39" Type="http://schemas.openxmlformats.org/officeDocument/2006/relationships/hyperlink" Target="https://link.springer.com/10.1007/s12599-021-00703-1" TargetMode="External"/><Relationship Id="rId38" Type="http://schemas.openxmlformats.org/officeDocument/2006/relationships/hyperlink" Target="https://link.springer.com/10.1007/s10115-025-02461-y" TargetMode="External"/><Relationship Id="rId62" Type="http://schemas.openxmlformats.org/officeDocument/2006/relationships/hyperlink" Target="https://link.springer.com/10.1007/s12599-022-00778-4" TargetMode="External"/><Relationship Id="rId61" Type="http://schemas.openxmlformats.org/officeDocument/2006/relationships/hyperlink" Target="https://link.springer.com/10.1007/s12599-023-00788-w" TargetMode="External"/><Relationship Id="rId20" Type="http://schemas.openxmlformats.org/officeDocument/2006/relationships/hyperlink" Target="https://link.springer.com/10.1007/s12599-024-00906-2" TargetMode="External"/><Relationship Id="rId64" Type="http://schemas.openxmlformats.org/officeDocument/2006/relationships/hyperlink" Target="https://link.springer.com/10.1007/s44311-025-00030-8" TargetMode="External"/><Relationship Id="rId63" Type="http://schemas.openxmlformats.org/officeDocument/2006/relationships/hyperlink" Target="https://link.springer.com/10.1007/s12599-021-00720-0" TargetMode="External"/><Relationship Id="rId22" Type="http://schemas.openxmlformats.org/officeDocument/2006/relationships/hyperlink" Target="https://link.springer.com/10.1007/s10257-022-00553-8" TargetMode="External"/><Relationship Id="rId66" Type="http://schemas.openxmlformats.org/officeDocument/2006/relationships/hyperlink" Target="https://link.springer.com/10.1007/s12599-023-00850-7" TargetMode="External"/><Relationship Id="rId21" Type="http://schemas.openxmlformats.org/officeDocument/2006/relationships/hyperlink" Target="https://link.springer.com/10.1007/s12599-025-00931-9" TargetMode="External"/><Relationship Id="rId65" Type="http://schemas.openxmlformats.org/officeDocument/2006/relationships/hyperlink" Target="https://link.springer.com/10.1007/s10515-021-00316-8" TargetMode="External"/><Relationship Id="rId24" Type="http://schemas.openxmlformats.org/officeDocument/2006/relationships/hyperlink" Target="https://link.springer.com/10.1007/s10257-024-00698-8" TargetMode="External"/><Relationship Id="rId68" Type="http://schemas.openxmlformats.org/officeDocument/2006/relationships/hyperlink" Target="https://link.springer.com/10.1007/s10257-021-00523-6" TargetMode="External"/><Relationship Id="rId23" Type="http://schemas.openxmlformats.org/officeDocument/2006/relationships/hyperlink" Target="https://link.springer.com/10.1007/s10257-022-00602-2" TargetMode="External"/><Relationship Id="rId67" Type="http://schemas.openxmlformats.org/officeDocument/2006/relationships/hyperlink" Target="https://link.springer.com/10.1007/s10270-021-00925-7" TargetMode="External"/><Relationship Id="rId60" Type="http://schemas.openxmlformats.org/officeDocument/2006/relationships/hyperlink" Target="https://link.springer.com/10.1007/s10257-024-00684-0" TargetMode="External"/><Relationship Id="rId26" Type="http://schemas.openxmlformats.org/officeDocument/2006/relationships/hyperlink" Target="https://link.springer.com/10.1007/s10257-021-00549-w" TargetMode="External"/><Relationship Id="rId25" Type="http://schemas.openxmlformats.org/officeDocument/2006/relationships/hyperlink" Target="https://link.springer.com/10.1007/s12599-024-00860-z" TargetMode="External"/><Relationship Id="rId69" Type="http://schemas.openxmlformats.org/officeDocument/2006/relationships/hyperlink" Target="https://link.springer.com/10.1007/s10115-023-02011-4" TargetMode="External"/><Relationship Id="rId28" Type="http://schemas.openxmlformats.org/officeDocument/2006/relationships/hyperlink" Target="https://link.springer.com/10.3103/S0005105524700018" TargetMode="External"/><Relationship Id="rId27" Type="http://schemas.openxmlformats.org/officeDocument/2006/relationships/hyperlink" Target="https://link.springer.com/10.1007/s40821-026-00342-0" TargetMode="External"/><Relationship Id="rId29" Type="http://schemas.openxmlformats.org/officeDocument/2006/relationships/hyperlink" Target="https://link.springer.com/10.1007/s12599-024-00892-5" TargetMode="External"/><Relationship Id="rId51" Type="http://schemas.openxmlformats.org/officeDocument/2006/relationships/hyperlink" Target="https://link.springer.com/10.1007/s10588-021-09331-2" TargetMode="External"/><Relationship Id="rId50" Type="http://schemas.openxmlformats.org/officeDocument/2006/relationships/hyperlink" Target="https://link.springer.com/10.1007/s11740-025-01343-0" TargetMode="External"/><Relationship Id="rId53" Type="http://schemas.openxmlformats.org/officeDocument/2006/relationships/hyperlink" Target="https://link.springer.com/10.1007/s12599-021-00714-y" TargetMode="External"/><Relationship Id="rId52" Type="http://schemas.openxmlformats.org/officeDocument/2006/relationships/hyperlink" Target="https://link.springer.com/10.1007/s12599-023-00820-z" TargetMode="External"/><Relationship Id="rId11" Type="http://schemas.openxmlformats.org/officeDocument/2006/relationships/hyperlink" Target="https://fbj.springeropen.com/articles/10.1186/s43093-024-00395-5" TargetMode="External"/><Relationship Id="rId55" Type="http://schemas.openxmlformats.org/officeDocument/2006/relationships/hyperlink" Target="https://link.springer.com/10.1007/s12599-025-00976-w" TargetMode="External"/><Relationship Id="rId10" Type="http://schemas.openxmlformats.org/officeDocument/2006/relationships/hyperlink" Target="https://link.springer.com/10.1007/s10845-024-02419-x" TargetMode="External"/><Relationship Id="rId54" Type="http://schemas.openxmlformats.org/officeDocument/2006/relationships/hyperlink" Target="https://link.springer.com/10.1186/s12913-025-13644-2" TargetMode="External"/><Relationship Id="rId13" Type="http://schemas.openxmlformats.org/officeDocument/2006/relationships/hyperlink" Target="https://link.springer.com/10.1007/s41027-022-00383-9" TargetMode="External"/><Relationship Id="rId57" Type="http://schemas.openxmlformats.org/officeDocument/2006/relationships/hyperlink" Target="https://link.springer.com/10.1007/s12599-025-00969-9" TargetMode="External"/><Relationship Id="rId12" Type="http://schemas.openxmlformats.org/officeDocument/2006/relationships/hyperlink" Target="https://link.springer.com/10.1007/s10257-024-00685-z" TargetMode="External"/><Relationship Id="rId56" Type="http://schemas.openxmlformats.org/officeDocument/2006/relationships/hyperlink" Target="https://link.springer.com/10.1007/s10506-025-09481-7" TargetMode="External"/><Relationship Id="rId15" Type="http://schemas.openxmlformats.org/officeDocument/2006/relationships/hyperlink" Target="https://link.springer.com/10.1007/s12599-024-00908-0" TargetMode="External"/><Relationship Id="rId59" Type="http://schemas.openxmlformats.org/officeDocument/2006/relationships/hyperlink" Target="https://www.nature.com/articles/s41598-026-42189-5" TargetMode="External"/><Relationship Id="rId14" Type="http://schemas.openxmlformats.org/officeDocument/2006/relationships/hyperlink" Target="https://link.springer.com/10.1007/s42979-026-04830-y" TargetMode="External"/><Relationship Id="rId58" Type="http://schemas.openxmlformats.org/officeDocument/2006/relationships/hyperlink" Target="https://link.springer.com/10.1007/s10796-024-10473-2" TargetMode="External"/><Relationship Id="rId17" Type="http://schemas.openxmlformats.org/officeDocument/2006/relationships/hyperlink" Target="https://link.springer.com/10.1007/s13132-024-01865-5" TargetMode="External"/><Relationship Id="rId16" Type="http://schemas.openxmlformats.org/officeDocument/2006/relationships/hyperlink" Target="https://link.springer.com/10.1007/s10257-024-00676-0" TargetMode="External"/><Relationship Id="rId19" Type="http://schemas.openxmlformats.org/officeDocument/2006/relationships/hyperlink" Target="https://link.springer.com/10.1007/s10257-024-00683-1" TargetMode="External"/><Relationship Id="rId18" Type="http://schemas.openxmlformats.org/officeDocument/2006/relationships/hyperlink" Target="https://link.springer.com/10.1007/s10257-024-00672-4"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ieeexplore.ieee.org/document/11331249/" TargetMode="External"/><Relationship Id="rId42" Type="http://schemas.openxmlformats.org/officeDocument/2006/relationships/hyperlink" Target="https://ieeexplore.ieee.org/document/11069117/" TargetMode="External"/><Relationship Id="rId41" Type="http://schemas.openxmlformats.org/officeDocument/2006/relationships/hyperlink" Target="https://ieeexplore.ieee.org/document/10035081/" TargetMode="External"/><Relationship Id="rId44" Type="http://schemas.openxmlformats.org/officeDocument/2006/relationships/hyperlink" Target="https://ieeexplore.ieee.org/document/10963281/" TargetMode="External"/><Relationship Id="rId43" Type="http://schemas.openxmlformats.org/officeDocument/2006/relationships/hyperlink" Target="https://ieeexplore.ieee.org/document/10712609/" TargetMode="External"/><Relationship Id="rId46" Type="http://schemas.openxmlformats.org/officeDocument/2006/relationships/hyperlink" Target="https://ieeexplore.ieee.org/document/11435350/" TargetMode="External"/><Relationship Id="rId45" Type="http://schemas.openxmlformats.org/officeDocument/2006/relationships/hyperlink" Target="https://ieeexplore.ieee.org/document/10187588/" TargetMode="External"/><Relationship Id="rId1" Type="http://schemas.openxmlformats.org/officeDocument/2006/relationships/hyperlink" Target="https://ieeexplore.ieee.org/document/9476422/" TargetMode="External"/><Relationship Id="rId2" Type="http://schemas.openxmlformats.org/officeDocument/2006/relationships/hyperlink" Target="https://ieeexplore.ieee.org/document/10169836/" TargetMode="External"/><Relationship Id="rId3" Type="http://schemas.openxmlformats.org/officeDocument/2006/relationships/hyperlink" Target="https://ieeexplore.ieee.org/document/10491319/" TargetMode="External"/><Relationship Id="rId4" Type="http://schemas.openxmlformats.org/officeDocument/2006/relationships/hyperlink" Target="https://ieeexplore.ieee.org/document/10346533/" TargetMode="External"/><Relationship Id="rId9" Type="http://schemas.openxmlformats.org/officeDocument/2006/relationships/hyperlink" Target="https://ieeexplore.ieee.org/document/10762906/" TargetMode="External"/><Relationship Id="rId48" Type="http://schemas.openxmlformats.org/officeDocument/2006/relationships/hyperlink" Target="https://ieeexplore.ieee.org/document/10090061/" TargetMode="External"/><Relationship Id="rId47" Type="http://schemas.openxmlformats.org/officeDocument/2006/relationships/hyperlink" Target="https://ieeexplore.ieee.org/document/10084343/" TargetMode="External"/><Relationship Id="rId49" Type="http://schemas.openxmlformats.org/officeDocument/2006/relationships/hyperlink" Target="https://ieeexplore.ieee.org/document/10263958/" TargetMode="External"/><Relationship Id="rId5" Type="http://schemas.openxmlformats.org/officeDocument/2006/relationships/hyperlink" Target="https://ieeexplore.ieee.org/document/10525897/" TargetMode="External"/><Relationship Id="rId6" Type="http://schemas.openxmlformats.org/officeDocument/2006/relationships/hyperlink" Target="https://ieeexplore.ieee.org/document/10540093/" TargetMode="External"/><Relationship Id="rId7" Type="http://schemas.openxmlformats.org/officeDocument/2006/relationships/hyperlink" Target="https://ieeexplore.ieee.org/document/10169815/" TargetMode="External"/><Relationship Id="rId8" Type="http://schemas.openxmlformats.org/officeDocument/2006/relationships/hyperlink" Target="https://ieeexplore.ieee.org/document/9766496/" TargetMode="External"/><Relationship Id="rId73" Type="http://schemas.openxmlformats.org/officeDocument/2006/relationships/hyperlink" Target="https://chatgpt.com/share/69e7c4df-5c4c-8327-bac6-d3e438fe3f34" TargetMode="External"/><Relationship Id="rId72" Type="http://schemas.openxmlformats.org/officeDocument/2006/relationships/hyperlink" Target="https://ieeexplore.ieee.org/document/11241563/" TargetMode="External"/><Relationship Id="rId31" Type="http://schemas.openxmlformats.org/officeDocument/2006/relationships/hyperlink" Target="https://ieeexplore.ieee.org/document/9596188/" TargetMode="External"/><Relationship Id="rId75" Type="http://schemas.openxmlformats.org/officeDocument/2006/relationships/hyperlink" Target="https://ieeexplore.ieee.org/document/9488654/" TargetMode="External"/><Relationship Id="rId30" Type="http://schemas.openxmlformats.org/officeDocument/2006/relationships/hyperlink" Target="https://ieeexplore.ieee.org/document/11238925/" TargetMode="External"/><Relationship Id="rId74" Type="http://schemas.openxmlformats.org/officeDocument/2006/relationships/hyperlink" Target="https://ieeexplore.ieee.org/document/10549842/" TargetMode="External"/><Relationship Id="rId33" Type="http://schemas.openxmlformats.org/officeDocument/2006/relationships/hyperlink" Target="https://ieeexplore.ieee.org/document/11239239/" TargetMode="External"/><Relationship Id="rId77" Type="http://schemas.openxmlformats.org/officeDocument/2006/relationships/hyperlink" Target="https://ieeexplore.ieee.org/document/11170450/" TargetMode="External"/><Relationship Id="rId32" Type="http://schemas.openxmlformats.org/officeDocument/2006/relationships/hyperlink" Target="https://ieeexplore.ieee.org/document/9642778/" TargetMode="External"/><Relationship Id="rId76" Type="http://schemas.openxmlformats.org/officeDocument/2006/relationships/hyperlink" Target="https://ieeexplore.ieee.org/document/10152964/" TargetMode="External"/><Relationship Id="rId35" Type="http://schemas.openxmlformats.org/officeDocument/2006/relationships/hyperlink" Target="https://ieeexplore.ieee.org/document/10479688/" TargetMode="External"/><Relationship Id="rId79" Type="http://schemas.openxmlformats.org/officeDocument/2006/relationships/drawing" Target="../drawings/drawing3.xml"/><Relationship Id="rId34" Type="http://schemas.openxmlformats.org/officeDocument/2006/relationships/hyperlink" Target="https://ieeexplore.ieee.org/document/9751752/" TargetMode="External"/><Relationship Id="rId78" Type="http://schemas.openxmlformats.org/officeDocument/2006/relationships/hyperlink" Target="https://ieeexplore.ieee.org/document/10109804/" TargetMode="External"/><Relationship Id="rId71" Type="http://schemas.openxmlformats.org/officeDocument/2006/relationships/hyperlink" Target="https://ieeexplore.ieee.org/document/11258419/" TargetMode="External"/><Relationship Id="rId70" Type="http://schemas.openxmlformats.org/officeDocument/2006/relationships/hyperlink" Target="https://ieeexplore.ieee.org/document/11241961/" TargetMode="External"/><Relationship Id="rId37" Type="http://schemas.openxmlformats.org/officeDocument/2006/relationships/hyperlink" Target="https://ieeexplore.ieee.org/document/9915043/" TargetMode="External"/><Relationship Id="rId36" Type="http://schemas.openxmlformats.org/officeDocument/2006/relationships/hyperlink" Target="https://ieeexplore.ieee.org/document/9615260/" TargetMode="External"/><Relationship Id="rId39" Type="http://schemas.openxmlformats.org/officeDocument/2006/relationships/hyperlink" Target="https://ieeexplore.ieee.org/document/9905184/" TargetMode="External"/><Relationship Id="rId38" Type="http://schemas.openxmlformats.org/officeDocument/2006/relationships/hyperlink" Target="https://ieeexplore.ieee.org/document/10111453/" TargetMode="External"/><Relationship Id="rId62" Type="http://schemas.openxmlformats.org/officeDocument/2006/relationships/hyperlink" Target="https://ieeexplore.ieee.org/document/9820072/" TargetMode="External"/><Relationship Id="rId61" Type="http://schemas.openxmlformats.org/officeDocument/2006/relationships/hyperlink" Target="https://ieeexplore.ieee.org/document/11370117/" TargetMode="External"/><Relationship Id="rId20" Type="http://schemas.openxmlformats.org/officeDocument/2006/relationships/hyperlink" Target="https://ieeexplore.ieee.org/document/10589202/" TargetMode="External"/><Relationship Id="rId64" Type="http://schemas.openxmlformats.org/officeDocument/2006/relationships/hyperlink" Target="https://ieeexplore.ieee.org/document/11139271/" TargetMode="External"/><Relationship Id="rId63" Type="http://schemas.openxmlformats.org/officeDocument/2006/relationships/hyperlink" Target="https://ieeexplore.ieee.org/document/10205949/" TargetMode="External"/><Relationship Id="rId22" Type="http://schemas.openxmlformats.org/officeDocument/2006/relationships/hyperlink" Target="https://ieeexplore.ieee.org/document/11220609/" TargetMode="External"/><Relationship Id="rId66" Type="http://schemas.openxmlformats.org/officeDocument/2006/relationships/hyperlink" Target="https://ieeexplore.ieee.org/document/9610629/" TargetMode="External"/><Relationship Id="rId21" Type="http://schemas.openxmlformats.org/officeDocument/2006/relationships/hyperlink" Target="https://ieeexplore.ieee.org/document/11324422/" TargetMode="External"/><Relationship Id="rId65" Type="http://schemas.openxmlformats.org/officeDocument/2006/relationships/hyperlink" Target="https://ieeexplore.ieee.org/document/9416494/" TargetMode="External"/><Relationship Id="rId24" Type="http://schemas.openxmlformats.org/officeDocument/2006/relationships/hyperlink" Target="https://ieeexplore.ieee.org/document/9639170/" TargetMode="External"/><Relationship Id="rId68" Type="http://schemas.openxmlformats.org/officeDocument/2006/relationships/hyperlink" Target="https://ieeexplore.ieee.org/document/10720446/" TargetMode="External"/><Relationship Id="rId23" Type="http://schemas.openxmlformats.org/officeDocument/2006/relationships/hyperlink" Target="https://ieeexplore.ieee.org/document/9766623/" TargetMode="External"/><Relationship Id="rId67" Type="http://schemas.openxmlformats.org/officeDocument/2006/relationships/hyperlink" Target="https://ieeexplore.ieee.org/document/11085254/" TargetMode="External"/><Relationship Id="rId60" Type="http://schemas.openxmlformats.org/officeDocument/2006/relationships/hyperlink" Target="https://ieeexplore.ieee.org/document/9576568/" TargetMode="External"/><Relationship Id="rId26" Type="http://schemas.openxmlformats.org/officeDocument/2006/relationships/hyperlink" Target="https://ieeexplore.ieee.org/document/10736038/" TargetMode="External"/><Relationship Id="rId25" Type="http://schemas.openxmlformats.org/officeDocument/2006/relationships/hyperlink" Target="https://ieeexplore.ieee.org/document/9596775/" TargetMode="External"/><Relationship Id="rId69" Type="http://schemas.openxmlformats.org/officeDocument/2006/relationships/hyperlink" Target="https://ieeexplore.ieee.org/document/11108191/" TargetMode="External"/><Relationship Id="rId28" Type="http://schemas.openxmlformats.org/officeDocument/2006/relationships/hyperlink" Target="https://ieeexplore.ieee.org/document/9945429/" TargetMode="External"/><Relationship Id="rId27" Type="http://schemas.openxmlformats.org/officeDocument/2006/relationships/hyperlink" Target="https://ieeexplore.ieee.org/document/10571518/" TargetMode="External"/><Relationship Id="rId29" Type="http://schemas.openxmlformats.org/officeDocument/2006/relationships/hyperlink" Target="https://ieeexplore.ieee.org/document/9937096/" TargetMode="External"/><Relationship Id="rId51" Type="http://schemas.openxmlformats.org/officeDocument/2006/relationships/hyperlink" Target="https://ieeexplore.ieee.org/document/10708725/" TargetMode="External"/><Relationship Id="rId50" Type="http://schemas.openxmlformats.org/officeDocument/2006/relationships/hyperlink" Target="https://ieeexplore.ieee.org/document/11411555/" TargetMode="External"/><Relationship Id="rId53" Type="http://schemas.openxmlformats.org/officeDocument/2006/relationships/hyperlink" Target="https://ieeexplore.ieee.org/document/10332338/" TargetMode="External"/><Relationship Id="rId52" Type="http://schemas.openxmlformats.org/officeDocument/2006/relationships/hyperlink" Target="https://ieeexplore.ieee.org/document/10275503/" TargetMode="External"/><Relationship Id="rId11" Type="http://schemas.openxmlformats.org/officeDocument/2006/relationships/hyperlink" Target="https://ieeexplore.ieee.org/document/11196068/" TargetMode="External"/><Relationship Id="rId55" Type="http://schemas.openxmlformats.org/officeDocument/2006/relationships/hyperlink" Target="https://ieeexplore.ieee.org/document/10125248/" TargetMode="External"/><Relationship Id="rId10" Type="http://schemas.openxmlformats.org/officeDocument/2006/relationships/hyperlink" Target="https://ieeexplore.ieee.org/document/10346584/" TargetMode="External"/><Relationship Id="rId54" Type="http://schemas.openxmlformats.org/officeDocument/2006/relationships/hyperlink" Target="https://ieeexplore.ieee.org/document/11134879/" TargetMode="External"/><Relationship Id="rId13" Type="http://schemas.openxmlformats.org/officeDocument/2006/relationships/hyperlink" Target="https://ieeexplore.ieee.org/document/11062816/" TargetMode="External"/><Relationship Id="rId57" Type="http://schemas.openxmlformats.org/officeDocument/2006/relationships/hyperlink" Target="https://ieeexplore.ieee.org/document/9820099/" TargetMode="External"/><Relationship Id="rId12" Type="http://schemas.openxmlformats.org/officeDocument/2006/relationships/hyperlink" Target="https://ieeexplore.ieee.org/document/9844997/" TargetMode="External"/><Relationship Id="rId56" Type="http://schemas.openxmlformats.org/officeDocument/2006/relationships/hyperlink" Target="https://ieeexplore.ieee.org/document/9453981/" TargetMode="External"/><Relationship Id="rId15" Type="http://schemas.openxmlformats.org/officeDocument/2006/relationships/hyperlink" Target="https://ieeexplore.ieee.org/document/10146729/" TargetMode="External"/><Relationship Id="rId59" Type="http://schemas.openxmlformats.org/officeDocument/2006/relationships/hyperlink" Target="https://ieeexplore.ieee.org/document/9590451/" TargetMode="External"/><Relationship Id="rId14" Type="http://schemas.openxmlformats.org/officeDocument/2006/relationships/hyperlink" Target="https://ieeexplore.ieee.org/document/10939966/" TargetMode="External"/><Relationship Id="rId58" Type="http://schemas.openxmlformats.org/officeDocument/2006/relationships/hyperlink" Target="https://ieeexplore.ieee.org/document/10708743/" TargetMode="External"/><Relationship Id="rId17" Type="http://schemas.openxmlformats.org/officeDocument/2006/relationships/hyperlink" Target="https://ieeexplore.ieee.org/document/10434531/" TargetMode="External"/><Relationship Id="rId16" Type="http://schemas.openxmlformats.org/officeDocument/2006/relationships/hyperlink" Target="https://ieeexplore.ieee.org/document/9965483/" TargetMode="External"/><Relationship Id="rId19" Type="http://schemas.openxmlformats.org/officeDocument/2006/relationships/hyperlink" Target="https://ieeexplore.ieee.org/document/11329572/" TargetMode="External"/><Relationship Id="rId18" Type="http://schemas.openxmlformats.org/officeDocument/2006/relationships/hyperlink" Target="https://ieeexplore.ieee.org/document/11060097/"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www.sciencedirect.com/science/article/pii/S2665917424002204" TargetMode="External"/><Relationship Id="rId42" Type="http://schemas.openxmlformats.org/officeDocument/2006/relationships/hyperlink" Target="https://www.sciencedirect.com/science/article/pii/S0010482523012908" TargetMode="External"/><Relationship Id="rId41" Type="http://schemas.openxmlformats.org/officeDocument/2006/relationships/hyperlink" Target="https://www.sciencedirect.com/science/article/pii/S0010482525013083" TargetMode="External"/><Relationship Id="rId44" Type="http://schemas.openxmlformats.org/officeDocument/2006/relationships/hyperlink" Target="https://www.sciencedirect.com/science/article/pii/S030643792030137X" TargetMode="External"/><Relationship Id="rId43" Type="http://schemas.openxmlformats.org/officeDocument/2006/relationships/hyperlink" Target="https://www.sciencedirect.com/science/article/pii/S0263224124000290" TargetMode="External"/><Relationship Id="rId46" Type="http://schemas.openxmlformats.org/officeDocument/2006/relationships/hyperlink" Target="https://www.sciencedirect.com/science/article/pii/S0169260726000088" TargetMode="External"/><Relationship Id="rId45" Type="http://schemas.openxmlformats.org/officeDocument/2006/relationships/hyperlink" Target="http://j.is/" TargetMode="External"/><Relationship Id="rId1" Type="http://schemas.openxmlformats.org/officeDocument/2006/relationships/hyperlink" Target="https://www.sciencedirect.com/science/article/pii/S0013794420309826" TargetMode="External"/><Relationship Id="rId2" Type="http://schemas.openxmlformats.org/officeDocument/2006/relationships/hyperlink" Target="https://www.sciencedirect.com/science/article/pii/S030643792030106X" TargetMode="External"/><Relationship Id="rId3" Type="http://schemas.openxmlformats.org/officeDocument/2006/relationships/hyperlink" Target="http://j.is/" TargetMode="External"/><Relationship Id="rId4" Type="http://schemas.openxmlformats.org/officeDocument/2006/relationships/hyperlink" Target="https://www.sciencedirect.com/science/article/pii/S2212473X26000131" TargetMode="External"/><Relationship Id="rId9" Type="http://schemas.openxmlformats.org/officeDocument/2006/relationships/hyperlink" Target="https://www.sciencedirect.com/science/article/pii/S0306437923000200" TargetMode="External"/><Relationship Id="rId48" Type="http://schemas.openxmlformats.org/officeDocument/2006/relationships/hyperlink" Target="https://www.sciencedirect.com/science/article/pii/S0306437923000650" TargetMode="External"/><Relationship Id="rId47" Type="http://schemas.openxmlformats.org/officeDocument/2006/relationships/hyperlink" Target="https://www.sciencedirect.com/science/article/pii/S1877050926001948" TargetMode="External"/><Relationship Id="rId49" Type="http://schemas.openxmlformats.org/officeDocument/2006/relationships/hyperlink" Target="http://j.is" TargetMode="External"/><Relationship Id="rId5" Type="http://schemas.openxmlformats.org/officeDocument/2006/relationships/hyperlink" Target="https://www.sciencedirect.com/science/article/pii/S2452414X23000468" TargetMode="External"/><Relationship Id="rId6" Type="http://schemas.openxmlformats.org/officeDocument/2006/relationships/hyperlink" Target="https://www.sciencedirect.com/science/article/pii/S0263224122004638" TargetMode="External"/><Relationship Id="rId7" Type="http://schemas.openxmlformats.org/officeDocument/2006/relationships/hyperlink" Target="https://www.sciencedirect.com/science/article/pii/S0378720620303517" TargetMode="External"/><Relationship Id="rId8" Type="http://schemas.openxmlformats.org/officeDocument/2006/relationships/hyperlink" Target="https://www.sciencedirect.com/science/article/pii/S1463715424000335" TargetMode="External"/><Relationship Id="rId31" Type="http://schemas.openxmlformats.org/officeDocument/2006/relationships/hyperlink" Target="https://www.sciencedirect.com/science/article/pii/S1741039821000619" TargetMode="External"/><Relationship Id="rId30" Type="http://schemas.openxmlformats.org/officeDocument/2006/relationships/hyperlink" Target="https://www.sciencedirect.com/science/article/pii/S0013794420309759" TargetMode="External"/><Relationship Id="rId33" Type="http://schemas.openxmlformats.org/officeDocument/2006/relationships/hyperlink" Target="https://www.sciencedirect.com/science/article/pii/S030643792100079X" TargetMode="External"/><Relationship Id="rId32" Type="http://schemas.openxmlformats.org/officeDocument/2006/relationships/hyperlink" Target="https://chatgpt.com/share/69e7cad3-25ec-8332-a243-aaf9821c3d9c" TargetMode="External"/><Relationship Id="rId35" Type="http://schemas.openxmlformats.org/officeDocument/2006/relationships/hyperlink" Target="https://www.sciencedirect.com/science/article/pii/S1463715424000864" TargetMode="External"/><Relationship Id="rId34" Type="http://schemas.openxmlformats.org/officeDocument/2006/relationships/hyperlink" Target="http://j.is" TargetMode="External"/><Relationship Id="rId71" Type="http://schemas.openxmlformats.org/officeDocument/2006/relationships/drawing" Target="../drawings/drawing4.xml"/><Relationship Id="rId70" Type="http://schemas.openxmlformats.org/officeDocument/2006/relationships/hyperlink" Target="https://www.sciencedirect.com/science/article/pii/S1548367322000424" TargetMode="External"/><Relationship Id="rId37" Type="http://schemas.openxmlformats.org/officeDocument/2006/relationships/hyperlink" Target="https://www.sciencedirect.com/science/article/pii/S0003682X20307246" TargetMode="External"/><Relationship Id="rId36" Type="http://schemas.openxmlformats.org/officeDocument/2006/relationships/hyperlink" Target="https://www.sciencedirect.com/science/article/pii/S146371542400089X" TargetMode="External"/><Relationship Id="rId39" Type="http://schemas.openxmlformats.org/officeDocument/2006/relationships/hyperlink" Target="https://www.sciencedirect.com/science/article/pii/S2291522225001457" TargetMode="External"/><Relationship Id="rId38" Type="http://schemas.openxmlformats.org/officeDocument/2006/relationships/hyperlink" Target="https://www.sciencedirect.com/science/article/pii/S2452414X25001359" TargetMode="External"/><Relationship Id="rId62" Type="http://schemas.openxmlformats.org/officeDocument/2006/relationships/hyperlink" Target="https://www.sciencedirect.com/science/article/pii/S2666577824000820" TargetMode="External"/><Relationship Id="rId61" Type="http://schemas.openxmlformats.org/officeDocument/2006/relationships/hyperlink" Target="https://www.sciencedirect.com/science/article/pii/S1741038X2100047X" TargetMode="External"/><Relationship Id="rId20" Type="http://schemas.openxmlformats.org/officeDocument/2006/relationships/hyperlink" Target="https://www.sciencedirect.com/science/article/pii/S0160791X24001416" TargetMode="External"/><Relationship Id="rId64" Type="http://schemas.openxmlformats.org/officeDocument/2006/relationships/hyperlink" Target="https://www.sciencedirect.com/science/article/pii/S1460106024000506" TargetMode="External"/><Relationship Id="rId63" Type="http://schemas.openxmlformats.org/officeDocument/2006/relationships/hyperlink" Target="https://www.sciencedirect.com/science/article/pii/S1463715424000165" TargetMode="External"/><Relationship Id="rId22" Type="http://schemas.openxmlformats.org/officeDocument/2006/relationships/hyperlink" Target="https://www.trialregister.nl/trial/8002" TargetMode="External"/><Relationship Id="rId66" Type="http://schemas.openxmlformats.org/officeDocument/2006/relationships/hyperlink" Target="https://www.sciencedirect.com/science/article/pii/S1463715425000032" TargetMode="External"/><Relationship Id="rId21" Type="http://schemas.openxmlformats.org/officeDocument/2006/relationships/hyperlink" Target="https://www.sciencedirect.com/science/article/pii/S2561326X21001645" TargetMode="External"/><Relationship Id="rId65" Type="http://schemas.openxmlformats.org/officeDocument/2006/relationships/hyperlink" Target="https://www.sciencedirect.com/science/article/pii/S1463715424000645" TargetMode="External"/><Relationship Id="rId24" Type="http://schemas.openxmlformats.org/officeDocument/2006/relationships/hyperlink" Target="https://www.sciencedirect.com/science/article/pii/S2561326X2200823X" TargetMode="External"/><Relationship Id="rId68" Type="http://schemas.openxmlformats.org/officeDocument/2006/relationships/hyperlink" Target="https://www.sciencedirect.com/science/article/pii/S2291522225000154" TargetMode="External"/><Relationship Id="rId23" Type="http://schemas.openxmlformats.org/officeDocument/2006/relationships/hyperlink" Target="https://www.sciencedirect.com/science/article/pii/S1463715424000311" TargetMode="External"/><Relationship Id="rId67" Type="http://schemas.openxmlformats.org/officeDocument/2006/relationships/hyperlink" Target="https://www.sciencedirect.com/science/article/pii/S0167923623001185" TargetMode="External"/><Relationship Id="rId60" Type="http://schemas.openxmlformats.org/officeDocument/2006/relationships/hyperlink" Target="https://www.sciencedirect.com/science/article/pii/S1947959X24000147" TargetMode="External"/><Relationship Id="rId26" Type="http://schemas.openxmlformats.org/officeDocument/2006/relationships/hyperlink" Target="https://www.sciencedirect.com/science/article/pii/S1463715422000498" TargetMode="External"/><Relationship Id="rId25" Type="http://schemas.openxmlformats.org/officeDocument/2006/relationships/hyperlink" Target="https://www.sciencedirect.com/science/article/pii/S1877050924016338" TargetMode="External"/><Relationship Id="rId69" Type="http://schemas.openxmlformats.org/officeDocument/2006/relationships/hyperlink" Target="https://drks.de/search/en/trial/DRKS00026985" TargetMode="External"/><Relationship Id="rId28" Type="http://schemas.openxmlformats.org/officeDocument/2006/relationships/hyperlink" Target="https://www.sciencedirect.com/science/article/pii/S0007070X25001909" TargetMode="External"/><Relationship Id="rId27" Type="http://schemas.openxmlformats.org/officeDocument/2006/relationships/hyperlink" Target="https://www.sciencedirect.com/science/article/pii/S2153353924000567" TargetMode="External"/><Relationship Id="rId29" Type="http://schemas.openxmlformats.org/officeDocument/2006/relationships/hyperlink" Target="https://www.sciencedirect.com/science/article/pii/S1877050923012346" TargetMode="External"/><Relationship Id="rId51" Type="http://schemas.openxmlformats.org/officeDocument/2006/relationships/hyperlink" Target="https://www.sciencedirect.com/science/article/pii/S146371542100056X" TargetMode="External"/><Relationship Id="rId50" Type="http://schemas.openxmlformats.org/officeDocument/2006/relationships/hyperlink" Target="https://www.sciencedirect.com/science/article/pii/S2405844023103586" TargetMode="External"/><Relationship Id="rId53" Type="http://schemas.openxmlformats.org/officeDocument/2006/relationships/hyperlink" Target="https://www.sciencedirect.com/science/article/pii/S221282712200258X" TargetMode="External"/><Relationship Id="rId52" Type="http://schemas.openxmlformats.org/officeDocument/2006/relationships/hyperlink" Target="https://www.sciencedirect.com/science/article/pii/S1463715424000347" TargetMode="External"/><Relationship Id="rId11" Type="http://schemas.openxmlformats.org/officeDocument/2006/relationships/hyperlink" Target="https://www.sciencedirect.com/science/article/pii/S2291522224001669" TargetMode="External"/><Relationship Id="rId55" Type="http://schemas.openxmlformats.org/officeDocument/2006/relationships/hyperlink" Target="https://www.sciencedirect.com/science/article/pii/S146371542200019X" TargetMode="External"/><Relationship Id="rId10" Type="http://schemas.openxmlformats.org/officeDocument/2006/relationships/hyperlink" Target="http://j.is" TargetMode="External"/><Relationship Id="rId54" Type="http://schemas.openxmlformats.org/officeDocument/2006/relationships/hyperlink" Target="https://www.sciencedirect.com/science/article/pii/S2405896325025613" TargetMode="External"/><Relationship Id="rId13" Type="http://schemas.openxmlformats.org/officeDocument/2006/relationships/hyperlink" Target="https://www.sciencedirect.com/science/article/pii/S2561326X22001317" TargetMode="External"/><Relationship Id="rId57" Type="http://schemas.openxmlformats.org/officeDocument/2006/relationships/hyperlink" Target="https://www.sciencedirect.com/science/article/pii/S1877050924004277" TargetMode="External"/><Relationship Id="rId12" Type="http://schemas.openxmlformats.org/officeDocument/2006/relationships/hyperlink" Target="http://clinicaltrials.gov" TargetMode="External"/><Relationship Id="rId56" Type="http://schemas.openxmlformats.org/officeDocument/2006/relationships/hyperlink" Target="https://www.sciencedirect.com/science/article/pii/S0166361522002330" TargetMode="External"/><Relationship Id="rId15" Type="http://schemas.openxmlformats.org/officeDocument/2006/relationships/hyperlink" Target="https://www.sciencedirect.com/science/article/pii/S2352146521002106" TargetMode="External"/><Relationship Id="rId59" Type="http://schemas.openxmlformats.org/officeDocument/2006/relationships/hyperlink" Target="https://www.sciencedirect.com/science/article/pii/S0920548923000259" TargetMode="External"/><Relationship Id="rId14" Type="http://schemas.openxmlformats.org/officeDocument/2006/relationships/hyperlink" Target="http://clinicaltrials.gov" TargetMode="External"/><Relationship Id="rId58" Type="http://schemas.openxmlformats.org/officeDocument/2006/relationships/hyperlink" Target="https://www.sciencedirect.com/science/article/pii/S1463715424000608" TargetMode="External"/><Relationship Id="rId17" Type="http://schemas.openxmlformats.org/officeDocument/2006/relationships/hyperlink" Target="https://www.sciencedirect.com/science/article/pii/S1463715425000111" TargetMode="External"/><Relationship Id="rId16" Type="http://schemas.openxmlformats.org/officeDocument/2006/relationships/hyperlink" Target="https://www.sciencedirect.com/science/article/pii/S1463715424001006" TargetMode="External"/><Relationship Id="rId19" Type="http://schemas.openxmlformats.org/officeDocument/2006/relationships/hyperlink" Target="https://www.sciencedirect.com/science/article/pii/S1755581721001929" TargetMode="External"/><Relationship Id="rId18" Type="http://schemas.openxmlformats.org/officeDocument/2006/relationships/hyperlink" Target="https://www.sciencedirect.com/science/article/pii/S0360835225000828"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doi.org/10.1108/BPMJ-08-2022-0409" TargetMode="External"/><Relationship Id="rId42" Type="http://schemas.openxmlformats.org/officeDocument/2006/relationships/hyperlink" Target="https://doi.org/10.1108/BPMJ-11-2022-0625" TargetMode="External"/><Relationship Id="rId41" Type="http://schemas.openxmlformats.org/officeDocument/2006/relationships/hyperlink" Target="https://doi.org/10.1108/BPMJ-12-2022-0631" TargetMode="External"/><Relationship Id="rId44" Type="http://schemas.openxmlformats.org/officeDocument/2006/relationships/hyperlink" Target="https://doi.org/10.1108/BPMJ-12-2022-0637" TargetMode="External"/><Relationship Id="rId43" Type="http://schemas.openxmlformats.org/officeDocument/2006/relationships/hyperlink" Target="https://doi.org/10.1108/BPMJ-02-2023-0074" TargetMode="External"/><Relationship Id="rId46" Type="http://schemas.openxmlformats.org/officeDocument/2006/relationships/hyperlink" Target="https://doi.org/10.1108/BPMJ-09-2022-0453" TargetMode="External"/><Relationship Id="rId45" Type="http://schemas.openxmlformats.org/officeDocument/2006/relationships/hyperlink" Target="https://doi.org/10.1108/IJPDLM-06-2022-0202" TargetMode="External"/><Relationship Id="rId1" Type="http://schemas.openxmlformats.org/officeDocument/2006/relationships/hyperlink" Target="https://doi.org/10.1108/IMDS-07-2025-0992" TargetMode="External"/><Relationship Id="rId2" Type="http://schemas.openxmlformats.org/officeDocument/2006/relationships/hyperlink" Target="https://doi.org/10.1108/BPMJ-07-2025-1110" TargetMode="External"/><Relationship Id="rId3" Type="http://schemas.openxmlformats.org/officeDocument/2006/relationships/hyperlink" Target="https://doi.org/10.1108/BPMJ-10-2025-1751" TargetMode="External"/><Relationship Id="rId4" Type="http://schemas.openxmlformats.org/officeDocument/2006/relationships/hyperlink" Target="https://doi.org/10.1108/BPMJ-09-2025-1464" TargetMode="External"/><Relationship Id="rId9" Type="http://schemas.openxmlformats.org/officeDocument/2006/relationships/hyperlink" Target="https://doi.org/10.1108/JMTM-03-2025-0192" TargetMode="External"/><Relationship Id="rId48" Type="http://schemas.openxmlformats.org/officeDocument/2006/relationships/hyperlink" Target="https://doi.org/10.1108/IJPPM-12-2021-0698" TargetMode="External"/><Relationship Id="rId47" Type="http://schemas.openxmlformats.org/officeDocument/2006/relationships/hyperlink" Target="https://doi.org/10.1108/BPMJ-08-2022-0389" TargetMode="External"/><Relationship Id="rId49" Type="http://schemas.openxmlformats.org/officeDocument/2006/relationships/hyperlink" Target="https://doi.org/10.1108/APJIE-02-2022-0013" TargetMode="External"/><Relationship Id="rId5" Type="http://schemas.openxmlformats.org/officeDocument/2006/relationships/hyperlink" Target="https://doi.org/10.1108/JEIM-07-2025-0655" TargetMode="External"/><Relationship Id="rId6" Type="http://schemas.openxmlformats.org/officeDocument/2006/relationships/hyperlink" Target="https://doi.org/10.1108/EJIM-03-2025-0327" TargetMode="External"/><Relationship Id="rId7" Type="http://schemas.openxmlformats.org/officeDocument/2006/relationships/hyperlink" Target="https://doi.org/10.1108/BPMJ-08-2025-1254" TargetMode="External"/><Relationship Id="rId8" Type="http://schemas.openxmlformats.org/officeDocument/2006/relationships/hyperlink" Target="https://doi.org/10.1108/BPMJ-03-2025-0256" TargetMode="External"/><Relationship Id="rId31" Type="http://schemas.openxmlformats.org/officeDocument/2006/relationships/hyperlink" Target="https://doi.org/10.1108/BPMJ-10-2023-0771" TargetMode="External"/><Relationship Id="rId30" Type="http://schemas.openxmlformats.org/officeDocument/2006/relationships/hyperlink" Target="https://doi.org/10.1108/BPMJ-02-2024-0083" TargetMode="External"/><Relationship Id="rId33" Type="http://schemas.openxmlformats.org/officeDocument/2006/relationships/hyperlink" Target="https://doi.org/10.1108/BPMJ-08-2022-0383" TargetMode="External"/><Relationship Id="rId32" Type="http://schemas.openxmlformats.org/officeDocument/2006/relationships/hyperlink" Target="https://doi.org/10.1108/EJIM-10-2023-0887" TargetMode="External"/><Relationship Id="rId35" Type="http://schemas.openxmlformats.org/officeDocument/2006/relationships/hyperlink" Target="https://doi.org/10.1108/BPMJ-08-2022-0378" TargetMode="External"/><Relationship Id="rId34" Type="http://schemas.openxmlformats.org/officeDocument/2006/relationships/hyperlink" Target="https://doi.org/10.1108/BPMJ-08-2023-0614" TargetMode="External"/><Relationship Id="rId37" Type="http://schemas.openxmlformats.org/officeDocument/2006/relationships/hyperlink" Target="https://doi.org/10.1108/BPMJ-07-2023-0566" TargetMode="External"/><Relationship Id="rId36" Type="http://schemas.openxmlformats.org/officeDocument/2006/relationships/hyperlink" Target="https://doi.org/10.1108/BPMJ-07-2023-0529" TargetMode="External"/><Relationship Id="rId39" Type="http://schemas.openxmlformats.org/officeDocument/2006/relationships/hyperlink" Target="https://doi.org/10.1108/JIC-04-2023-0070" TargetMode="External"/><Relationship Id="rId38" Type="http://schemas.openxmlformats.org/officeDocument/2006/relationships/hyperlink" Target="https://doi.org/10.1108/JKM-04-2023-0339" TargetMode="External"/><Relationship Id="rId20" Type="http://schemas.openxmlformats.org/officeDocument/2006/relationships/hyperlink" Target="https://doi.org/10.1108/BPMJ-07-2024-0666" TargetMode="External"/><Relationship Id="rId22" Type="http://schemas.openxmlformats.org/officeDocument/2006/relationships/hyperlink" Target="https://doi.org/10.1108/BPMJ-07-2024-0637" TargetMode="External"/><Relationship Id="rId21" Type="http://schemas.openxmlformats.org/officeDocument/2006/relationships/hyperlink" Target="https://doi.org/10.1108/JAMR-08-2024-0303" TargetMode="External"/><Relationship Id="rId24" Type="http://schemas.openxmlformats.org/officeDocument/2006/relationships/hyperlink" Target="https://doi.org/10.1108/BPMJ-06-2024-0467" TargetMode="External"/><Relationship Id="rId23" Type="http://schemas.openxmlformats.org/officeDocument/2006/relationships/hyperlink" Target="https://doi.org/10.1108/JAMR-11-2024-0412" TargetMode="External"/><Relationship Id="rId26" Type="http://schemas.openxmlformats.org/officeDocument/2006/relationships/hyperlink" Target="https://doi.org/10.1108/JIC-05-2024-0156" TargetMode="External"/><Relationship Id="rId25" Type="http://schemas.openxmlformats.org/officeDocument/2006/relationships/hyperlink" Target="https://doi.org/10.1108/BPMJ-10-2024-0975" TargetMode="External"/><Relationship Id="rId28" Type="http://schemas.openxmlformats.org/officeDocument/2006/relationships/hyperlink" Target="https://doi.org/10.1108/BPMJ-12-2023-0974" TargetMode="External"/><Relationship Id="rId27" Type="http://schemas.openxmlformats.org/officeDocument/2006/relationships/hyperlink" Target="https://doi.org/10.1108/GKMC-04-2024-0225" TargetMode="External"/><Relationship Id="rId29" Type="http://schemas.openxmlformats.org/officeDocument/2006/relationships/hyperlink" Target="https://doi.org/10.1108/IJQRM-07-2023-0234" TargetMode="External"/><Relationship Id="rId51" Type="http://schemas.openxmlformats.org/officeDocument/2006/relationships/hyperlink" Target="https://doi.org/10.1108/BPMJ-07-2021-0484" TargetMode="External"/><Relationship Id="rId50" Type="http://schemas.openxmlformats.org/officeDocument/2006/relationships/hyperlink" Target="https://doi.org/10.1108/BPMJ-03-2021-0170" TargetMode="External"/><Relationship Id="rId53" Type="http://schemas.openxmlformats.org/officeDocument/2006/relationships/hyperlink" Target="https://doi.org/10.1108/IJOA-04-2021-2707" TargetMode="External"/><Relationship Id="rId52" Type="http://schemas.openxmlformats.org/officeDocument/2006/relationships/hyperlink" Target="https://doi.org/10.1108/JOSM-06-2021-0216" TargetMode="External"/><Relationship Id="rId11" Type="http://schemas.openxmlformats.org/officeDocument/2006/relationships/hyperlink" Target="https://doi.org/10.1108/EJIM-03-2025-0389" TargetMode="External"/><Relationship Id="rId55" Type="http://schemas.openxmlformats.org/officeDocument/2006/relationships/hyperlink" Target="https://doi.org/10.1561/2900000021" TargetMode="External"/><Relationship Id="rId10" Type="http://schemas.openxmlformats.org/officeDocument/2006/relationships/hyperlink" Target="https://doi.org/10.1108/BPMJ-07-2025-1118" TargetMode="External"/><Relationship Id="rId54" Type="http://schemas.openxmlformats.org/officeDocument/2006/relationships/hyperlink" Target="https://doi.org/10.1108/JEIM-08-2020-0344" TargetMode="External"/><Relationship Id="rId13" Type="http://schemas.openxmlformats.org/officeDocument/2006/relationships/hyperlink" Target="https://doi.org/10.1108/MD-05-2025-1328" TargetMode="External"/><Relationship Id="rId12" Type="http://schemas.openxmlformats.org/officeDocument/2006/relationships/hyperlink" Target="https://doi.org/10.1108/BPMJ-05-2025-0752" TargetMode="External"/><Relationship Id="rId56" Type="http://schemas.openxmlformats.org/officeDocument/2006/relationships/drawing" Target="../drawings/drawing5.xml"/><Relationship Id="rId15" Type="http://schemas.openxmlformats.org/officeDocument/2006/relationships/hyperlink" Target="https://doi.org/10.1108/BPMJ-05-2025-0759" TargetMode="External"/><Relationship Id="rId14" Type="http://schemas.openxmlformats.org/officeDocument/2006/relationships/hyperlink" Target="https://doi.org/10.1108/BPMJ-06-2025-1025" TargetMode="External"/><Relationship Id="rId17" Type="http://schemas.openxmlformats.org/officeDocument/2006/relationships/hyperlink" Target="https://doi.org/10.1108/JBS-04-2025-0078" TargetMode="External"/><Relationship Id="rId16" Type="http://schemas.openxmlformats.org/officeDocument/2006/relationships/hyperlink" Target="https://doi.org/10.1108/BPMJ-03-2025-0348" TargetMode="External"/><Relationship Id="rId19" Type="http://schemas.openxmlformats.org/officeDocument/2006/relationships/hyperlink" Target="https://doi.org/10.1108/JAAR-04-2024-0117" TargetMode="External"/><Relationship Id="rId18" Type="http://schemas.openxmlformats.org/officeDocument/2006/relationships/hyperlink" Target="https://doi.org/10.1108/IJPPM-11-2024-0819"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www.scopus.com/pages/publications/85182438047?origin=resultslist" TargetMode="External"/><Relationship Id="rId42" Type="http://schemas.openxmlformats.org/officeDocument/2006/relationships/hyperlink" Target="https://www.scopus.com/pages/publications/85084200018?origin=resultslist" TargetMode="External"/><Relationship Id="rId41" Type="http://schemas.openxmlformats.org/officeDocument/2006/relationships/hyperlink" Target="https://www.scopus.com/pages/publications/85160866837?origin=resultslist" TargetMode="External"/><Relationship Id="rId44" Type="http://schemas.openxmlformats.org/officeDocument/2006/relationships/hyperlink" Target="https://www.scopus.com/pages/publications/105034963102?origin=resultslist" TargetMode="External"/><Relationship Id="rId43" Type="http://schemas.openxmlformats.org/officeDocument/2006/relationships/hyperlink" Target="https://www.scopus.com/pages/publications/105027172274?origin=resultslist" TargetMode="External"/><Relationship Id="rId46" Type="http://schemas.openxmlformats.org/officeDocument/2006/relationships/hyperlink" Target="https://www.scopus.com/pages/publications/85147442038?origin=resultslist" TargetMode="External"/><Relationship Id="rId45" Type="http://schemas.openxmlformats.org/officeDocument/2006/relationships/hyperlink" Target="https://www.scopus.com/pages/publications/105010037742?origin=resultslist" TargetMode="External"/><Relationship Id="rId1" Type="http://schemas.openxmlformats.org/officeDocument/2006/relationships/hyperlink" Target="https://www.scopus.com/pages/publications/85183574059?origin=resultslist" TargetMode="External"/><Relationship Id="rId2" Type="http://schemas.openxmlformats.org/officeDocument/2006/relationships/hyperlink" Target="https://creativecommons.org/licenses/by-nc-nd/4.0" TargetMode="External"/><Relationship Id="rId3" Type="http://schemas.openxmlformats.org/officeDocument/2006/relationships/hyperlink" Target="https://www.scopus.com/pages/publications/105018678321?origin=resultslist" TargetMode="External"/><Relationship Id="rId4" Type="http://schemas.openxmlformats.org/officeDocument/2006/relationships/hyperlink" Target="https://www.scopus.com/pages/publications/85202977637?origin=resultslist" TargetMode="External"/><Relationship Id="rId9" Type="http://schemas.openxmlformats.org/officeDocument/2006/relationships/hyperlink" Target="https://www.scopus.com/pages/publications/85213024491?origin=resultslist" TargetMode="External"/><Relationship Id="rId48" Type="http://schemas.openxmlformats.org/officeDocument/2006/relationships/hyperlink" Target="https://www.scopus.com/pages/publications/85128762831?origin=resultslist" TargetMode="External"/><Relationship Id="rId47" Type="http://schemas.openxmlformats.org/officeDocument/2006/relationships/hyperlink" Target="https://www.scopus.com/pages/publications/85154065454?origin=resultslist" TargetMode="External"/><Relationship Id="rId49" Type="http://schemas.openxmlformats.org/officeDocument/2006/relationships/hyperlink" Target="https://www.scopus.com/pages/publications/105024114993?origin=resultslist" TargetMode="External"/><Relationship Id="rId5" Type="http://schemas.openxmlformats.org/officeDocument/2006/relationships/hyperlink" Target="https://www.scopus.com/pages/publications/85123320299?origin=resultslist" TargetMode="External"/><Relationship Id="rId6" Type="http://schemas.openxmlformats.org/officeDocument/2006/relationships/hyperlink" Target="https://www.scopus.com/pages/publications/85142936679?origin=resultslist" TargetMode="External"/><Relationship Id="rId7" Type="http://schemas.openxmlformats.org/officeDocument/2006/relationships/hyperlink" Target="https://www.scopus.com/pages/publications/105017652480?origin=resultslist" TargetMode="External"/><Relationship Id="rId8" Type="http://schemas.openxmlformats.org/officeDocument/2006/relationships/hyperlink" Target="https://www.scopus.com/pages/publications/85141783795?origin=resultslist" TargetMode="External"/><Relationship Id="rId73" Type="http://schemas.openxmlformats.org/officeDocument/2006/relationships/hyperlink" Target="https://www.scopus.com/pages/publications/105018928083?origin=resultslist" TargetMode="External"/><Relationship Id="rId72" Type="http://schemas.openxmlformats.org/officeDocument/2006/relationships/hyperlink" Target="https://www.scopus.com/pages/publications/105029827621?origin=resultslist" TargetMode="External"/><Relationship Id="rId31" Type="http://schemas.openxmlformats.org/officeDocument/2006/relationships/hyperlink" Target="https://www.scopus.com/pages/publications/105018181611?origin=resultslist" TargetMode="External"/><Relationship Id="rId75" Type="http://schemas.openxmlformats.org/officeDocument/2006/relationships/hyperlink" Target="https://www.scopus.com/pages/publications/85097577777?origin=resultslist" TargetMode="External"/><Relationship Id="rId30" Type="http://schemas.openxmlformats.org/officeDocument/2006/relationships/hyperlink" Target="https://www.scopus.com/pages/publications/105027410502?origin=resultslist" TargetMode="External"/><Relationship Id="rId74" Type="http://schemas.openxmlformats.org/officeDocument/2006/relationships/hyperlink" Target="https://www.scopus.com/pages/publications/85184096160?origin=resultslist" TargetMode="External"/><Relationship Id="rId33" Type="http://schemas.openxmlformats.org/officeDocument/2006/relationships/hyperlink" Target="https://www.scopus.com/pages/publications/85142928507?origin=resultslist" TargetMode="External"/><Relationship Id="rId77" Type="http://schemas.openxmlformats.org/officeDocument/2006/relationships/hyperlink" Target="https://www.scopus.com/pages/publications/85201942203?origin=resultslist" TargetMode="External"/><Relationship Id="rId32" Type="http://schemas.openxmlformats.org/officeDocument/2006/relationships/hyperlink" Target="https://www.scopus.com/pages/publications/85198094259?origin=resultslist" TargetMode="External"/><Relationship Id="rId76" Type="http://schemas.openxmlformats.org/officeDocument/2006/relationships/hyperlink" Target="http://j.is" TargetMode="External"/><Relationship Id="rId35" Type="http://schemas.openxmlformats.org/officeDocument/2006/relationships/hyperlink" Target="http://j.is" TargetMode="External"/><Relationship Id="rId34" Type="http://schemas.openxmlformats.org/officeDocument/2006/relationships/hyperlink" Target="https://www.scopus.com/pages/publications/85091035439?origin=resultslist" TargetMode="External"/><Relationship Id="rId78" Type="http://schemas.openxmlformats.org/officeDocument/2006/relationships/drawing" Target="../drawings/drawing6.xml"/><Relationship Id="rId71" Type="http://schemas.openxmlformats.org/officeDocument/2006/relationships/hyperlink" Target="https://www.scopus.com/pages/publications/105000174701?origin=resultslist" TargetMode="External"/><Relationship Id="rId70" Type="http://schemas.openxmlformats.org/officeDocument/2006/relationships/hyperlink" Target="https://www.scopus.com/pages/publications/85193260176?origin=resultslist" TargetMode="External"/><Relationship Id="rId37" Type="http://schemas.openxmlformats.org/officeDocument/2006/relationships/hyperlink" Target="https://www.scopus.com/pages/publications/85111540234?origin=resultslist" TargetMode="External"/><Relationship Id="rId36" Type="http://schemas.openxmlformats.org/officeDocument/2006/relationships/hyperlink" Target="https://www.scopus.com/pages/publications/85194750259?origin=resultslist" TargetMode="External"/><Relationship Id="rId39" Type="http://schemas.openxmlformats.org/officeDocument/2006/relationships/hyperlink" Target="https://www.scopus.com/pages/publications/85143084001?origin=resultslist" TargetMode="External"/><Relationship Id="rId38" Type="http://schemas.openxmlformats.org/officeDocument/2006/relationships/hyperlink" Target="http://j.is" TargetMode="External"/><Relationship Id="rId62" Type="http://schemas.openxmlformats.org/officeDocument/2006/relationships/hyperlink" Target="https://www.scopus.com/pages/publications/85213278941?origin=resultslist" TargetMode="External"/><Relationship Id="rId61" Type="http://schemas.openxmlformats.org/officeDocument/2006/relationships/hyperlink" Target="https://www.scopus.com/pages/publications/105029428693?origin=resultslist" TargetMode="External"/><Relationship Id="rId20" Type="http://schemas.openxmlformats.org/officeDocument/2006/relationships/hyperlink" Target="https://www.scopus.com/pages/publications/105007825601?origin=resultslist" TargetMode="External"/><Relationship Id="rId64" Type="http://schemas.openxmlformats.org/officeDocument/2006/relationships/hyperlink" Target="https://www.scopus.com/pages/publications/85201320867?origin=resultslist" TargetMode="External"/><Relationship Id="rId63" Type="http://schemas.openxmlformats.org/officeDocument/2006/relationships/hyperlink" Target="https://www.scopus.com/pages/publications/85125811253?origin=resultslist" TargetMode="External"/><Relationship Id="rId22" Type="http://schemas.openxmlformats.org/officeDocument/2006/relationships/hyperlink" Target="https://www.scopus.com/pages/publications/85124625570?origin=resultslist" TargetMode="External"/><Relationship Id="rId66" Type="http://schemas.openxmlformats.org/officeDocument/2006/relationships/hyperlink" Target="https://www.scopus.com/pages/publications/85210278348?origin=resultslist" TargetMode="External"/><Relationship Id="rId21" Type="http://schemas.openxmlformats.org/officeDocument/2006/relationships/hyperlink" Target="https://www.scopus.com/pages/publications/85169440459?origin=resultslist" TargetMode="External"/><Relationship Id="rId65" Type="http://schemas.openxmlformats.org/officeDocument/2006/relationships/hyperlink" Target="https://www.scopus.com/pages/publications/85194871651?origin=resultslist" TargetMode="External"/><Relationship Id="rId24" Type="http://schemas.openxmlformats.org/officeDocument/2006/relationships/hyperlink" Target="https://www.scopus.com/pages/publications/85206086225?origin=resultslist" TargetMode="External"/><Relationship Id="rId68" Type="http://schemas.openxmlformats.org/officeDocument/2006/relationships/hyperlink" Target="https://www.scopus.com/pages/publications/85111881723?origin=resultslist" TargetMode="External"/><Relationship Id="rId23" Type="http://schemas.openxmlformats.org/officeDocument/2006/relationships/hyperlink" Target="https://www.scopus.com/pages/publications/85189561519?origin=resultslist" TargetMode="External"/><Relationship Id="rId67" Type="http://schemas.openxmlformats.org/officeDocument/2006/relationships/hyperlink" Target="https://www.scopus.com/pages/publications/85171277909?origin=resultslist" TargetMode="External"/><Relationship Id="rId60" Type="http://schemas.openxmlformats.org/officeDocument/2006/relationships/hyperlink" Target="https://www.scopus.com/pages/publications/86000463474?origin=resultslist" TargetMode="External"/><Relationship Id="rId26" Type="http://schemas.openxmlformats.org/officeDocument/2006/relationships/hyperlink" Target="https://www.scopus.com/pages/publications/105025098764?origin=resultslist" TargetMode="External"/><Relationship Id="rId25" Type="http://schemas.openxmlformats.org/officeDocument/2006/relationships/hyperlink" Target="https://www.scopus.com/pages/publications/85199208822?origin=resultslist" TargetMode="External"/><Relationship Id="rId69" Type="http://schemas.openxmlformats.org/officeDocument/2006/relationships/hyperlink" Target="https://www.scopus.com/pages/publications/85189617993?origin=resultslist" TargetMode="External"/><Relationship Id="rId28" Type="http://schemas.openxmlformats.org/officeDocument/2006/relationships/hyperlink" Target="https://www.scopus.com/pages/publications/85117380556?origin=resultslist" TargetMode="External"/><Relationship Id="rId27" Type="http://schemas.openxmlformats.org/officeDocument/2006/relationships/hyperlink" Target="https://www.scopus.com/pages/publications/85124166764?origin=resultslist" TargetMode="External"/><Relationship Id="rId29" Type="http://schemas.openxmlformats.org/officeDocument/2006/relationships/hyperlink" Target="https://www.scopus.com/pages/publications/105032643711?origin=resultslist" TargetMode="External"/><Relationship Id="rId51" Type="http://schemas.openxmlformats.org/officeDocument/2006/relationships/hyperlink" Target="https://www.scopus.com/pages/publications/85115184919?origin=resultslist" TargetMode="External"/><Relationship Id="rId50" Type="http://schemas.openxmlformats.org/officeDocument/2006/relationships/hyperlink" Target="https://www.scopus.com/pages/publications/85113749238?origin=resultslist" TargetMode="External"/><Relationship Id="rId53" Type="http://schemas.openxmlformats.org/officeDocument/2006/relationships/hyperlink" Target="https://www.scopus.com/pages/publications/105001070924?origin=resultslist" TargetMode="External"/><Relationship Id="rId52" Type="http://schemas.openxmlformats.org/officeDocument/2006/relationships/hyperlink" Target="https://www.scopus.com/pages/publications/105036018031?origin=resultslist" TargetMode="External"/><Relationship Id="rId11" Type="http://schemas.openxmlformats.org/officeDocument/2006/relationships/hyperlink" Target="https://www.scopus.com/pages/publications/85097754013?origin=resultslist" TargetMode="External"/><Relationship Id="rId55" Type="http://schemas.openxmlformats.org/officeDocument/2006/relationships/hyperlink" Target="https://www.scopus.com/pages/publications/105020389016?origin=resultslist" TargetMode="External"/><Relationship Id="rId10" Type="http://schemas.openxmlformats.org/officeDocument/2006/relationships/hyperlink" Target="https://www.scopus.com/pages/publications/85200791782?origin=resultslist" TargetMode="External"/><Relationship Id="rId54" Type="http://schemas.openxmlformats.org/officeDocument/2006/relationships/hyperlink" Target="https://www.scopus.com/pages/publications/85162805612?origin=resultslist" TargetMode="External"/><Relationship Id="rId13" Type="http://schemas.openxmlformats.org/officeDocument/2006/relationships/hyperlink" Target="https://www.scopus.com/pages/publications/85192532577?origin=resultslist" TargetMode="External"/><Relationship Id="rId57" Type="http://schemas.openxmlformats.org/officeDocument/2006/relationships/hyperlink" Target="https://www.scopus.com/pages/publications/85193201369?origin=resultslist" TargetMode="External"/><Relationship Id="rId12" Type="http://schemas.openxmlformats.org/officeDocument/2006/relationships/hyperlink" Target="https://www.scopus.com/pages/publications/105010827966?origin=resultslist" TargetMode="External"/><Relationship Id="rId56" Type="http://schemas.openxmlformats.org/officeDocument/2006/relationships/hyperlink" Target="https://www.scopus.com/pages/publications/85163826647?origin=resultslist" TargetMode="External"/><Relationship Id="rId15" Type="http://schemas.openxmlformats.org/officeDocument/2006/relationships/hyperlink" Target="https://www.scopus.com/pages/publications/85167422224?origin=resultslist" TargetMode="External"/><Relationship Id="rId59" Type="http://schemas.openxmlformats.org/officeDocument/2006/relationships/hyperlink" Target="https://www.scopus.com/pages/publications/85128403132?origin=resultslist" TargetMode="External"/><Relationship Id="rId14" Type="http://schemas.openxmlformats.org/officeDocument/2006/relationships/hyperlink" Target="https://www.scopus.com/pages/publications/85192360415?origin=resultslist" TargetMode="External"/><Relationship Id="rId58" Type="http://schemas.openxmlformats.org/officeDocument/2006/relationships/hyperlink" Target="https://www.scopus.com/pages/publications/85199247455?origin=resultslist" TargetMode="External"/><Relationship Id="rId17" Type="http://schemas.openxmlformats.org/officeDocument/2006/relationships/hyperlink" Target="https://www.scopus.com/pages/publications/85172019929?origin=resultslist" TargetMode="External"/><Relationship Id="rId16" Type="http://schemas.openxmlformats.org/officeDocument/2006/relationships/hyperlink" Target="https://www.scopus.com/pages/publications/105025424203?origin=resultslist" TargetMode="External"/><Relationship Id="rId19" Type="http://schemas.openxmlformats.org/officeDocument/2006/relationships/hyperlink" Target="https://www.scopus.com/pages/publications/85135783892?origin=resultslist" TargetMode="External"/><Relationship Id="rId18" Type="http://schemas.openxmlformats.org/officeDocument/2006/relationships/hyperlink" Target="http://ceur-ws.org"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hyperlink" Target="https://www.sciencedirect.com/science/article/pii/S2452414X23000468" TargetMode="External"/><Relationship Id="rId84" Type="http://schemas.openxmlformats.org/officeDocument/2006/relationships/hyperlink" Target="https://www.scopus.com/pages/publications/85193260176?origin=resultslist" TargetMode="External"/><Relationship Id="rId83" Type="http://schemas.openxmlformats.org/officeDocument/2006/relationships/hyperlink" Target="https://www.scopus.com/pages/publications/85171277909?origin=resultslist" TargetMode="External"/><Relationship Id="rId42" Type="http://schemas.openxmlformats.org/officeDocument/2006/relationships/hyperlink" Target="https://www.sciencedirect.com/science/article/pii/S2352146521002106" TargetMode="External"/><Relationship Id="rId86" Type="http://schemas.openxmlformats.org/officeDocument/2006/relationships/hyperlink" Target="https://www.scopus.com/pages/publications/85184096160?origin=resultslist" TargetMode="External"/><Relationship Id="rId41" Type="http://schemas.openxmlformats.org/officeDocument/2006/relationships/hyperlink" Target="https://www.sciencedirect.com/science/article/pii/S0306437923000200" TargetMode="External"/><Relationship Id="rId85" Type="http://schemas.openxmlformats.org/officeDocument/2006/relationships/hyperlink" Target="https://www.scopus.com/pages/publications/105000174701?origin=resultslist" TargetMode="External"/><Relationship Id="rId44" Type="http://schemas.openxmlformats.org/officeDocument/2006/relationships/hyperlink" Target="https://www.sciencedirect.com/science/article/pii/S0360835225000828" TargetMode="External"/><Relationship Id="rId43" Type="http://schemas.openxmlformats.org/officeDocument/2006/relationships/hyperlink" Target="https://www.sciencedirect.com/science/article/pii/S1463715424001006" TargetMode="External"/><Relationship Id="rId87" Type="http://schemas.openxmlformats.org/officeDocument/2006/relationships/drawing" Target="../drawings/drawing8.xml"/><Relationship Id="rId46" Type="http://schemas.openxmlformats.org/officeDocument/2006/relationships/hyperlink" Target="https://www.sciencedirect.com/science/article/pii/S1877050924016338" TargetMode="External"/><Relationship Id="rId45" Type="http://schemas.openxmlformats.org/officeDocument/2006/relationships/hyperlink" Target="https://www.sciencedirect.com/science/article/pii/S1755581721001929" TargetMode="External"/><Relationship Id="rId80" Type="http://schemas.openxmlformats.org/officeDocument/2006/relationships/hyperlink" Target="https://www.scopus.com/pages/publications/85115184919?origin=resultslist" TargetMode="External"/><Relationship Id="rId82" Type="http://schemas.openxmlformats.org/officeDocument/2006/relationships/hyperlink" Target="https://www.scopus.com/pages/publications/85210278348?origin=resultslist" TargetMode="External"/><Relationship Id="rId81" Type="http://schemas.openxmlformats.org/officeDocument/2006/relationships/hyperlink" Target="https://www.scopus.com/pages/publications/105036018031?origin=resultslist" TargetMode="External"/><Relationship Id="rId1" Type="http://schemas.openxmlformats.org/officeDocument/2006/relationships/hyperlink" Target="https://link.springer.com/10.1007/s43069-025-00428-x" TargetMode="External"/><Relationship Id="rId2" Type="http://schemas.openxmlformats.org/officeDocument/2006/relationships/hyperlink" Target="https://link.springer.com/10.1007/s12599-024-00882-7" TargetMode="External"/><Relationship Id="rId3" Type="http://schemas.openxmlformats.org/officeDocument/2006/relationships/hyperlink" Target="https://link.springer.com/10.1007/s10796-024-10474-1" TargetMode="External"/><Relationship Id="rId4" Type="http://schemas.openxmlformats.org/officeDocument/2006/relationships/hyperlink" Target="https://link.springer.com/10.1007/s10257-024-00681-3" TargetMode="External"/><Relationship Id="rId9" Type="http://schemas.openxmlformats.org/officeDocument/2006/relationships/hyperlink" Target="https://link.springer.com/10.1007/s11740-024-01302-1" TargetMode="External"/><Relationship Id="rId48" Type="http://schemas.openxmlformats.org/officeDocument/2006/relationships/hyperlink" Target="https://www.sciencedirect.com/science/article/pii/S030643792030137X" TargetMode="External"/><Relationship Id="rId47" Type="http://schemas.openxmlformats.org/officeDocument/2006/relationships/hyperlink" Target="https://www.sciencedirect.com/science/article/pii/S1877050923012346" TargetMode="External"/><Relationship Id="rId49" Type="http://schemas.openxmlformats.org/officeDocument/2006/relationships/hyperlink" Target="https://www.sciencedirect.com/science/article/pii/S1877050926001948" TargetMode="External"/><Relationship Id="rId5" Type="http://schemas.openxmlformats.org/officeDocument/2006/relationships/hyperlink" Target="https://link.springer.com/10.1007/s41027-022-00383-9" TargetMode="External"/><Relationship Id="rId6" Type="http://schemas.openxmlformats.org/officeDocument/2006/relationships/hyperlink" Target="https://link.springer.com/10.1007/s10257-021-00549-w" TargetMode="External"/><Relationship Id="rId7" Type="http://schemas.openxmlformats.org/officeDocument/2006/relationships/hyperlink" Target="https://link.springer.com/10.1007/s40821-026-00342-0" TargetMode="External"/><Relationship Id="rId8" Type="http://schemas.openxmlformats.org/officeDocument/2006/relationships/hyperlink" Target="https://link.springer.com/10.1007/s10257-024-00675-1" TargetMode="External"/><Relationship Id="rId73" Type="http://schemas.openxmlformats.org/officeDocument/2006/relationships/hyperlink" Target="https://www.scopus.com/pages/publications/105032643711?origin=resultslist" TargetMode="External"/><Relationship Id="rId72" Type="http://schemas.openxmlformats.org/officeDocument/2006/relationships/hyperlink" Target="https://www.scopus.com/pages/publications/105007825601?origin=resultslist" TargetMode="External"/><Relationship Id="rId31" Type="http://schemas.openxmlformats.org/officeDocument/2006/relationships/hyperlink" Target="https://ieeexplore.ieee.org/document/11069117/" TargetMode="External"/><Relationship Id="rId75" Type="http://schemas.openxmlformats.org/officeDocument/2006/relationships/hyperlink" Target="https://www.scopus.com/pages/publications/85182438047?origin=resultslist" TargetMode="External"/><Relationship Id="rId30" Type="http://schemas.openxmlformats.org/officeDocument/2006/relationships/hyperlink" Target="https://ieeexplore.ieee.org/document/11331249/" TargetMode="External"/><Relationship Id="rId74" Type="http://schemas.openxmlformats.org/officeDocument/2006/relationships/hyperlink" Target="https://www.scopus.com/pages/publications/85111540234?origin=resultslist" TargetMode="External"/><Relationship Id="rId33" Type="http://schemas.openxmlformats.org/officeDocument/2006/relationships/hyperlink" Target="https://ieeexplore.ieee.org/document/10090061/" TargetMode="External"/><Relationship Id="rId77" Type="http://schemas.openxmlformats.org/officeDocument/2006/relationships/hyperlink" Target="https://www.scopus.com/pages/publications/85147442038?origin=resultslist" TargetMode="External"/><Relationship Id="rId32" Type="http://schemas.openxmlformats.org/officeDocument/2006/relationships/hyperlink" Target="https://ieeexplore.ieee.org/document/11435350/" TargetMode="External"/><Relationship Id="rId76" Type="http://schemas.openxmlformats.org/officeDocument/2006/relationships/hyperlink" Target="https://www.scopus.com/pages/publications/85084200018?origin=resultslist" TargetMode="External"/><Relationship Id="rId35" Type="http://schemas.openxmlformats.org/officeDocument/2006/relationships/hyperlink" Target="https://ieeexplore.ieee.org/document/9576568/" TargetMode="External"/><Relationship Id="rId79" Type="http://schemas.openxmlformats.org/officeDocument/2006/relationships/hyperlink" Target="https://www.scopus.com/pages/publications/105024114993?origin=resultslist" TargetMode="External"/><Relationship Id="rId34" Type="http://schemas.openxmlformats.org/officeDocument/2006/relationships/hyperlink" Target="https://ieeexplore.ieee.org/document/9820099/" TargetMode="External"/><Relationship Id="rId78" Type="http://schemas.openxmlformats.org/officeDocument/2006/relationships/hyperlink" Target="https://www.scopus.com/pages/publications/85128762831?origin=resultslist" TargetMode="External"/><Relationship Id="rId71" Type="http://schemas.openxmlformats.org/officeDocument/2006/relationships/hyperlink" Target="https://www.scopus.com/pages/publications/85135783892?origin=resultslist" TargetMode="External"/><Relationship Id="rId70" Type="http://schemas.openxmlformats.org/officeDocument/2006/relationships/hyperlink" Target="https://www.scopus.com/pages/publications/105010827966?origin=resultslist" TargetMode="External"/><Relationship Id="rId37" Type="http://schemas.openxmlformats.org/officeDocument/2006/relationships/hyperlink" Target="https://ieeexplore.ieee.org/document/10152964/" TargetMode="External"/><Relationship Id="rId36" Type="http://schemas.openxmlformats.org/officeDocument/2006/relationships/hyperlink" Target="https://ieeexplore.ieee.org/document/9416494/" TargetMode="External"/><Relationship Id="rId39" Type="http://schemas.openxmlformats.org/officeDocument/2006/relationships/hyperlink" Target="https://www.sciencedirect.com/science/article/pii/S030643792030106X" TargetMode="External"/><Relationship Id="rId38" Type="http://schemas.openxmlformats.org/officeDocument/2006/relationships/hyperlink" Target="https://ieeexplore.ieee.org/document/11170450/" TargetMode="External"/><Relationship Id="rId62" Type="http://schemas.openxmlformats.org/officeDocument/2006/relationships/hyperlink" Target="https://doi.org/10.1108/BPMJ-07-2023-0566" TargetMode="External"/><Relationship Id="rId61" Type="http://schemas.openxmlformats.org/officeDocument/2006/relationships/hyperlink" Target="https://doi.org/10.1108/BPMJ-07-2023-0529" TargetMode="External"/><Relationship Id="rId20" Type="http://schemas.openxmlformats.org/officeDocument/2006/relationships/hyperlink" Target="https://ieeexplore.ieee.org/document/11196068/" TargetMode="External"/><Relationship Id="rId64" Type="http://schemas.openxmlformats.org/officeDocument/2006/relationships/hyperlink" Target="https://doi.org/10.1108/BPMJ-12-2022-0631" TargetMode="External"/><Relationship Id="rId63" Type="http://schemas.openxmlformats.org/officeDocument/2006/relationships/hyperlink" Target="https://doi.org/10.1108/JIC-04-2023-0070" TargetMode="External"/><Relationship Id="rId22" Type="http://schemas.openxmlformats.org/officeDocument/2006/relationships/hyperlink" Target="https://ieeexplore.ieee.org/document/11062816/" TargetMode="External"/><Relationship Id="rId66" Type="http://schemas.openxmlformats.org/officeDocument/2006/relationships/hyperlink" Target="https://doi.org/10.1108/JEIM-08-2020-0344" TargetMode="External"/><Relationship Id="rId21" Type="http://schemas.openxmlformats.org/officeDocument/2006/relationships/hyperlink" Target="https://ieeexplore.ieee.org/document/9844997/" TargetMode="External"/><Relationship Id="rId65" Type="http://schemas.openxmlformats.org/officeDocument/2006/relationships/hyperlink" Target="https://doi.org/10.1108/BPMJ-07-2021-0484" TargetMode="External"/><Relationship Id="rId24" Type="http://schemas.openxmlformats.org/officeDocument/2006/relationships/hyperlink" Target="https://ieeexplore.ieee.org/document/10146729/" TargetMode="External"/><Relationship Id="rId68" Type="http://schemas.openxmlformats.org/officeDocument/2006/relationships/hyperlink" Target="https://www.scopus.com/pages/publications/105017652480?origin=resultslist" TargetMode="External"/><Relationship Id="rId23" Type="http://schemas.openxmlformats.org/officeDocument/2006/relationships/hyperlink" Target="https://ieeexplore.ieee.org/document/10939966/" TargetMode="External"/><Relationship Id="rId67" Type="http://schemas.openxmlformats.org/officeDocument/2006/relationships/hyperlink" Target="https://www.scopus.com/pages/publications/85142936679?origin=resultslist" TargetMode="External"/><Relationship Id="rId60" Type="http://schemas.openxmlformats.org/officeDocument/2006/relationships/hyperlink" Target="https://doi.org/10.1108/BPMJ-08-2022-0378" TargetMode="External"/><Relationship Id="rId26" Type="http://schemas.openxmlformats.org/officeDocument/2006/relationships/hyperlink" Target="https://ieeexplore.ieee.org/document/10736038/" TargetMode="External"/><Relationship Id="rId25" Type="http://schemas.openxmlformats.org/officeDocument/2006/relationships/hyperlink" Target="https://ieeexplore.ieee.org/document/10434531/" TargetMode="External"/><Relationship Id="rId69" Type="http://schemas.openxmlformats.org/officeDocument/2006/relationships/hyperlink" Target="https://www.scopus.com/pages/publications/85097754013?origin=resultslist" TargetMode="External"/><Relationship Id="rId28" Type="http://schemas.openxmlformats.org/officeDocument/2006/relationships/hyperlink" Target="https://ieeexplore.ieee.org/document/11239239/" TargetMode="External"/><Relationship Id="rId27" Type="http://schemas.openxmlformats.org/officeDocument/2006/relationships/hyperlink" Target="https://ieeexplore.ieee.org/document/11238925/" TargetMode="External"/><Relationship Id="rId29" Type="http://schemas.openxmlformats.org/officeDocument/2006/relationships/hyperlink" Target="https://ieeexplore.ieee.org/document/10111453/" TargetMode="External"/><Relationship Id="rId51" Type="http://schemas.openxmlformats.org/officeDocument/2006/relationships/hyperlink" Target="https://doi.org/10.1108/BPMJ-07-2025-1110" TargetMode="External"/><Relationship Id="rId50" Type="http://schemas.openxmlformats.org/officeDocument/2006/relationships/hyperlink" Target="https://www.sciencedirect.com/science/article/pii/S2405896325025613" TargetMode="External"/><Relationship Id="rId53" Type="http://schemas.openxmlformats.org/officeDocument/2006/relationships/hyperlink" Target="https://doi.org/10.1108/BPMJ-08-2025-1254" TargetMode="External"/><Relationship Id="rId52" Type="http://schemas.openxmlformats.org/officeDocument/2006/relationships/hyperlink" Target="https://doi.org/10.1108/BPMJ-10-2025-1751" TargetMode="External"/><Relationship Id="rId11" Type="http://schemas.openxmlformats.org/officeDocument/2006/relationships/hyperlink" Target="https://link.springer.com/10.1007/s44311-025-00028-2" TargetMode="External"/><Relationship Id="rId55" Type="http://schemas.openxmlformats.org/officeDocument/2006/relationships/hyperlink" Target="https://doi.org/10.1108/BPMJ-03-2025-0348" TargetMode="External"/><Relationship Id="rId10" Type="http://schemas.openxmlformats.org/officeDocument/2006/relationships/hyperlink" Target="https://link.springer.com/10.1007/s12599-021-00703-1" TargetMode="External"/><Relationship Id="rId54" Type="http://schemas.openxmlformats.org/officeDocument/2006/relationships/hyperlink" Target="https://doi.org/10.1108/BPMJ-05-2025-0759" TargetMode="External"/><Relationship Id="rId13" Type="http://schemas.openxmlformats.org/officeDocument/2006/relationships/hyperlink" Target="https://link.springer.com/10.1007/s44311-025-00030-8" TargetMode="External"/><Relationship Id="rId57" Type="http://schemas.openxmlformats.org/officeDocument/2006/relationships/hyperlink" Target="https://doi.org/10.1108/BPMJ-06-2024-0467" TargetMode="External"/><Relationship Id="rId12" Type="http://schemas.openxmlformats.org/officeDocument/2006/relationships/hyperlink" Target="https://link.springer.com/10.1007/s12599-025-00976-w" TargetMode="External"/><Relationship Id="rId56" Type="http://schemas.openxmlformats.org/officeDocument/2006/relationships/hyperlink" Target="https://doi.org/10.1108/BPMJ-07-2024-0666" TargetMode="External"/><Relationship Id="rId15" Type="http://schemas.openxmlformats.org/officeDocument/2006/relationships/hyperlink" Target="https://link.springer.com/10.1007/s10257-021-00523-6" TargetMode="External"/><Relationship Id="rId59" Type="http://schemas.openxmlformats.org/officeDocument/2006/relationships/hyperlink" Target="https://doi.org/10.1108/EJIM-10-2023-0887" TargetMode="External"/><Relationship Id="rId14" Type="http://schemas.openxmlformats.org/officeDocument/2006/relationships/hyperlink" Target="https://link.springer.com/10.1007/s10515-021-00316-8" TargetMode="External"/><Relationship Id="rId58" Type="http://schemas.openxmlformats.org/officeDocument/2006/relationships/hyperlink" Target="https://doi.org/10.1108/BPMJ-10-2024-0975" TargetMode="External"/><Relationship Id="rId17" Type="http://schemas.openxmlformats.org/officeDocument/2006/relationships/hyperlink" Target="https://ieeexplore.ieee.org/document/10169836/" TargetMode="External"/><Relationship Id="rId16" Type="http://schemas.openxmlformats.org/officeDocument/2006/relationships/hyperlink" Target="https://ieeexplore.ieee.org/document/9476422/" TargetMode="External"/><Relationship Id="rId19" Type="http://schemas.openxmlformats.org/officeDocument/2006/relationships/hyperlink" Target="https://ieeexplore.ieee.org/document/10169815/" TargetMode="External"/><Relationship Id="rId18" Type="http://schemas.openxmlformats.org/officeDocument/2006/relationships/hyperlink" Target="https://ieeexplore.ieee.org/document/10525897/"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i.org/10.1108/JEIM-08-2020-0344"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7.75"/>
    <col customWidth="1" min="7" max="7" width="15.88"/>
    <col customWidth="1" min="8" max="8" width="14.0"/>
    <col customWidth="1" min="9" max="9" width="14.5"/>
    <col customWidth="1" min="10" max="10" width="14.88"/>
    <col customWidth="1" min="11" max="11" width="8.5"/>
    <col customWidth="1" min="12" max="12" width="21.0"/>
    <col customWidth="1" min="13" max="14" width="14.88"/>
    <col customWidth="1" min="15" max="15" width="43.88"/>
    <col customWidth="1" min="16" max="16" width="6.0"/>
    <col customWidth="1" min="17" max="17" width="77.38"/>
    <col customWidth="1" min="18" max="18" width="7.88"/>
    <col customWidth="1" min="19" max="19" width="6.63"/>
  </cols>
  <sheetData>
    <row r="1">
      <c r="A1" s="2" t="s">
        <v>1</v>
      </c>
      <c r="B1" s="2" t="s">
        <v>2</v>
      </c>
      <c r="C1" s="2" t="s">
        <v>3</v>
      </c>
      <c r="D1" s="3" t="s">
        <v>4</v>
      </c>
      <c r="E1" s="2" t="s">
        <v>5</v>
      </c>
      <c r="F1" s="2" t="s">
        <v>6</v>
      </c>
      <c r="G1" s="4" t="s">
        <v>7</v>
      </c>
      <c r="H1" s="4" t="s">
        <v>8</v>
      </c>
      <c r="I1" s="4" t="s">
        <v>9</v>
      </c>
      <c r="J1" s="4" t="s">
        <v>10</v>
      </c>
      <c r="K1" s="4" t="s">
        <v>11</v>
      </c>
      <c r="L1" s="4" t="s">
        <v>12</v>
      </c>
      <c r="M1" s="4"/>
      <c r="N1" s="4"/>
      <c r="O1" s="5" t="s">
        <v>13</v>
      </c>
      <c r="P1" s="4" t="s">
        <v>14</v>
      </c>
      <c r="Q1" s="4" t="s">
        <v>13</v>
      </c>
      <c r="R1" s="4" t="s">
        <v>15</v>
      </c>
      <c r="S1" s="4" t="s">
        <v>16</v>
      </c>
      <c r="T1" s="4" t="s">
        <v>17</v>
      </c>
      <c r="U1" s="4" t="s">
        <v>14</v>
      </c>
      <c r="V1" s="6"/>
      <c r="W1" s="6"/>
      <c r="X1" s="6"/>
      <c r="Y1" s="6"/>
      <c r="Z1" s="6"/>
      <c r="AA1" s="6"/>
      <c r="AB1" s="6"/>
      <c r="AC1" s="6"/>
      <c r="AD1" s="6"/>
      <c r="AE1" s="6"/>
    </row>
    <row r="2">
      <c r="A2" s="2" t="s">
        <v>18</v>
      </c>
      <c r="B2" s="7" t="s">
        <v>19</v>
      </c>
      <c r="C2" s="2" t="s">
        <v>20</v>
      </c>
      <c r="D2" s="8" t="s">
        <v>21</v>
      </c>
      <c r="E2" s="2"/>
      <c r="F2" s="2" t="s">
        <v>20</v>
      </c>
      <c r="G2" s="9" t="s">
        <v>22</v>
      </c>
      <c r="H2" s="9">
        <v>2025.0</v>
      </c>
      <c r="I2" s="9" t="s">
        <v>23</v>
      </c>
      <c r="J2" s="9" t="s">
        <v>24</v>
      </c>
      <c r="K2" s="10" t="s">
        <v>25</v>
      </c>
      <c r="L2" s="9">
        <v>32.0</v>
      </c>
      <c r="M2" s="9" t="str">
        <f t="shared" ref="M2:M76" si="1">"title: " &amp; J2</f>
        <v>title: Maximizing Business Process Efficiency in Industry 4.0: A Techno-Functional Exploration of Process Mining Tools</v>
      </c>
      <c r="N2" s="9" t="str">
        <f t="shared" ref="N2:N76" si="2">"Abstract: " &amp; O2</f>
        <v>Abstract: Abstract
This paper examines business process optimization through process mining in the context of Industry 4.0 using a qualitative research approach. It underscores how process mining facilitates microeconomic principles and efficiency and discusses a techno-functional approach to realizing BPM value, which can propel organizational change management. By analyzing secondary data, the study identifies key process mining tools relevant to Industry 4.0 and BPM, establishing selection criteria and exploring real-world applications. A hypothetical case study demonstrates the role of process mining in enhancing predictive maintenance and asset management by analyzing established processes. Additionally, the paper provides a tactical roadmap and a comparative framework for selecting tools aimed at optimizing or re-engineering business processes applicable across various business functions. It highlights how digitally enabled organizations can leverage data-driven insights to revamp legacy systems and achieve operational excellence.</v>
      </c>
      <c r="O2" s="11" t="s">
        <v>26</v>
      </c>
      <c r="P2" s="9" t="s">
        <v>27</v>
      </c>
      <c r="Q2" s="9"/>
      <c r="R2" s="9"/>
      <c r="S2" s="12"/>
      <c r="T2" s="9"/>
      <c r="U2" s="9"/>
      <c r="V2" s="6"/>
      <c r="W2" s="6"/>
      <c r="X2" s="6"/>
      <c r="Y2" s="6"/>
      <c r="Z2" s="6"/>
      <c r="AA2" s="6"/>
      <c r="AB2" s="6"/>
      <c r="AC2" s="6"/>
      <c r="AD2" s="6"/>
      <c r="AE2" s="6"/>
    </row>
    <row r="3">
      <c r="A3" s="2" t="s">
        <v>20</v>
      </c>
      <c r="B3" s="2" t="s">
        <v>28</v>
      </c>
      <c r="C3" s="2" t="s">
        <v>18</v>
      </c>
      <c r="D3" s="8" t="s">
        <v>29</v>
      </c>
      <c r="E3" s="2"/>
      <c r="F3" s="2" t="s">
        <v>20</v>
      </c>
      <c r="G3" s="9" t="s">
        <v>30</v>
      </c>
      <c r="H3" s="9">
        <v>2024.0</v>
      </c>
      <c r="I3" s="9" t="s">
        <v>23</v>
      </c>
      <c r="J3" s="9" t="s">
        <v>31</v>
      </c>
      <c r="K3" s="10" t="s">
        <v>32</v>
      </c>
      <c r="L3" s="9" t="s">
        <v>33</v>
      </c>
      <c r="M3" s="9" t="str">
        <f t="shared" si="1"/>
        <v>title: Improving Process Mining Maturity – From Intentions to Actions</v>
      </c>
      <c r="N3" s="9" t="str">
        <f t="shared" si="2"/>
        <v>Abstract: Abstract  Process mining is advancing as a powerful tool for revealing valuable insights about process dynamics. Nevertheless, the imperative to employ process mining to enhance process transparency is a prevailing concern for organizations. Despite the widespread desire to integrate process mining as a pivotal catalyst for fostering a more agile and flexible Business Process Management (BPM) environment, many organizations face challenges in achieving widespread implementation and adoption due to deficiencies in various dimensions of process mining readiness. The current Information Systems (IS) knowledge base lacks a comprehensive framework to aid organizations in augmenting their process mining readiness and bridging this intention-action gap. The paper presents a Process Mining Maturity Model (P3M), refined through multiple iterations, which outlines five factors and 23 elements that organizations must address to increase their process mining readiness. The maturity model advances the understanding of how to close the intention-action gap of process mining initiatives in multiple dimensions. Furthermore, insights from a comprehensive analysis of data gathered in eleven qualitative interviews are drawn, elucidating 30 possible actions that organizations can implement to establish a more responsive and dynamic BPM environment by means of process mining.</v>
      </c>
      <c r="O3" s="13" t="s">
        <v>34</v>
      </c>
      <c r="P3" s="9" t="s">
        <v>35</v>
      </c>
      <c r="Q3" s="9"/>
      <c r="R3" s="9"/>
      <c r="S3" s="12"/>
      <c r="T3" s="9"/>
      <c r="U3" s="9"/>
      <c r="V3" s="6"/>
      <c r="W3" s="6"/>
      <c r="X3" s="6"/>
      <c r="Y3" s="6"/>
      <c r="Z3" s="6"/>
      <c r="AA3" s="6"/>
      <c r="AB3" s="6"/>
      <c r="AC3" s="6"/>
      <c r="AD3" s="6"/>
      <c r="AE3" s="6"/>
    </row>
    <row r="4">
      <c r="A4" s="2" t="s">
        <v>20</v>
      </c>
      <c r="B4" s="2" t="s">
        <v>36</v>
      </c>
      <c r="C4" s="2" t="s">
        <v>20</v>
      </c>
      <c r="D4" s="8" t="s">
        <v>37</v>
      </c>
      <c r="E4" s="14"/>
      <c r="F4" s="2" t="s">
        <v>20</v>
      </c>
      <c r="G4" s="9" t="s">
        <v>38</v>
      </c>
      <c r="H4" s="9">
        <v>2025.0</v>
      </c>
      <c r="I4" s="9" t="s">
        <v>23</v>
      </c>
      <c r="J4" s="9" t="s">
        <v>39</v>
      </c>
      <c r="K4" s="10" t="s">
        <v>40</v>
      </c>
      <c r="L4" s="9" t="s">
        <v>41</v>
      </c>
      <c r="M4" s="9" t="str">
        <f t="shared" si="1"/>
        <v>title: Speeding up Explorative BPM with Lightweight IT: the Case of Machine Learning</v>
      </c>
      <c r="N4" s="9" t="str">
        <f t="shared" si="2"/>
        <v>Abstract: Abstract In the modern digital age, companies need to be able to quickly explore the process innovation affordances of digital technologies. This includes exploration of Machine Learning (ML), which when embedded in processes can augment or automate decisions. BPM research suggests using lightweight IT (Bygstad,  Journal of Information Technology, 32  (2), 180–193 2017) for digital process innovation, but existing research provides conflicting views on whether ML is lightweight or heavyweight. We therefore address the research question  “How can Lightweight IT contribute to explorative BPM for embedded ML?”  by analyzing four action cases from a large Danish manufacturer. We contribute to explorative BPM by showing that lightweight ML considerably speeds up opportunity assessment and technical implementation in the exploration process thus reducing process innovation latency. We furthermore show that succesful lightweight ML requires the presence of two enabling factors: 1) loose coupling of the IT infrastructure, and 2) extensive use of building blocks to reduce custom development.</v>
      </c>
      <c r="O4" s="13" t="s">
        <v>42</v>
      </c>
      <c r="P4" s="9" t="s">
        <v>43</v>
      </c>
      <c r="Q4" s="9"/>
      <c r="R4" s="9"/>
      <c r="S4" s="12"/>
      <c r="T4" s="9"/>
      <c r="U4" s="9"/>
      <c r="V4" s="6"/>
      <c r="W4" s="6"/>
      <c r="X4" s="6"/>
      <c r="Y4" s="6"/>
      <c r="Z4" s="6"/>
      <c r="AA4" s="6"/>
      <c r="AB4" s="6"/>
      <c r="AC4" s="6"/>
      <c r="AD4" s="6"/>
      <c r="AE4" s="6"/>
    </row>
    <row r="5">
      <c r="A5" s="2" t="s">
        <v>18</v>
      </c>
      <c r="B5" s="2" t="s">
        <v>44</v>
      </c>
      <c r="C5" s="2" t="s">
        <v>18</v>
      </c>
      <c r="D5" s="8" t="s">
        <v>45</v>
      </c>
      <c r="E5" s="14"/>
      <c r="F5" s="2" t="s">
        <v>18</v>
      </c>
      <c r="G5" s="9" t="s">
        <v>46</v>
      </c>
      <c r="H5" s="9">
        <v>2024.0</v>
      </c>
      <c r="I5" s="9" t="s">
        <v>23</v>
      </c>
      <c r="J5" s="9" t="s">
        <v>47</v>
      </c>
      <c r="K5" s="10" t="s">
        <v>48</v>
      </c>
      <c r="L5" s="9">
        <v>6.0</v>
      </c>
      <c r="M5" s="9" t="str">
        <f t="shared" si="1"/>
        <v>title: The impact of ambidexterity on robotic process automation implementation strategy in service enterprises</v>
      </c>
      <c r="N5" s="9" t="str">
        <f t="shared" si="2"/>
        <v>Abstract: Abstract  Robotic Process Automation (RPA) has gained increasing significance in recent years. RPA leverages software bots to automate repetitive business processes traditionally performed by humans, making it one of the easiest, least invasive, and fastest automation approaches. Publications on the topic are scarce, however, and concerns regarding job loss and employee acceptance of new operational processes and technologies remain significant challenges. The additional motivation behind this study is to address the lack of research on the implementation strategy of RPA in the context of ambidexterity, i.e., optimizing enterprise capability in balancing between exploration and exploitation. The paper adopts a managerial perspective and aims to identify the key factors supporting the implementation of RPA in the context of ambidexterity, using an empirical study of service companies as an example. The research methodology employed includes literature review, opinion surveys, and statistical analysis. The paper highlights the stimulating role of the ambidexterity concept in RPA implementation projects and strategies, with a hybrid approach to dynamic balancing of exploitation and exploration. The findings of this paper will be of use for researchers and practitioners in developing effective RPA implementation strategies that balance the needs for exploitation and exploration while factoring in the concerns raised by employees.</v>
      </c>
      <c r="O5" s="13" t="s">
        <v>49</v>
      </c>
      <c r="P5" s="9" t="s">
        <v>50</v>
      </c>
      <c r="Q5" s="9"/>
      <c r="R5" s="9"/>
      <c r="S5" s="12"/>
      <c r="T5" s="9"/>
      <c r="U5" s="9"/>
      <c r="V5" s="6"/>
      <c r="W5" s="6"/>
      <c r="X5" s="6"/>
      <c r="Y5" s="6"/>
      <c r="Z5" s="6"/>
      <c r="AA5" s="6"/>
      <c r="AB5" s="6"/>
      <c r="AC5" s="6"/>
      <c r="AD5" s="6"/>
      <c r="AE5" s="6"/>
    </row>
    <row r="6">
      <c r="A6" s="2" t="s">
        <v>18</v>
      </c>
      <c r="B6" s="2" t="s">
        <v>51</v>
      </c>
      <c r="C6" s="2" t="s">
        <v>18</v>
      </c>
      <c r="D6" s="8" t="s">
        <v>52</v>
      </c>
      <c r="E6" s="14"/>
      <c r="F6" s="2" t="s">
        <v>18</v>
      </c>
      <c r="G6" s="9" t="s">
        <v>53</v>
      </c>
      <c r="H6" s="9">
        <v>2025.0</v>
      </c>
      <c r="I6" s="9" t="s">
        <v>23</v>
      </c>
      <c r="J6" s="9" t="s">
        <v>54</v>
      </c>
      <c r="K6" s="10" t="s">
        <v>55</v>
      </c>
      <c r="L6" s="12"/>
      <c r="M6" s="9" t="str">
        <f t="shared" si="1"/>
        <v>title: Unveiling the dynamics of business processes: the role of process mining in enhancing efficiency, ensuring compliance, and driving continuous improvement</v>
      </c>
      <c r="N6" s="9" t="str">
        <f t="shared" si="2"/>
        <v>Abstract: Abstract
Modern Manufacturing Execution Systems (MES) produce vast amounts of event data, yet translating this data into meaningful, actionable insights remains a significant challenge. This study addresses that gap by applying Process Mining techniques to both real-world and simulated manufacturing environments, aiming to improve process transparency, operational efficiency, and data-driven decision-making. Using methodologies such as Alpha Miner, Heuristic Miner, and Genetic Miner, the research uncovers inefficiencies, ensures process compliance, and enhances performance across various industrial domains. A key case study involving Samsung Electro-Mechanics revealed underlying process inefficiencies and machine workload imbalances, despite initially high model fitness scores. To further validate the findings, a custom simulation built using GoLang was employed, successfully confirming the accuracy of the Alpha Miner approach. This dual application to both actual and simulated data underscores the potential of Process Mining in optimizing manufacturing workflows through precise event log analysis. The study’s novelty lies in its integration of a bespoke GoLang-based event log generator and its demonstration of Process Mining’s adaptability across multiple domains. Theoretical contributions include the evaluation of process model accuracy and the establishment of a validated simulation framework. From a practical perspective, the study supports enhanced manufacturing efficiency, informed decision-making, and the development of risk-free training environments. By transforming raw MES data into structured, interpretable insights, this research offers valuable implications for both industry practitioners and academic researchers.</v>
      </c>
      <c r="O6" s="11" t="s">
        <v>56</v>
      </c>
      <c r="P6" s="9" t="s">
        <v>57</v>
      </c>
      <c r="Q6" s="9"/>
      <c r="R6" s="9"/>
      <c r="S6" s="12"/>
      <c r="T6" s="9"/>
      <c r="U6" s="9"/>
      <c r="V6" s="6"/>
      <c r="W6" s="6"/>
      <c r="X6" s="6"/>
      <c r="Y6" s="6"/>
      <c r="Z6" s="6"/>
      <c r="AA6" s="6"/>
      <c r="AB6" s="6"/>
      <c r="AC6" s="6"/>
      <c r="AD6" s="6"/>
      <c r="AE6" s="6"/>
    </row>
    <row r="7">
      <c r="A7" s="2" t="s">
        <v>18</v>
      </c>
      <c r="B7" s="2" t="s">
        <v>58</v>
      </c>
      <c r="C7" s="2" t="s">
        <v>18</v>
      </c>
      <c r="D7" s="8" t="s">
        <v>59</v>
      </c>
      <c r="E7" s="14"/>
      <c r="F7" s="2" t="s">
        <v>18</v>
      </c>
      <c r="G7" s="9" t="s">
        <v>60</v>
      </c>
      <c r="H7" s="9">
        <v>2024.0</v>
      </c>
      <c r="I7" s="9" t="s">
        <v>23</v>
      </c>
      <c r="J7" s="9" t="s">
        <v>61</v>
      </c>
      <c r="K7" s="10" t="s">
        <v>62</v>
      </c>
      <c r="L7" s="9" t="s">
        <v>63</v>
      </c>
      <c r="M7" s="9" t="str">
        <f t="shared" si="1"/>
        <v>title: Business process management in the age of AI – three essential drifts</v>
      </c>
      <c r="N7" s="9" t="str">
        <f t="shared" si="2"/>
        <v>Abstract: [without abstract]</v>
      </c>
      <c r="O7" s="11" t="s">
        <v>64</v>
      </c>
      <c r="P7" s="9" t="s">
        <v>65</v>
      </c>
      <c r="Q7" s="9"/>
      <c r="R7" s="9"/>
      <c r="S7" s="12"/>
      <c r="T7" s="9"/>
      <c r="U7" s="9"/>
      <c r="V7" s="6"/>
      <c r="W7" s="6"/>
      <c r="X7" s="6"/>
      <c r="Y7" s="6"/>
      <c r="Z7" s="6"/>
      <c r="AA7" s="6"/>
      <c r="AB7" s="6"/>
      <c r="AC7" s="6"/>
      <c r="AD7" s="6"/>
      <c r="AE7" s="6"/>
    </row>
    <row r="8">
      <c r="A8" s="2" t="s">
        <v>18</v>
      </c>
      <c r="B8" s="2" t="s">
        <v>66</v>
      </c>
      <c r="C8" s="2" t="s">
        <v>18</v>
      </c>
      <c r="D8" s="8" t="s">
        <v>67</v>
      </c>
      <c r="E8" s="14"/>
      <c r="F8" s="2" t="s">
        <v>18</v>
      </c>
      <c r="G8" s="9" t="s">
        <v>68</v>
      </c>
      <c r="H8" s="9">
        <v>2026.0</v>
      </c>
      <c r="I8" s="9" t="s">
        <v>23</v>
      </c>
      <c r="J8" s="9" t="s">
        <v>69</v>
      </c>
      <c r="K8" s="10" t="s">
        <v>70</v>
      </c>
      <c r="L8" s="12"/>
      <c r="M8" s="9" t="str">
        <f t="shared" si="1"/>
        <v>title: The BPM Goal Hexagon: an update to the Devil’s Quadrangle</v>
      </c>
      <c r="N8" s="9" t="str">
        <f t="shared" si="2"/>
        <v>Abstract: Abstract
Business process management has traditionally focused on time, cost, quality, and flexibility as goal dimensions, known as the Devil’s Quadrangle. In light of novel emerging factors such as employee values, environmental, social, and governance requirements, as well as conscious business models, this paper investigates whether the traditional four goal dimensions of the Devil’s Quadrangle remain suitable today. Based on an extensive analysis of recent business process redesign projects published in case studies, we offer a timely assessment of the adequacy of the Devil’s Quadrangle in current times and suggest extensions to the concept, incorporating insights from a secondary study on robotic process automation. More specifically, we extend the Devil’s Quadrangle to the BPM Goal Hexagon by retaining time, quality, and flexibility, but refocusing cost to a more balanced economics dimension and adding a people dimension as well as an environment dimension. The BPM Goal Hexagon offers scholars and practitioners a timely tool to revisit the real-world relevance and sufficiency of their business process management project goals, methods, and tools.</v>
      </c>
      <c r="O8" s="11" t="s">
        <v>71</v>
      </c>
      <c r="P8" s="9" t="s">
        <v>72</v>
      </c>
      <c r="Q8" s="9"/>
      <c r="R8" s="9"/>
      <c r="S8" s="12"/>
      <c r="T8" s="9"/>
      <c r="U8" s="9"/>
      <c r="V8" s="6"/>
      <c r="W8" s="6"/>
      <c r="X8" s="6"/>
      <c r="Y8" s="6"/>
      <c r="Z8" s="6"/>
      <c r="AA8" s="6"/>
      <c r="AB8" s="6"/>
      <c r="AC8" s="6"/>
      <c r="AD8" s="6"/>
      <c r="AE8" s="6"/>
    </row>
    <row r="9">
      <c r="A9" s="2" t="s">
        <v>20</v>
      </c>
      <c r="B9" s="2" t="s">
        <v>73</v>
      </c>
      <c r="C9" s="2" t="s">
        <v>18</v>
      </c>
      <c r="D9" s="8" t="s">
        <v>74</v>
      </c>
      <c r="E9" s="2"/>
      <c r="F9" s="2" t="s">
        <v>20</v>
      </c>
      <c r="G9" s="9" t="s">
        <v>75</v>
      </c>
      <c r="H9" s="9">
        <v>2024.0</v>
      </c>
      <c r="I9" s="9" t="s">
        <v>23</v>
      </c>
      <c r="J9" s="9" t="s">
        <v>76</v>
      </c>
      <c r="K9" s="10" t="s">
        <v>77</v>
      </c>
      <c r="L9" s="9" t="s">
        <v>78</v>
      </c>
      <c r="M9" s="9" t="str">
        <f t="shared" si="1"/>
        <v>title: Managing next generation BP-x initiatives</v>
      </c>
      <c r="N9" s="9" t="str">
        <f t="shared" si="2"/>
        <v>Abstract: Abstract  Past generations of BPM involved the efficient and effective management of business processes. Yet, we currently face a turning point. The technological facets of data-driven BPM add complexity to traditional BPM applications. As a result, organizations face intended and unintended technology-related changes across all business process initiatives. Using the term BP-x, we summarize the recent changes in BPM knowledge that has hitherto been fragmented across academic literature. To address the challenges of BP-x initiatives, we envision a holistic model that focuses on managing related cutting-edge technologies and BPM. Thus, we propose the operationalized BP-x management model as a valuable IT meta-artifact. We develop the model using a two-cycled Design Science Research methodology and conduct a threefold summative evaluation. The results of our study indicate that creating awareness of potentials and opportunities accelerates the process toward action and fosters new business outcomes in terms of performance and innovation. By strategically aligning BP-x endeavors, organizations promote visibility, shared understanding, and culture among stakeholders. Our model guides managers throughout the BP-x adoption journey in conjunction with organizational, managerial, and technological prerequisites.</v>
      </c>
      <c r="O9" s="13" t="s">
        <v>79</v>
      </c>
      <c r="P9" s="9" t="s">
        <v>80</v>
      </c>
      <c r="Q9" s="9"/>
      <c r="R9" s="9"/>
      <c r="S9" s="12"/>
      <c r="T9" s="9"/>
      <c r="U9" s="9"/>
      <c r="V9" s="6"/>
      <c r="W9" s="6"/>
      <c r="X9" s="6"/>
      <c r="Y9" s="6"/>
      <c r="Z9" s="6"/>
      <c r="AA9" s="6"/>
      <c r="AB9" s="6"/>
      <c r="AC9" s="6"/>
      <c r="AD9" s="6"/>
      <c r="AE9" s="6"/>
    </row>
    <row r="10">
      <c r="A10" s="2" t="s">
        <v>18</v>
      </c>
      <c r="B10" s="8" t="s">
        <v>81</v>
      </c>
      <c r="C10" s="2" t="s">
        <v>18</v>
      </c>
      <c r="D10" s="2" t="s">
        <v>82</v>
      </c>
      <c r="E10" s="2"/>
      <c r="F10" s="2" t="s">
        <v>18</v>
      </c>
      <c r="G10" s="9" t="s">
        <v>83</v>
      </c>
      <c r="H10" s="9">
        <v>2024.0</v>
      </c>
      <c r="I10" s="9" t="s">
        <v>23</v>
      </c>
      <c r="J10" s="9" t="s">
        <v>84</v>
      </c>
      <c r="K10" s="10" t="s">
        <v>85</v>
      </c>
      <c r="L10" s="9" t="s">
        <v>86</v>
      </c>
      <c r="M10" s="9" t="str">
        <f t="shared" si="1"/>
        <v>title: A systematic literature review on the application of process mining to Industry 4.0</v>
      </c>
      <c r="N10" s="9" t="str">
        <f t="shared" si="2"/>
        <v>Abstract: Abstract
The transition to Industry 4.0 means a new era in manufacturing with a new level of production automation, human-to-machine cooperation and product customization. It provides many benefits and opportunities to both enterprises and consumers and allows for principally new level of cooperation. At the same time, the complexity of business processes, large volume and the complex structure of data generated and processed by different Industry 4.0 technologies create serious challenges for Business Process Management. Process mining (PM) can tackle these challenges. PM is a relatively young discipline that is positioned between process-centric and data-centric approaches and focuses on discovering, conformance checking and enhancement of end-to-end business processes. Moreover, new types of PM deal with performance analysis, comparative analysis of several processes, making predictions and triggering improvement actions. This systematic literature review studies the applicability of PM in Industry 4.0 and the benefits that PM can provide to each of the four aspects of Industry 4.0: smart factories, smart products, new business models and new customer services. Approaches of PM proposed in the selected studies are analysed and classified according to two dimensions of the study: PM and Industry 4.0. The research gaps identified while performing the systematic literature review show possible directions for further research in the area.</v>
      </c>
      <c r="O10" s="11" t="s">
        <v>87</v>
      </c>
      <c r="P10" s="9" t="s">
        <v>88</v>
      </c>
      <c r="Q10" s="9"/>
      <c r="R10" s="9"/>
      <c r="S10" s="12"/>
      <c r="T10" s="9"/>
      <c r="U10" s="9"/>
      <c r="V10" s="6"/>
      <c r="W10" s="6"/>
      <c r="X10" s="6"/>
      <c r="Y10" s="6"/>
      <c r="Z10" s="6"/>
      <c r="AA10" s="6"/>
      <c r="AB10" s="6"/>
      <c r="AC10" s="6"/>
      <c r="AD10" s="6"/>
      <c r="AE10" s="6"/>
    </row>
    <row r="11">
      <c r="A11" s="2" t="s">
        <v>18</v>
      </c>
      <c r="B11" s="2" t="s">
        <v>89</v>
      </c>
      <c r="C11" s="2" t="s">
        <v>18</v>
      </c>
      <c r="D11" s="8" t="s">
        <v>90</v>
      </c>
      <c r="E11" s="14"/>
      <c r="F11" s="2" t="s">
        <v>18</v>
      </c>
      <c r="G11" s="9" t="s">
        <v>91</v>
      </c>
      <c r="H11" s="9">
        <v>2025.0</v>
      </c>
      <c r="I11" s="9" t="s">
        <v>23</v>
      </c>
      <c r="J11" s="9" t="s">
        <v>92</v>
      </c>
      <c r="K11" s="10" t="s">
        <v>93</v>
      </c>
      <c r="L11" s="9" t="s">
        <v>94</v>
      </c>
      <c r="M11" s="9" t="str">
        <f t="shared" si="1"/>
        <v>title: Workplace performance measurement: digitalization of work observation and analysis</v>
      </c>
      <c r="N11" s="9" t="str">
        <f t="shared" si="2"/>
        <v>Abstract: Abstract  Process improvement initiatives require access to frequently updated and good quality data. This is an extremely difficult task in the area of production processes, where the lack of a process digital footprint is a very big challenge. To solve this problem, the authors of this article designed, implemented, and verified the results of a new work measurement method. The Workplace Performance Measurement (WPM) method is focused not only on the measurement of task duration and frequency, but also on searching for potential anomalies and their reasons. The WPM method collects a wide range of workspace parameters, including workers' activities, workers' physiological parameters, and tool usage. An application of Process Mining and Machine Learning solutions has allowed us to not only significantly increase the quality of analysis (compared to analog work sampling methods), but also to implement an automated controlling solution. The genuine value of the WPM is attested to by the achieved results, like increased efficiency of production processes, better visibility of process flow, or delivery of input data to MES solutions. MES systems require good quality, frequently updated information, and this is the role played by the WPM, which can provide this type of data for Master Data as well as for Production Orders. The presented authorial WPM method reduces the gap in available scholarship and practical solutions, enabling the collection of reliable data on the actual flow of business processes without their disruption, relevant for i.a. advanced systems using AI.</v>
      </c>
      <c r="O11" s="13" t="s">
        <v>95</v>
      </c>
      <c r="P11" s="9" t="s">
        <v>96</v>
      </c>
      <c r="Q11" s="15"/>
      <c r="R11" s="9"/>
      <c r="S11" s="12"/>
      <c r="T11" s="9"/>
      <c r="U11" s="9"/>
      <c r="V11" s="6"/>
      <c r="W11" s="6"/>
      <c r="X11" s="6"/>
      <c r="Y11" s="6"/>
      <c r="Z11" s="6"/>
      <c r="AA11" s="6"/>
      <c r="AB11" s="6"/>
      <c r="AC11" s="6"/>
      <c r="AD11" s="6"/>
      <c r="AE11" s="6"/>
    </row>
    <row r="12">
      <c r="A12" s="2" t="s">
        <v>18</v>
      </c>
      <c r="B12" s="2" t="s">
        <v>97</v>
      </c>
      <c r="C12" s="2" t="s">
        <v>18</v>
      </c>
      <c r="D12" s="8" t="s">
        <v>98</v>
      </c>
      <c r="E12" s="14"/>
      <c r="F12" s="2" t="s">
        <v>18</v>
      </c>
      <c r="G12" s="9" t="s">
        <v>99</v>
      </c>
      <c r="H12" s="9">
        <v>2024.0</v>
      </c>
      <c r="I12" s="9" t="s">
        <v>23</v>
      </c>
      <c r="J12" s="9" t="s">
        <v>100</v>
      </c>
      <c r="K12" s="10" t="s">
        <v>101</v>
      </c>
      <c r="L12" s="9">
        <v>118.0</v>
      </c>
      <c r="M12" s="9" t="str">
        <f t="shared" si="1"/>
        <v>title: Exploring the diverse nature of business processes in organisations in Industry 4.0/5.0</v>
      </c>
      <c r="N12" s="9" t="str">
        <f t="shared" si="2"/>
        <v>Abstract: Abstract  The article investigates the differentiation of business processes in contemporary organisations based on their dynamics (predictability). It presents and summarises research on the nature of business processes in Industry 4.0/5.0 conducted by researchers from 7 Polish universities. The study combines a systematic literature review based on the SCOPUS database and a survey of 466 respondents with an analysis of 12,573 processes. Filling the cognitive gap in Industry 4.0/5.0 organisations, the study reveals that nearly 60% of all BPs are semi-structured processes. At the same time, it shows a strong relationship between the importance of processes for the organisation and the dynamics of their execution. This finding highlights the importance of adaptability and flexibility in organisational dynamics, reflecting the nuanced nature of most BPs. The article presents original research on a diverse sample of Polish enterprises based on the simplified Business Processes Nature Assessment Framework. The presented research results indicate the need to update the essential elements of the BPM concept, such as BPM Lifecycle, BPM implementation method, or BPM maturity assessment, to consider various assessment criteria and implementation methods depending on the nature of BPs. The study contributes to advancing both theoretical knowledge and practical applications in the field of BPM, providing valuable insights for scholars, practitioners, and policymakers alike.</v>
      </c>
      <c r="O12" s="13" t="s">
        <v>102</v>
      </c>
      <c r="P12" s="9" t="s">
        <v>103</v>
      </c>
      <c r="Q12" s="15"/>
      <c r="R12" s="9"/>
      <c r="S12" s="12"/>
      <c r="T12" s="9"/>
      <c r="U12" s="9"/>
      <c r="V12" s="6"/>
      <c r="W12" s="6"/>
      <c r="X12" s="6"/>
      <c r="Y12" s="6"/>
      <c r="Z12" s="6"/>
      <c r="AA12" s="6"/>
      <c r="AB12" s="6"/>
      <c r="AC12" s="6"/>
      <c r="AD12" s="6"/>
      <c r="AE12" s="6"/>
    </row>
    <row r="13">
      <c r="A13" s="2" t="s">
        <v>18</v>
      </c>
      <c r="B13" s="2" t="s">
        <v>104</v>
      </c>
      <c r="C13" s="2" t="s">
        <v>18</v>
      </c>
      <c r="D13" s="8" t="s">
        <v>105</v>
      </c>
      <c r="E13" s="14"/>
      <c r="F13" s="2" t="s">
        <v>18</v>
      </c>
      <c r="G13" s="9" t="s">
        <v>106</v>
      </c>
      <c r="H13" s="9">
        <v>2024.0</v>
      </c>
      <c r="I13" s="9" t="s">
        <v>23</v>
      </c>
      <c r="J13" s="9" t="s">
        <v>107</v>
      </c>
      <c r="K13" s="10" t="s">
        <v>108</v>
      </c>
      <c r="L13" s="9" t="s">
        <v>109</v>
      </c>
      <c r="M13" s="9" t="str">
        <f t="shared" si="1"/>
        <v>title: How does robotic process automation create value for firms?</v>
      </c>
      <c r="N13" s="9" t="str">
        <f t="shared" si="2"/>
        <v>Abstract: Abstract  RPA’s potential for efficiency improvement highly recommends the analysis of its applicability to the organizations’ processes. This paper analyses the value of RPA as its impact on the main activity groups in the value chain: Procurement, Internal Operations and Marketing and Sales. The analysis of RPA’s contribution for each of the activity groups addresses a research question through an exploratory approach: “How does RPA create value for organizations and which RPA features are critical for such value creation?”. The data was collected through interviews, analyzed using content analysis, and shows that RPA has impacts on both downstream and internal dimensions. Regarding upstream dimension further research is required to ascertain RPA’s potential.</v>
      </c>
      <c r="O13" s="13" t="s">
        <v>110</v>
      </c>
      <c r="P13" s="9" t="s">
        <v>111</v>
      </c>
      <c r="Q13" s="9"/>
      <c r="R13" s="9"/>
      <c r="S13" s="12"/>
      <c r="T13" s="9"/>
      <c r="U13" s="9"/>
      <c r="V13" s="6"/>
      <c r="W13" s="6"/>
      <c r="X13" s="6"/>
      <c r="Y13" s="6"/>
      <c r="Z13" s="6"/>
      <c r="AA13" s="6"/>
      <c r="AB13" s="6"/>
      <c r="AC13" s="6"/>
      <c r="AD13" s="6"/>
      <c r="AE13" s="6"/>
    </row>
    <row r="14">
      <c r="A14" s="2" t="s">
        <v>18</v>
      </c>
      <c r="B14" s="2" t="s">
        <v>112</v>
      </c>
      <c r="C14" s="2" t="s">
        <v>20</v>
      </c>
      <c r="D14" s="8" t="s">
        <v>113</v>
      </c>
      <c r="E14" s="14"/>
      <c r="F14" s="2" t="s">
        <v>20</v>
      </c>
      <c r="G14" s="9" t="s">
        <v>114</v>
      </c>
      <c r="H14" s="9">
        <v>2022.0</v>
      </c>
      <c r="I14" s="9" t="s">
        <v>23</v>
      </c>
      <c r="J14" s="9" t="s">
        <v>115</v>
      </c>
      <c r="K14" s="10" t="s">
        <v>116</v>
      </c>
      <c r="L14" s="9" t="s">
        <v>117</v>
      </c>
      <c r="M14" s="9" t="str">
        <f t="shared" si="1"/>
        <v>title: Transforming Skill Gap Crisis into Opportunity for Upskilling in India’s IT-BPM Sector</v>
      </c>
      <c r="N14" s="9" t="str">
        <f t="shared" si="2"/>
        <v>Abstract: Abstract
Fourth Industrial revolution (I4.0) is set to change the way we work in the 21st Century. Invented by us (humans), it is ironical to not prepare for the technological changes that have been developed for the greater good of the society. India has also begun experiencing the waves of I4.0. Robotics, artificial intelligence, internet of things, automation is being combined with existing production processes in many industries. Its magnitude depends on the cost structure and varying capital deepening in the Indian industries. The IT-BPM Sector is the prime driver for automation, artificial intelligence, IoT and analytics. However it is not only accelerating and playing a key role in implementing the I4.0 in manufacturing, but also undergoing changes within its own industry. The primary objective of this study is to conduct a detailed study on the current status of skill demand and skill supply in India in general and IT-BPM sector in particular. The secondary objective of the study is to review the performance and growth of IT-BPM sector in recent years and the pace of technological progress in the sector. Secondary sources have been referred to identify the skill gap and frame a decent work strategy for the IT-BPM Sector. The paper finds an opportunistic scope in upskilling the workers to the new technology as it workers with upgraded technology can positively contribute to the growth of the industry as well as economy. It is argued that the skill gap crisis needs to be perceived as an opportunity for digital transformation of the economy and engine of growth for IT-BPM Sector. However the key challenges lie in the adaptability of workers and reforms in education sector.</v>
      </c>
      <c r="O14" s="11" t="s">
        <v>118</v>
      </c>
      <c r="P14" s="9" t="s">
        <v>119</v>
      </c>
      <c r="Q14" s="15"/>
      <c r="R14" s="9"/>
      <c r="S14" s="12"/>
      <c r="T14" s="9"/>
      <c r="U14" s="9"/>
      <c r="V14" s="6"/>
      <c r="W14" s="6"/>
      <c r="X14" s="6"/>
      <c r="Y14" s="6"/>
      <c r="Z14" s="6"/>
      <c r="AA14" s="6"/>
      <c r="AB14" s="6"/>
      <c r="AC14" s="6"/>
      <c r="AD14" s="6"/>
      <c r="AE14" s="6"/>
    </row>
    <row r="15">
      <c r="A15" s="2" t="s">
        <v>18</v>
      </c>
      <c r="B15" s="2" t="s">
        <v>120</v>
      </c>
      <c r="C15" s="2" t="s">
        <v>18</v>
      </c>
      <c r="D15" s="8" t="s">
        <v>121</v>
      </c>
      <c r="E15" s="2"/>
      <c r="F15" s="2" t="s">
        <v>18</v>
      </c>
      <c r="G15" s="9" t="s">
        <v>122</v>
      </c>
      <c r="H15" s="9">
        <v>2026.0</v>
      </c>
      <c r="I15" s="9" t="s">
        <v>23</v>
      </c>
      <c r="J15" s="9" t="s">
        <v>123</v>
      </c>
      <c r="K15" s="10" t="s">
        <v>124</v>
      </c>
      <c r="L15" s="9">
        <v>242.0</v>
      </c>
      <c r="M15" s="9" t="str">
        <f t="shared" si="1"/>
        <v>title: Applying Robotic Process Automation (RPA) in Education: A Platform</v>
      </c>
      <c r="N15" s="9" t="str">
        <f t="shared" si="2"/>
        <v>Abstract: Abstract
Industry 4.0 denotes the current era of enhanced connectivity, sophisticated analytics, automation, and cutting-edge manufacturing technologies, which has been reshaping global business practices over the past few years. Along with the rapid growth of robotics and automation in Industry 4.0, Robotic Process Automation (RPA) emerges as an effective approach to automating business processes, especially for repetitive and rule-based tasks. It has a potential to enhance the efficiency, accuracy, and scalability of numerous business processes. RPA has garnered considerable attention across diverse domains, such as finance, accounting, human resources, and insurance. However, its adoption within the education sector remains relatively unaddressed. This is largely due to the fact that existing RPA solutions are often generic and lack domain-specific features that cater to the unique needs of educational institutions. The development of an RPA platform tailored to the education sector represents a crucial and promising avenue for the further promotion of RPA in this field. The promotion of educational reform through RPA can lead to automated processes, increased efficiency, and the fostering of innovation in educational models. These advancements would enhance the quality of education and improve student learning outcomes. Consequently, investing in the development of an RPA platform for the education sector would not only streamline workflow processes but also contribute to creating a more effective learning environment, ultimately improving educational standards. In this context, we introduce EduRPA, an innovative RPA platform specifically designed for the education sector. EduRPA is an open-source software that promotes community-driven development and customization. The platform provides tailored pedagogical activity packages to support domain-specific workflows, supports automated process generation to simplify task creation for non-technical users, and offers automation object suggestion and package mapping to automatically configure technical execution elements and reduce manual intervention. Generally, the main contributions of this paper include (i) proposing a novel RPA platform, EduRPA, specifically designed for the education sector. (ii) illustrating the pedagogical benefits and practical outcomes of EduRPA through detailed use cases demonstrating its applicability in educational contexts. (iii) evaluating the usability and effectiveness of EduRPA based on experimental data.</v>
      </c>
      <c r="O15" s="11" t="s">
        <v>125</v>
      </c>
      <c r="P15" s="9" t="s">
        <v>126</v>
      </c>
      <c r="Q15" s="16"/>
      <c r="R15" s="9"/>
      <c r="S15" s="12"/>
      <c r="T15" s="9"/>
      <c r="U15" s="9"/>
      <c r="V15" s="6"/>
      <c r="W15" s="6"/>
      <c r="X15" s="6"/>
      <c r="Y15" s="6"/>
      <c r="Z15" s="6"/>
      <c r="AA15" s="6"/>
      <c r="AB15" s="6"/>
      <c r="AC15" s="6"/>
      <c r="AD15" s="6"/>
      <c r="AE15" s="6"/>
    </row>
    <row r="16">
      <c r="A16" s="2" t="s">
        <v>18</v>
      </c>
      <c r="B16" s="2" t="s">
        <v>127</v>
      </c>
      <c r="C16" s="2" t="s">
        <v>18</v>
      </c>
      <c r="D16" s="8" t="s">
        <v>128</v>
      </c>
      <c r="E16" s="14"/>
      <c r="F16" s="2" t="s">
        <v>18</v>
      </c>
      <c r="G16" s="9" t="s">
        <v>129</v>
      </c>
      <c r="H16" s="9">
        <v>2026.0</v>
      </c>
      <c r="I16" s="9" t="s">
        <v>23</v>
      </c>
      <c r="J16" s="9" t="s">
        <v>130</v>
      </c>
      <c r="K16" s="10" t="s">
        <v>131</v>
      </c>
      <c r="L16" s="9" t="s">
        <v>132</v>
      </c>
      <c r="M16" s="9" t="str">
        <f t="shared" si="1"/>
        <v>title: Navigating the Landscape of Organizational Process Mining Setups: A Taxonomy Approach</v>
      </c>
      <c r="N16" s="9" t="str">
        <f t="shared" si="2"/>
        <v>Abstract: Abstract  Process mining (PM) technology evolves around the analysis, design, implementation, and ongoing improvement of business processes. While it has experienced a lot of attention and significant technological advancements, contributions to the field have mostly revolved around technical matters, neglecting managerial and organizational aspects. Thus, researchers have called for a more holistic view of the application and adoption of PM in enterprises. To address this gap, this paper presents a taxonomy for organizational PM setups. Its applicability and usefulness are shown in three exemplary cases. This study extends the descriptive knowledge at the intersection of PM and business process management governance, highlighting the unique governance requirements associated with PM that cannot be effectively addressed through traditional governance approaches. The taxonomy provides practitioners with orientation when developing an effective PM setup and helps to characterize existing setups.</v>
      </c>
      <c r="O16" s="13" t="s">
        <v>133</v>
      </c>
      <c r="P16" s="9" t="s">
        <v>134</v>
      </c>
      <c r="Q16" s="16"/>
      <c r="R16" s="9"/>
      <c r="S16" s="12"/>
      <c r="T16" s="9"/>
      <c r="U16" s="9"/>
      <c r="V16" s="6"/>
      <c r="W16" s="6"/>
      <c r="X16" s="6"/>
      <c r="Y16" s="6"/>
      <c r="Z16" s="6"/>
      <c r="AA16" s="6"/>
      <c r="AB16" s="6"/>
      <c r="AC16" s="6"/>
      <c r="AD16" s="6"/>
      <c r="AE16" s="6"/>
    </row>
    <row r="17">
      <c r="A17" s="2" t="s">
        <v>18</v>
      </c>
      <c r="B17" s="2" t="s">
        <v>135</v>
      </c>
      <c r="C17" s="2" t="s">
        <v>18</v>
      </c>
      <c r="D17" s="8" t="s">
        <v>136</v>
      </c>
      <c r="E17" s="14"/>
      <c r="F17" s="2" t="s">
        <v>18</v>
      </c>
      <c r="G17" s="9" t="s">
        <v>137</v>
      </c>
      <c r="H17" s="9">
        <v>2024.0</v>
      </c>
      <c r="I17" s="9" t="s">
        <v>23</v>
      </c>
      <c r="J17" s="9" t="s">
        <v>138</v>
      </c>
      <c r="K17" s="10" t="s">
        <v>139</v>
      </c>
      <c r="L17" s="9" t="s">
        <v>140</v>
      </c>
      <c r="M17" s="9" t="str">
        <f t="shared" si="1"/>
        <v>title: Leveraging the industrial internet of things for business process improvement: a metamodel and patterns</v>
      </c>
      <c r="N17" s="9" t="str">
        <f t="shared" si="2"/>
        <v>Abstract: Abstract  Industrial organizations of all kinds increasingly recognize the industrial internet of thing’s (IIoT) capabilities to enable valuable business process improvement (BPI). However, both theoretically and practically, there is a lack of clarity regarding the systematic and successful identification, specification, and implementation of corresponding applications. This article aims to bridge this research gap by presenting a comprehensive metamodel encompassing all relevant aspects and elements of IIoT applications with BPI propositions. The metamodel is the foundation for deriving generic yet practical patterns that can assist organizations in effectively executing IIoT projects. To evaluate the usefulness of the approach, five initial patterns were designed and applied by a market-leading organization. The metamodel and patterns contribute to the descriptive knowledge of the IIoT and facilitate sense-making, theory-led design, and practical project execution. To ensure rigor, the research endeavor followed fundamental principles of the design science research (DSR) methodology.</v>
      </c>
      <c r="O17" s="13" t="s">
        <v>141</v>
      </c>
      <c r="P17" s="9" t="s">
        <v>142</v>
      </c>
      <c r="Q17" s="9"/>
      <c r="R17" s="9"/>
      <c r="S17" s="12"/>
      <c r="T17" s="9"/>
      <c r="U17" s="9"/>
      <c r="V17" s="6"/>
      <c r="W17" s="6"/>
      <c r="X17" s="6"/>
      <c r="Y17" s="6"/>
      <c r="Z17" s="6"/>
      <c r="AA17" s="6"/>
      <c r="AB17" s="6"/>
      <c r="AC17" s="6"/>
      <c r="AD17" s="6"/>
      <c r="AE17" s="6"/>
    </row>
    <row r="18">
      <c r="A18" s="2" t="s">
        <v>18</v>
      </c>
      <c r="B18" s="2" t="s">
        <v>143</v>
      </c>
      <c r="C18" s="2" t="s">
        <v>18</v>
      </c>
      <c r="D18" s="8" t="s">
        <v>144</v>
      </c>
      <c r="E18" s="14"/>
      <c r="F18" s="2" t="s">
        <v>18</v>
      </c>
      <c r="G18" s="9" t="s">
        <v>145</v>
      </c>
      <c r="H18" s="9">
        <v>2024.0</v>
      </c>
      <c r="I18" s="9" t="s">
        <v>23</v>
      </c>
      <c r="J18" s="9" t="s">
        <v>146</v>
      </c>
      <c r="K18" s="10" t="s">
        <v>147</v>
      </c>
      <c r="L18" s="9" t="s">
        <v>148</v>
      </c>
      <c r="M18" s="9" t="str">
        <f t="shared" si="1"/>
        <v>title: RPA as a Challenge Beyond Technology: Self-Learning and Attitude Needed for Successful RPA Implementation in the Workplace</v>
      </c>
      <c r="N18" s="9" t="str">
        <f t="shared" si="2"/>
        <v>Abstract: Abstract  Companies are immersed in a process of digitalization that transforms business models and creates value due to the increase in technology. The adoption of new technologies has a great impact on organizations, not only at an economic level but also on their products, processes, and human resources. This process will result in a series of necessary changes to align with their internal competencies and optimize the investment made. This digitalization generates a digital transformation that affects both large companies and SMEs, with the result that new technologies are subject to continuous change, requiring the development and training of workers with the necessary skills to cope with it. Within this transformation, the automation of processes is a constantly growing topic in the business world, as it generates a series of benefits for organizations that they would not otherwise be able to acquire. Process automation reduces the workload in repetitive processes and provides more time for employees to attend to end-customer requests. The adoption of this technology will provide the company to be adapted to a changing world experiencing an increase in productivity, effectiveness, and efficiency. This research focuses on how the process automation provides the organization with a wide range of benefits such as workload reduction and increased productivity for most of the company. Although process automation can bring many benefits to the workplace, it is important to recognize that its use does not always automatically lead to a systematic improvement of workers’ skills. In this context, it is also important to note how employee training is necessary to face this new reality. Employee training and adaptation is critical to the organization’s sustainability. Training will need to be aimed at equipping the employee with technical skills to enable them to effectively use and implement technology and to assimilate it as a complement and not as a threat. To analyse the individual’s awareness of the digitization of the workplace, the automation of tasks and the advantages or disadvantages that may result from the introduction of technology, a questionnaire was developed, and 103 valid responses were obtained and analysed. This has resulted in a series of hypotheses that have been tried to be validate throughout the research work. These results have important implications for organizations seeking to implement automation and provide a basis for future research in this constantly evolving field.</v>
      </c>
      <c r="O18" s="13" t="s">
        <v>149</v>
      </c>
      <c r="P18" s="9" t="s">
        <v>150</v>
      </c>
      <c r="Q18" s="9"/>
      <c r="R18" s="9"/>
      <c r="S18" s="12"/>
      <c r="T18" s="9"/>
      <c r="U18" s="9"/>
      <c r="V18" s="6"/>
      <c r="W18" s="6"/>
      <c r="X18" s="6"/>
      <c r="Y18" s="6"/>
      <c r="Z18" s="6"/>
      <c r="AA18" s="6"/>
      <c r="AB18" s="6"/>
      <c r="AC18" s="6"/>
      <c r="AD18" s="6"/>
      <c r="AE18" s="6"/>
    </row>
    <row r="19">
      <c r="A19" s="2" t="s">
        <v>18</v>
      </c>
      <c r="B19" s="2" t="s">
        <v>151</v>
      </c>
      <c r="C19" s="2" t="s">
        <v>18</v>
      </c>
      <c r="D19" s="8" t="s">
        <v>152</v>
      </c>
      <c r="E19" s="2" t="s">
        <v>18</v>
      </c>
      <c r="F19" s="2" t="s">
        <v>18</v>
      </c>
      <c r="G19" s="9" t="s">
        <v>153</v>
      </c>
      <c r="H19" s="9">
        <v>2024.0</v>
      </c>
      <c r="I19" s="9" t="s">
        <v>23</v>
      </c>
      <c r="J19" s="9" t="s">
        <v>154</v>
      </c>
      <c r="K19" s="10" t="s">
        <v>155</v>
      </c>
      <c r="L19" s="9" t="s">
        <v>156</v>
      </c>
      <c r="M19" s="9" t="str">
        <f t="shared" si="1"/>
        <v>title: From zero to hero: ramp-up management as a new cross-cutting business process management capability</v>
      </c>
      <c r="N19" s="9" t="str">
        <f t="shared" si="2"/>
        <v>Abstract: Abstract  Changing business environments challenge and motivate organizations to transform. To remain competitive, organizations need to embrace these dynamics and make radical changes to how work is performed. Business process management (BPM) as a holistic management discipline offers mature methods and end-to-end management activities. However, it is subject to the tension between stability and change. While change through the improvement of existing business processes is well understood, the implementation and scaling of novel business processes have been neglected in BPM research. Hence, this paper proposes business process ramp-up management (BPRUM) as a new cross-cutting capability area for contemporary and future BPM and explores relevant sub-capabilities. Our work synthesizes insights from an exploratory interview study with 21 subject matter experts to advance the understanding of BPM as a corporate capability regarding the implementation and scaling of novel processes. As a result, this study illustrates how BPRUM adds to modern BPM and presents 40 action-oriented sub-capabilities that provide hands-on knowledge and practical guidance for effective BPRUM. Thereby, it serves as a foundation for further theorizing on process ramp-up and for structuring discussions among BPM practitioners.</v>
      </c>
      <c r="O19" s="13" t="s">
        <v>157</v>
      </c>
      <c r="P19" s="9" t="s">
        <v>158</v>
      </c>
      <c r="Q19" s="9"/>
      <c r="R19" s="9"/>
      <c r="S19" s="12"/>
      <c r="T19" s="9"/>
      <c r="U19" s="9"/>
      <c r="V19" s="6"/>
      <c r="W19" s="6"/>
      <c r="X19" s="6"/>
      <c r="Y19" s="6"/>
      <c r="Z19" s="6"/>
      <c r="AA19" s="6"/>
      <c r="AB19" s="6"/>
      <c r="AC19" s="6"/>
      <c r="AD19" s="6"/>
      <c r="AE19" s="6"/>
    </row>
    <row r="20">
      <c r="A20" s="2" t="s">
        <v>18</v>
      </c>
      <c r="B20" s="2" t="s">
        <v>159</v>
      </c>
      <c r="C20" s="2" t="s">
        <v>18</v>
      </c>
      <c r="D20" s="8" t="s">
        <v>160</v>
      </c>
      <c r="E20" s="2"/>
      <c r="F20" s="2" t="s">
        <v>18</v>
      </c>
      <c r="G20" s="9" t="s">
        <v>161</v>
      </c>
      <c r="H20" s="9">
        <v>2024.0</v>
      </c>
      <c r="I20" s="9" t="s">
        <v>23</v>
      </c>
      <c r="J20" s="9" t="s">
        <v>162</v>
      </c>
      <c r="K20" s="10" t="s">
        <v>163</v>
      </c>
      <c r="L20" s="9" t="s">
        <v>164</v>
      </c>
      <c r="M20" s="9" t="str">
        <f t="shared" si="1"/>
        <v>title: How do digital startups manage their activities? Insights and opportunities for business process management</v>
      </c>
      <c r="N20" s="9" t="str">
        <f t="shared" si="2"/>
        <v>Abstract: Abstract
Business process management (BPM) aims to help organizations manage their business processes. Startups differ from established firms as they go through different phases of prospecting, developing, and exploiting the new venture. Startups begin to focus on the organization of their processes after they reach the exploiting (scale-up) phase. Digital startups are unique as information technology (IT) becomes the business model itself. These unique characteristics raise a question: how do digital startups at the scale-up phase manage their business processes? To answer the question, two case studies on digital startups in logistics providers are conducted. The case studies are designed to be inductive in nature. Grounded Theory Method (GTM) is used for data collection and analysis. Data is collected via interviews and supporting documents. The BPM capability provides the basis to create guiding questions for the interviews. The interview results are analyzed with a grounded theory approach of open, theoretical, and selective coding. To derive a new theory, cross-case analyses are conducted. Findings from two digital startups allow us to identify important categories that play a role in how digital startups manage their activities: industry and stakeholders, digital offerings, organic structure, process management, performance measurement, employee training and culture. We further theorize that the competitive nature of startups makes them customer-centric and focus on agility. Digital startups continuously improve their product and conduct adaptive process experimentation involving a cycle of process identification, IT-based process implementation and process adaptation. The supporting capabilities that enable the process management of digital startups are agile people and culture and organic structure.</v>
      </c>
      <c r="O20" s="11" t="s">
        <v>165</v>
      </c>
      <c r="P20" s="9" t="s">
        <v>166</v>
      </c>
      <c r="Q20" s="9"/>
      <c r="R20" s="9"/>
      <c r="S20" s="12"/>
      <c r="T20" s="9"/>
      <c r="U20" s="9"/>
      <c r="V20" s="6"/>
      <c r="W20" s="6"/>
      <c r="X20" s="6"/>
      <c r="Y20" s="6"/>
      <c r="Z20" s="6"/>
      <c r="AA20" s="6"/>
      <c r="AB20" s="6"/>
      <c r="AC20" s="6"/>
      <c r="AD20" s="6"/>
      <c r="AE20" s="6"/>
    </row>
    <row r="21">
      <c r="A21" s="2" t="s">
        <v>18</v>
      </c>
      <c r="B21" s="2" t="s">
        <v>167</v>
      </c>
      <c r="C21" s="2" t="s">
        <v>18</v>
      </c>
      <c r="D21" s="8" t="s">
        <v>168</v>
      </c>
      <c r="E21" s="2"/>
      <c r="F21" s="2" t="s">
        <v>18</v>
      </c>
      <c r="G21" s="9" t="s">
        <v>169</v>
      </c>
      <c r="H21" s="9">
        <v>2025.0</v>
      </c>
      <c r="I21" s="9" t="s">
        <v>23</v>
      </c>
      <c r="J21" s="9" t="s">
        <v>170</v>
      </c>
      <c r="K21" s="10" t="s">
        <v>171</v>
      </c>
      <c r="L21" s="9" t="s">
        <v>172</v>
      </c>
      <c r="M21" s="9" t="str">
        <f t="shared" si="1"/>
        <v>title: A Portfolio Management Method for Process Mining-Enabled Business Process Improvement Projects</v>
      </c>
      <c r="N21" s="9" t="str">
        <f t="shared" si="2"/>
        <v>Abstract: Abstract Process mining has received tremendous attention from research and industry, establishing itself as a highly sought-after technology. Despite the technological maturity of process mining solutions, which has been achieved through extensive investments in research and development, organizations still face the challenge of elusive value when systematically adopting process mining. The authors attribute this dilemma to a lack of support for scaling and managing process mining project portfolios. To address this practical need and research gap, the authors propose a method for managing portfolios of so-called process mining value cases, which are defined as process mining-enabled business process improvement projects, towards an evolutionary roadmap (  mapper  ). The method is designed to support organizations identify portfolios of process mining projects that generate value by improving business processes. The method was developed through a combination of design science research and situational method engineering and comprises five activities that each outline techniques, roles, and tools:  strategize  ,  identify  ,  select  ,  implement  , and  monitor  . The method has been instantiated as a software prototype and iteratively evaluated for applicability and real-world fidelity by involving an expert panel of academics and practitioners. The usefulness of the artifact was substantiated through a real-world case study in a naturalistic setting.</v>
      </c>
      <c r="O21" s="13" t="s">
        <v>173</v>
      </c>
      <c r="P21" s="9" t="s">
        <v>174</v>
      </c>
      <c r="Q21" s="9"/>
      <c r="R21" s="9"/>
      <c r="S21" s="12"/>
      <c r="T21" s="9"/>
      <c r="U21" s="9"/>
      <c r="V21" s="6"/>
      <c r="W21" s="6"/>
      <c r="X21" s="6"/>
      <c r="Y21" s="6"/>
      <c r="Z21" s="6"/>
      <c r="AA21" s="6"/>
      <c r="AB21" s="6"/>
      <c r="AC21" s="6"/>
      <c r="AD21" s="6"/>
      <c r="AE21" s="6"/>
    </row>
    <row r="22">
      <c r="A22" s="2" t="s">
        <v>18</v>
      </c>
      <c r="B22" s="2" t="s">
        <v>175</v>
      </c>
      <c r="C22" s="2" t="s">
        <v>18</v>
      </c>
      <c r="D22" s="8" t="s">
        <v>176</v>
      </c>
      <c r="E22" s="14"/>
      <c r="F22" s="2" t="s">
        <v>18</v>
      </c>
      <c r="G22" s="9" t="s">
        <v>177</v>
      </c>
      <c r="H22" s="9">
        <v>2026.0</v>
      </c>
      <c r="I22" s="9" t="s">
        <v>23</v>
      </c>
      <c r="J22" s="9" t="s">
        <v>178</v>
      </c>
      <c r="K22" s="10" t="s">
        <v>179</v>
      </c>
      <c r="L22" s="9" t="s">
        <v>180</v>
      </c>
      <c r="M22" s="9" t="str">
        <f t="shared" si="1"/>
        <v>title: How do Process Mining Users Act, Think, and Feel?: An Explorative Study of Process Mining Use Patterns</v>
      </c>
      <c r="N22" s="9" t="str">
        <f t="shared" si="2"/>
        <v>Abstract: Abstract  Process mining, a family of techniques for analyzing large amounts of data collected on business processes, has gained significant practical and academic importance. Extant process mining research mainly examines technical aspects. Only recently has research started to investigate organizational aspects of process mining, such as how organizations use process mining to create business value. On an individual level, research has examined the analysis strategies of individual process mining analysts. So far, however, the literature does not provide a holistic investigation of individual process mining use, including individuals’ behavior, cognition, and affective states. Yet, understanding individual process mining use is pivotal for realizing its organizational value. To address this shortcoming, this paper examines the individual use of process mining employing a multiple case study with process mining users from six large organizations in a post-adoption context, i.e., in organizations that have several years of experience with process mining. Based on the configuration of how process mining users act, think, and feel in practice, four distinct process mining user categories were identified: (1) process mining influencers, (2) power users, (3) process participants, and (4) strategic users. For practitioners, the findings provide insights into the actual process mining use of individuals and what shapes their use patterns. This information enables tailoring process mining training and algorithms to specific user categories.</v>
      </c>
      <c r="O22" s="13" t="s">
        <v>181</v>
      </c>
      <c r="P22" s="9" t="s">
        <v>182</v>
      </c>
      <c r="Q22" s="15"/>
      <c r="R22" s="9"/>
      <c r="S22" s="12"/>
      <c r="T22" s="9"/>
      <c r="U22" s="9"/>
      <c r="V22" s="6"/>
      <c r="W22" s="6"/>
      <c r="X22" s="6"/>
      <c r="Y22" s="6"/>
      <c r="Z22" s="6"/>
      <c r="AA22" s="6"/>
      <c r="AB22" s="6"/>
      <c r="AC22" s="6"/>
      <c r="AD22" s="6"/>
      <c r="AE22" s="6"/>
    </row>
    <row r="23">
      <c r="A23" s="2" t="s">
        <v>18</v>
      </c>
      <c r="B23" s="2" t="s">
        <v>183</v>
      </c>
      <c r="C23" s="2" t="s">
        <v>18</v>
      </c>
      <c r="D23" s="8" t="s">
        <v>184</v>
      </c>
      <c r="E23" s="14"/>
      <c r="F23" s="2" t="s">
        <v>18</v>
      </c>
      <c r="G23" s="9" t="s">
        <v>185</v>
      </c>
      <c r="H23" s="9">
        <v>2023.0</v>
      </c>
      <c r="I23" s="9" t="s">
        <v>23</v>
      </c>
      <c r="J23" s="9" t="s">
        <v>186</v>
      </c>
      <c r="K23" s="10" t="s">
        <v>187</v>
      </c>
      <c r="L23" s="9" t="s">
        <v>188</v>
      </c>
      <c r="M23" s="9" t="str">
        <f t="shared" si="1"/>
        <v>title: A framework for implementing robotic process automation projects</v>
      </c>
      <c r="N23" s="9" t="str">
        <f t="shared" si="2"/>
        <v>Abstract: Abstract  Robotic process automation is a disruptive technology to automate already digital yet manual tasks and subprocesses as well as whole business processes rapidly. In contrast to other process automation technologies, robotic process automation is lightweight and only accesses the presentation layer of IT systems to mimic human behavior. Due to the novelty of robotic process automation and the varying approaches when implementing the technology, there are reports that up to 50% of robotic process automation projects fail. To tackle this issue, we use a design science research approach to develop a framework for the implementation of robotic process automation projects. We analyzed 35 reports on real-life projects to derive a preliminary sequential model. Then, we performed multiple expert interviews and workshops to validate and refine our model. The result is a framework with variable stages that offers guidelines with enough flexibility to be applicable in complex and heterogeneous corporate environments as well as for small and medium-sized companies. It is structured by the three phases of initialization, implementation, and scaling. They comprise eleven stages relevant during a project and as a continuous cycle spanning individual projects. Together they structure how to manage knowledge and support processes for the execution of robotic process automation implementation projects.</v>
      </c>
      <c r="O23" s="13" t="s">
        <v>189</v>
      </c>
      <c r="P23" s="9" t="s">
        <v>190</v>
      </c>
      <c r="Q23" s="15"/>
      <c r="R23" s="9"/>
      <c r="S23" s="12"/>
      <c r="T23" s="9"/>
      <c r="U23" s="9"/>
      <c r="V23" s="6"/>
      <c r="W23" s="6"/>
      <c r="X23" s="6"/>
      <c r="Y23" s="6"/>
      <c r="Z23" s="6"/>
      <c r="AA23" s="6"/>
      <c r="AB23" s="6"/>
      <c r="AC23" s="6"/>
      <c r="AD23" s="6"/>
      <c r="AE23" s="6"/>
    </row>
    <row r="24">
      <c r="A24" s="2" t="s">
        <v>18</v>
      </c>
      <c r="B24" s="2" t="s">
        <v>191</v>
      </c>
      <c r="C24" s="2" t="s">
        <v>18</v>
      </c>
      <c r="D24" s="8" t="s">
        <v>192</v>
      </c>
      <c r="E24" s="14"/>
      <c r="F24" s="2" t="s">
        <v>18</v>
      </c>
      <c r="G24" s="9" t="s">
        <v>193</v>
      </c>
      <c r="H24" s="9">
        <v>2023.0</v>
      </c>
      <c r="I24" s="9" t="s">
        <v>23</v>
      </c>
      <c r="J24" s="9" t="s">
        <v>194</v>
      </c>
      <c r="K24" s="10" t="s">
        <v>195</v>
      </c>
      <c r="L24" s="9" t="s">
        <v>196</v>
      </c>
      <c r="M24" s="9" t="str">
        <f t="shared" si="1"/>
        <v>title: The performance assessment framework (PPAFR) for RPA implementation in a loan application process using process mining</v>
      </c>
      <c r="N24" s="9" t="str">
        <f t="shared" si="2"/>
        <v>Abstract: Abstract  When a company decides to automate its business processes by means of RPA (Robotic Process Automation), there are two fundamental questions that need to be answered. Firstly, what activities should the company automate and what characteristics make them suitable for RPA. The aim of the presented research is to design and demonstrate a data-driven performance framework assessing the impact of RPA implementation using process mining (PPAFR). Firstly, we comment on and summarise existing trends in process mining and RPA. Secondly, we describe research objectives and methods following the Design Science Research Methodology. Then, we identify critical factors for RPA implementation and design process stages of PPAFR. We demonstrate the design on real data from a loan application process. The demonstration consists of a process discovery using process mining methods, process analysis, and process simulation with assessment of RPA candidates. Based on the research results, a redesign of the process is proposed with emphasis on RPA implementation. Finally, we discuss the usefulness of PPAFR by helping companies to identify potentially suitable activities for RPA implementation and not overestimating potential gains. Obtained results show that within the loan application process, waiting times are the main causes of extended cases. If the waiting times are generated internally, it will be much easier for the company to address them. If the automation is focused mainly on processing times, the impact of automation on the overall performance of the process is insignificant or very low. Moreover, the research identified several characteristics which have to be considered when implementing RPA due to the impact on the overall performance of the process.</v>
      </c>
      <c r="O24" s="13" t="s">
        <v>197</v>
      </c>
      <c r="P24" s="9" t="s">
        <v>198</v>
      </c>
      <c r="Q24" s="15"/>
      <c r="R24" s="9"/>
      <c r="S24" s="12"/>
      <c r="T24" s="9"/>
      <c r="U24" s="9"/>
      <c r="V24" s="6"/>
      <c r="W24" s="6"/>
      <c r="X24" s="6"/>
      <c r="Y24" s="6"/>
      <c r="Z24" s="6"/>
      <c r="AA24" s="6"/>
      <c r="AB24" s="6"/>
      <c r="AC24" s="6"/>
      <c r="AD24" s="6"/>
      <c r="AE24" s="6"/>
    </row>
    <row r="25">
      <c r="A25" s="2" t="s">
        <v>18</v>
      </c>
      <c r="B25" s="2" t="s">
        <v>199</v>
      </c>
      <c r="C25" s="2" t="s">
        <v>18</v>
      </c>
      <c r="D25" s="8" t="s">
        <v>200</v>
      </c>
      <c r="E25" s="2"/>
      <c r="F25" s="2" t="s">
        <v>18</v>
      </c>
      <c r="G25" s="9" t="s">
        <v>201</v>
      </c>
      <c r="H25" s="9">
        <v>2025.0</v>
      </c>
      <c r="I25" s="9" t="s">
        <v>23</v>
      </c>
      <c r="J25" s="9" t="s">
        <v>202</v>
      </c>
      <c r="K25" s="10" t="s">
        <v>203</v>
      </c>
      <c r="L25" s="9" t="s">
        <v>204</v>
      </c>
      <c r="M25" s="9" t="str">
        <f t="shared" si="1"/>
        <v>title: Developing a decision tree to improve a maturity model’s usability: an example for digital work maturity</v>
      </c>
      <c r="N25" s="9" t="str">
        <f t="shared" si="2"/>
        <v>Abstract: Abstract
The growth of today’s digitalization trend goes along with an active and influential role of other fundamental factors in organizational development (e.g., people, processes). Excelling in these factors boosts efficiency and helps achieve strategic goals, for which support is needed. In recent years, studies concentrate on organizational maturity to describe (and sometimes prescribe) how to gradually progress along these factors by means of different maturity levels. However, those studies focus on examining a set of factors influencing maturity (such as the digitalization of work practices), but are not necessarily comprehensive in factors and sometimes fail to offer concrete measurement instruments for various application purposes. Novelty in our study resides in scrutinizing whether a decision tree approach can help organizations in quickly assessing their current maturity level in addition to the conventional ways of maturity model measurement or scale development studies. We select one maturity model (MM) in this domain and build a decision tree to distinguish an organization’s current maturity level of digital work. We also examine our proposed method in two rounds of a field study within a large public sector organization. Our objective is twofold. First, we extend an existing MM in a relevant domain for which a self-assessment instrument is still lacking. Secondly, from a design-science research perspective, we explore an alternative approach to build and test a straightforward self-assessment artefact in order to extend the literature from a methodological point of view. As a result, practitioners can profit from the provided and easy-to-use self-assessment instrument when digitalizing their work practices.
</v>
      </c>
      <c r="O25" s="11" t="s">
        <v>205</v>
      </c>
      <c r="P25" s="9" t="s">
        <v>206</v>
      </c>
      <c r="Q25" s="15"/>
      <c r="R25" s="9"/>
      <c r="S25" s="12"/>
      <c r="T25" s="9"/>
      <c r="U25" s="9"/>
      <c r="V25" s="6"/>
      <c r="W25" s="6"/>
      <c r="X25" s="6"/>
      <c r="Y25" s="6"/>
      <c r="Z25" s="6"/>
      <c r="AA25" s="6"/>
      <c r="AB25" s="6"/>
      <c r="AC25" s="6"/>
      <c r="AD25" s="6"/>
      <c r="AE25" s="6"/>
    </row>
    <row r="26">
      <c r="A26" s="2" t="s">
        <v>18</v>
      </c>
      <c r="B26" s="2" t="s">
        <v>207</v>
      </c>
      <c r="C26" s="2" t="s">
        <v>18</v>
      </c>
      <c r="D26" s="8" t="s">
        <v>208</v>
      </c>
      <c r="E26" s="14"/>
      <c r="F26" s="2" t="s">
        <v>18</v>
      </c>
      <c r="G26" s="9" t="s">
        <v>209</v>
      </c>
      <c r="H26" s="9">
        <v>2025.0</v>
      </c>
      <c r="I26" s="9" t="s">
        <v>23</v>
      </c>
      <c r="J26" s="9" t="s">
        <v>210</v>
      </c>
      <c r="K26" s="10" t="s">
        <v>211</v>
      </c>
      <c r="L26" s="9" t="s">
        <v>212</v>
      </c>
      <c r="M26" s="9" t="str">
        <f t="shared" si="1"/>
        <v>title: Process Mining Success Factors and Their Interrelationships</v>
      </c>
      <c r="N26" s="9" t="str">
        <f t="shared" si="2"/>
        <v>Abstract: Abstract  Process mining—a suite of techniques for extracting insights from event logs of Information Systems (IS)—is increasingly being used by a wide range of organisations to improve operational efficiency. Despite extensive studies of Critical Success Factors (CSFs) in related domains, CSF studies tailored to process mining are limited. Moreover, these studies merely identify factors and do not provide essential details such as a clear conceptual understanding of success factors and their interrelationships. Through a multi-phased approach (applying published process mining case studies, conducting two in-depth case studies and expert interviews), this paper presents an empirically validated process mining CSF model and CSF interrelationships. This validated CSF model identifies ten process mining CSFs, explains how these factors relate to the process mining context and analyses their interrelationships with regard to process mining success. The findings provide a guide for organisations to invest in the right mix of CSFs for value realisation in process mining practice.</v>
      </c>
      <c r="O26" s="13" t="s">
        <v>213</v>
      </c>
      <c r="P26" s="9" t="s">
        <v>214</v>
      </c>
      <c r="Q26" s="9"/>
      <c r="R26" s="9"/>
      <c r="S26" s="12"/>
      <c r="T26" s="9"/>
      <c r="U26" s="9"/>
      <c r="V26" s="6"/>
      <c r="W26" s="6"/>
      <c r="X26" s="6"/>
      <c r="Y26" s="6"/>
      <c r="Z26" s="6"/>
      <c r="AA26" s="6"/>
      <c r="AB26" s="6"/>
      <c r="AC26" s="6"/>
      <c r="AD26" s="6"/>
      <c r="AE26" s="6"/>
    </row>
    <row r="27">
      <c r="A27" s="2" t="s">
        <v>18</v>
      </c>
      <c r="B27" s="2" t="s">
        <v>215</v>
      </c>
      <c r="C27" s="2" t="s">
        <v>20</v>
      </c>
      <c r="D27" s="8" t="s">
        <v>216</v>
      </c>
      <c r="E27" s="2"/>
      <c r="F27" s="2" t="s">
        <v>20</v>
      </c>
      <c r="G27" s="9" t="s">
        <v>217</v>
      </c>
      <c r="H27" s="9">
        <v>2022.0</v>
      </c>
      <c r="I27" s="9" t="s">
        <v>23</v>
      </c>
      <c r="J27" s="9" t="s">
        <v>218</v>
      </c>
      <c r="K27" s="10" t="s">
        <v>219</v>
      </c>
      <c r="L27" s="9" t="s">
        <v>220</v>
      </c>
      <c r="M27" s="9" t="str">
        <f t="shared" si="1"/>
        <v>title: How to improve the assessment of BPM maturity in the era of digital transformation</v>
      </c>
      <c r="N27" s="9" t="str">
        <f t="shared" si="2"/>
        <v>Abstract: Abstract  For almost 30 years, the way of building business process management maturity models (BPM MMs), the importance assigned to individual maturity levels, and the criteria and critical success factors chosen for BPM maturity assessment have not changed significantly, despite the fact that during those three decades, the business environment and organizations themselves have changed enormously. The impact of hyperautomation and the increasing pace of change require the integration of maturity assessment with the BPM implementation methodology, including the repetition of maturity assessment for selected groups of processes. This causes an urgent need to adapt both process maturity assessment methods and BPM MMs to changing working conditions and business requirements. This conceptual paper is based on a model approach. The framework presented in the article continues and at the same time clearly deviates from the tradition of building BPM MMs on the basis of the Capability Maturity Model (CMM). It proposes a two-stage comprehensive process of organizational process maturity assessment, fully integrated into the process of BPM implementation and further business process management. The presented framework makes it possible to assess the process maturity of Industry 4.0 organizations in which dynamic knowledge-intensive business processes (kiBPs) play a key role in creating value.</v>
      </c>
      <c r="O27" s="13" t="s">
        <v>221</v>
      </c>
      <c r="P27" s="9" t="s">
        <v>222</v>
      </c>
      <c r="Q27" s="9"/>
      <c r="R27" s="9"/>
      <c r="S27" s="12"/>
      <c r="T27" s="9"/>
      <c r="U27" s="9"/>
      <c r="V27" s="6"/>
      <c r="W27" s="6"/>
      <c r="X27" s="6"/>
      <c r="Y27" s="6"/>
      <c r="Z27" s="6"/>
      <c r="AA27" s="6"/>
      <c r="AB27" s="6"/>
      <c r="AC27" s="6"/>
      <c r="AD27" s="6"/>
      <c r="AE27" s="6"/>
    </row>
    <row r="28">
      <c r="A28" s="2" t="s">
        <v>20</v>
      </c>
      <c r="B28" s="2" t="s">
        <v>223</v>
      </c>
      <c r="C28" s="2" t="s">
        <v>20</v>
      </c>
      <c r="D28" s="8" t="s">
        <v>224</v>
      </c>
      <c r="E28" s="14"/>
      <c r="F28" s="2" t="s">
        <v>20</v>
      </c>
      <c r="G28" s="9" t="s">
        <v>225</v>
      </c>
      <c r="H28" s="9">
        <v>2026.0</v>
      </c>
      <c r="I28" s="9" t="s">
        <v>23</v>
      </c>
      <c r="J28" s="9" t="s">
        <v>226</v>
      </c>
      <c r="K28" s="10" t="s">
        <v>227</v>
      </c>
      <c r="L28" s="9" t="s">
        <v>228</v>
      </c>
      <c r="M28" s="9" t="str">
        <f t="shared" si="1"/>
        <v>title: Industry-specific effects of IT systems: uncovering the winners and losers</v>
      </c>
      <c r="N28" s="9" t="str">
        <f t="shared" si="2"/>
        <v>Abstract: Abstract
This study investigates the industry-specific effects of IT system adoption on company productivity, emphasizing how different industry conditions shape IT-driven performance. Using hierarchical linear modeling on a dataset of 1,500 companies from 12 industries over the period 2008–2021, we analyze the impact of Enterprise Resource Planning (ERP) and Business Process Management (BPM) systems. Our findings confirm that both ERP and BPM systems generally enhance productivity, but their effectiveness varies across industries depending on the interplay of dynamism, complexity, and munificence. By decomposing the overall performance effects into industry-specific outcomes, we reveal substantial heterogeneity, with some industries capturing greater IT benefits than others. These results underscore the importance of industry context in digital transformation and provide new insights into how firms can align IT investments with their competitive environments to maximize performance gains.</v>
      </c>
      <c r="O28" s="11" t="s">
        <v>229</v>
      </c>
      <c r="P28" s="9" t="s">
        <v>230</v>
      </c>
      <c r="Q28" s="9"/>
      <c r="R28" s="9"/>
      <c r="S28" s="12"/>
      <c r="T28" s="9"/>
      <c r="U28" s="9"/>
      <c r="V28" s="6"/>
      <c r="W28" s="6"/>
      <c r="X28" s="6"/>
      <c r="Y28" s="6"/>
      <c r="Z28" s="6"/>
      <c r="AA28" s="6"/>
      <c r="AB28" s="6"/>
      <c r="AC28" s="6"/>
      <c r="AD28" s="6"/>
      <c r="AE28" s="6"/>
    </row>
    <row r="29">
      <c r="A29" s="2" t="s">
        <v>18</v>
      </c>
      <c r="B29" s="2" t="s">
        <v>231</v>
      </c>
      <c r="C29" s="2" t="s">
        <v>18</v>
      </c>
      <c r="D29" s="8" t="s">
        <v>232</v>
      </c>
      <c r="E29" s="14"/>
      <c r="F29" s="2" t="s">
        <v>18</v>
      </c>
      <c r="G29" s="9" t="s">
        <v>233</v>
      </c>
      <c r="H29" s="9">
        <v>2024.0</v>
      </c>
      <c r="I29" s="9" t="s">
        <v>23</v>
      </c>
      <c r="J29" s="9" t="s">
        <v>234</v>
      </c>
      <c r="K29" s="10" t="s">
        <v>235</v>
      </c>
      <c r="L29" s="9" t="s">
        <v>236</v>
      </c>
      <c r="M29" s="9" t="str">
        <f t="shared" si="1"/>
        <v>title: Information Analysis in Risk Management of BP (Using the Example of Metallurgical Enterprises)</v>
      </c>
      <c r="N29" s="9" t="str">
        <f t="shared" si="2"/>
        <v>Abstract: Abstract
To unify the understanding of and improvements to management efficiency, the conceptual apparatus of information support for risk management of BP is clarified, and methods of analysis and assessment of risk in the information environment are explored, using the example of a metallurgical company. The development of economic and mathematical support in calculating a quantitative measure of risk is presented, and a matrix for calculating the correction weight coefficient Wi for the determination if this measure is proposed, which allows us to take into account the duration and importance of identified risk factors, rank risks, and make informed decisions based on a more complete and detailed assessment of them.</v>
      </c>
      <c r="O29" s="11" t="s">
        <v>237</v>
      </c>
      <c r="P29" s="9" t="s">
        <v>238</v>
      </c>
      <c r="Q29" s="9"/>
      <c r="R29" s="9"/>
      <c r="S29" s="12"/>
      <c r="T29" s="9"/>
      <c r="U29" s="9"/>
      <c r="V29" s="6"/>
      <c r="W29" s="6"/>
      <c r="X29" s="6"/>
      <c r="Y29" s="6"/>
      <c r="Z29" s="6"/>
      <c r="AA29" s="6"/>
      <c r="AB29" s="6"/>
      <c r="AC29" s="6"/>
      <c r="AD29" s="6"/>
      <c r="AE29" s="6"/>
    </row>
    <row r="30">
      <c r="A30" s="2" t="s">
        <v>18</v>
      </c>
      <c r="B30" s="2" t="s">
        <v>239</v>
      </c>
      <c r="C30" s="2" t="s">
        <v>18</v>
      </c>
      <c r="D30" s="8" t="s">
        <v>240</v>
      </c>
      <c r="E30" s="2"/>
      <c r="F30" s="2" t="s">
        <v>18</v>
      </c>
      <c r="G30" s="9" t="s">
        <v>241</v>
      </c>
      <c r="H30" s="9">
        <v>2024.0</v>
      </c>
      <c r="I30" s="9" t="s">
        <v>23</v>
      </c>
      <c r="J30" s="9" t="s">
        <v>242</v>
      </c>
      <c r="K30" s="10" t="s">
        <v>243</v>
      </c>
      <c r="L30" s="9" t="s">
        <v>244</v>
      </c>
      <c r="M30" s="9" t="str">
        <f t="shared" si="1"/>
        <v>title: Navigating Business Model Redesign: The Compass Method for Identifying Changes to the Operating Model</v>
      </c>
      <c r="N30" s="9" t="str">
        <f t="shared" si="2"/>
        <v>Abstract: Abstract  In today’s dynamic business environment, organizations constantly change their business models to respond to emerging digital technologies and shifting customer expectations. It is a fundamental challenge to translate these changes into the organization’s operating model. When organizations redesign their business models, significant adjustments to the operating model and its underlying business processes are necessary to ensure the effective delivery of the value proposition to customers. Existing research falls short in detailing how changes to the business model at the tactical level impact the operating model at the operational level. To address this gap, this paper introduces the Compass Method. This method provides guidance for decision-makers at the tactical and operational levels in identifying necessary changes to their operating model using a set of operating model design cards. The method has been developed following the design science research methodology and is grounded in extant knowledge from both business model research and process management research. Three rounds of design and evaluation of the method were completed in multiple settings. The study contributes to the understanding of the relationship between business models, operating models, and business processes, paving the way for the development of complementary methods and tools to further investigate this relationship.</v>
      </c>
      <c r="O30" s="13" t="s">
        <v>245</v>
      </c>
      <c r="P30" s="9" t="s">
        <v>246</v>
      </c>
      <c r="Q30" s="9"/>
      <c r="R30" s="9"/>
      <c r="S30" s="12"/>
      <c r="T30" s="9"/>
      <c r="U30" s="9"/>
      <c r="V30" s="6"/>
      <c r="W30" s="6"/>
      <c r="X30" s="6"/>
      <c r="Y30" s="6"/>
      <c r="Z30" s="6"/>
      <c r="AA30" s="6"/>
      <c r="AB30" s="6"/>
      <c r="AC30" s="6"/>
      <c r="AD30" s="6"/>
      <c r="AE30" s="6"/>
    </row>
    <row r="31">
      <c r="A31" s="2" t="s">
        <v>20</v>
      </c>
      <c r="B31" s="2" t="s">
        <v>247</v>
      </c>
      <c r="C31" s="2" t="s">
        <v>18</v>
      </c>
      <c r="D31" s="8" t="s">
        <v>248</v>
      </c>
      <c r="E31" s="14"/>
      <c r="F31" s="2" t="s">
        <v>20</v>
      </c>
      <c r="G31" s="9" t="s">
        <v>249</v>
      </c>
      <c r="H31" s="9">
        <v>2024.0</v>
      </c>
      <c r="I31" s="9" t="s">
        <v>23</v>
      </c>
      <c r="J31" s="9" t="s">
        <v>250</v>
      </c>
      <c r="K31" s="10" t="s">
        <v>251</v>
      </c>
      <c r="L31" s="9" t="s">
        <v>252</v>
      </c>
      <c r="M31" s="9" t="str">
        <f t="shared" si="1"/>
        <v>title: Towards a process selection method for embedded analytics</v>
      </c>
      <c r="N31" s="9" t="str">
        <f t="shared" si="2"/>
        <v>Abstract: Abstract  Driven by technological progress, business analytics is gaining momentum while paving the path for next-generation business process management. Especially, embedded real-time analytics offers new opportunities for business process intelligence and value creation. However, there are several obstacles that organizations face in their adoption process. A key challenge is to identify business processes that are suitable for embedded analytics and hold relevant value potential. Our research addresses this need by introducing an exploratory BPM method, namely a process selection method. Applying action design research and situational method engineering, we iteratively built, used, evaluated, and refined the theory-ingrained method artifact. The method provides organizations with guidance in selecting operational business processes, for which a reengineering project should be initiated.</v>
      </c>
      <c r="O31" s="13" t="s">
        <v>253</v>
      </c>
      <c r="P31" s="9" t="s">
        <v>254</v>
      </c>
      <c r="Q31" s="15"/>
      <c r="R31" s="9"/>
      <c r="S31" s="12"/>
      <c r="T31" s="9"/>
      <c r="U31" s="9"/>
      <c r="V31" s="6"/>
      <c r="W31" s="6"/>
      <c r="X31" s="6"/>
      <c r="Y31" s="6"/>
      <c r="Z31" s="6"/>
      <c r="AA31" s="6"/>
      <c r="AB31" s="6"/>
      <c r="AC31" s="6"/>
      <c r="AD31" s="6"/>
      <c r="AE31" s="6"/>
    </row>
    <row r="32">
      <c r="A32" s="2" t="s">
        <v>20</v>
      </c>
      <c r="B32" s="2" t="s">
        <v>255</v>
      </c>
      <c r="C32" s="2" t="s">
        <v>18</v>
      </c>
      <c r="D32" s="8" t="s">
        <v>256</v>
      </c>
      <c r="E32" s="14"/>
      <c r="F32" s="2" t="s">
        <v>20</v>
      </c>
      <c r="G32" s="9" t="s">
        <v>257</v>
      </c>
      <c r="H32" s="9">
        <v>2025.0</v>
      </c>
      <c r="I32" s="9" t="s">
        <v>23</v>
      </c>
      <c r="J32" s="9" t="s">
        <v>258</v>
      </c>
      <c r="K32" s="10" t="s">
        <v>259</v>
      </c>
      <c r="L32" s="9" t="s">
        <v>260</v>
      </c>
      <c r="M32" s="9" t="str">
        <f t="shared" si="1"/>
        <v>title: Executing automotive test workflows with BPMN and web service orchestration in software-defined car manufacturing</v>
      </c>
      <c r="N32" s="9" t="str">
        <f t="shared" si="2"/>
        <v>Abstract: Abstract  Automotive original equipment manufacturers (OEMs) are facing the challenge of keeping their cars innovative for the customer by integrating new advanced software functions, e.g., to provide higher levels of automated driving. Nonetheless, internal business processes should stay efficient to support the transformation despite the increasing complexity caused by new information and car technologies. For engineering and production processes where interdisciplinary teams of engineers, software developers, and workers interact along the car life cycle, the concept of executable process models offers an opportunity for work streamlining and process automation by web service orchestration. This paper will shed light on using executable process models under the cross-industry Business Process Model and Notation (BPMN) standard, along with the example of automotive test and diagnostic processes in smart manufacturing. We introduce a lean approach that includes the enterprise IT architecture for process modeling and the product car for process execution. Finally, we present our evaluation of the approach through a focus group with OEM experts.</v>
      </c>
      <c r="O32" s="13" t="s">
        <v>261</v>
      </c>
      <c r="P32" s="9" t="s">
        <v>262</v>
      </c>
      <c r="Q32" s="9"/>
      <c r="R32" s="9"/>
      <c r="S32" s="12"/>
      <c r="T32" s="9"/>
      <c r="U32" s="9"/>
      <c r="V32" s="6"/>
      <c r="W32" s="6"/>
      <c r="X32" s="6"/>
      <c r="Y32" s="6"/>
      <c r="Z32" s="6"/>
      <c r="AA32" s="6"/>
      <c r="AB32" s="6"/>
      <c r="AC32" s="6"/>
      <c r="AD32" s="6"/>
      <c r="AE32" s="6"/>
    </row>
    <row r="33">
      <c r="A33" s="2" t="s">
        <v>18</v>
      </c>
      <c r="B33" s="2" t="s">
        <v>263</v>
      </c>
      <c r="C33" s="2" t="s">
        <v>18</v>
      </c>
      <c r="D33" s="8" t="s">
        <v>264</v>
      </c>
      <c r="E33" s="2"/>
      <c r="F33" s="2" t="s">
        <v>18</v>
      </c>
      <c r="G33" s="9" t="s">
        <v>265</v>
      </c>
      <c r="H33" s="9">
        <v>2022.0</v>
      </c>
      <c r="I33" s="9" t="s">
        <v>23</v>
      </c>
      <c r="J33" s="9" t="s">
        <v>266</v>
      </c>
      <c r="K33" s="10" t="s">
        <v>267</v>
      </c>
      <c r="L33" s="9" t="s">
        <v>268</v>
      </c>
      <c r="M33" s="9" t="str">
        <f t="shared" si="1"/>
        <v>title: Exogenous Shocks and Business Process Management: A Scholars’ Perspective on Challenges and Opportunities</v>
      </c>
      <c r="N33" s="9" t="str">
        <f t="shared" si="2"/>
        <v>Abstract: Abstract  Business process management (BPM) drives corporate success through effective and efficient processes. In recent decades, knowledge has been accumulated regarding the identification, discovery, analysis, design, implementation, and monitoring of business processes. This includes methods and tools for tackling various kinds of process change such as continuous process improvement, process reengineering, process innovation, and process drift. However, exogenous shocks, which lead to unintentional and radical process change, have been neglected in BPM research although they severely affect an organization’s context, strategy, and business processes. This research note conceptualizes the interplay of exogenous shocks and BPM in terms of the effects that such shocks can have on organizations’ overall process performance over time. On this foundation, related challenges and opportunities for BPM via several rounds of idea generation and consolidation within a diverse team of BPM scholars are identified. The paper discusses findings in light of extant literature from BPM and related disciplines, as well as present avenues for future (BPM) research to invigorate the academic discourse on the topic.</v>
      </c>
      <c r="O33" s="13" t="s">
        <v>269</v>
      </c>
      <c r="P33" s="9" t="s">
        <v>270</v>
      </c>
      <c r="Q33" s="9"/>
      <c r="R33" s="9"/>
      <c r="S33" s="12"/>
      <c r="T33" s="9"/>
      <c r="U33" s="9"/>
      <c r="V33" s="6"/>
      <c r="W33" s="6"/>
      <c r="X33" s="6"/>
      <c r="Y33" s="6"/>
      <c r="Z33" s="6"/>
      <c r="AA33" s="6"/>
      <c r="AB33" s="6"/>
      <c r="AC33" s="6"/>
      <c r="AD33" s="6"/>
      <c r="AE33" s="6"/>
    </row>
    <row r="34">
      <c r="A34" s="2" t="s">
        <v>18</v>
      </c>
      <c r="B34" s="2" t="s">
        <v>271</v>
      </c>
      <c r="C34" s="2" t="s">
        <v>18</v>
      </c>
      <c r="D34" s="8" t="s">
        <v>272</v>
      </c>
      <c r="E34" s="14"/>
      <c r="F34" s="2" t="s">
        <v>18</v>
      </c>
      <c r="G34" s="9" t="s">
        <v>273</v>
      </c>
      <c r="H34" s="9">
        <v>2021.0</v>
      </c>
      <c r="I34" s="9" t="s">
        <v>23</v>
      </c>
      <c r="J34" s="9" t="s">
        <v>274</v>
      </c>
      <c r="K34" s="10" t="s">
        <v>275</v>
      </c>
      <c r="L34" s="12"/>
      <c r="M34" s="9" t="str">
        <f t="shared" si="1"/>
        <v>title: Robotic process automation in banking industry: a case study on Deutsche Bank</v>
      </c>
      <c r="N34" s="9" t="str">
        <f t="shared" si="2"/>
        <v>Abstract: Abstract
Robotic process automation (RPA) is a software robot technology designed to execute rules-based business processes by mimicking human interactions across multiple applications. As a virtual workforce, this software application has proven valuable to organizations looking to automate repetitive, low-added-value work. The combination of RPA and Artificial Intelligence (AI) is called CRPA (Cognitive Robotic Process Automation) or IPA (Intelligent Process Automation) and has led to the next generation of RPA bots. It has been transforming the banking industry by making the core financial operations exponentially more efficient and allowing banks to tailor services to customers while at the same time improving safety and security. Although intelligent automation is enabling banks to redefine how they work, it has also raised challenges regarding protection of both consumer interests and the stability of the financial system. This article presents a case study on Deutsche Bank’s successful implementation of intelligent automation and also discusses the ethical responsibilities and challenges related to automation and employment. We demonstrate how Deutsche Bank successfully automated Adverse Media Screening (AMS), accelerating compliance, increasing adverse media search coverage and drastically reducing false positives. This research contributes to the academic literature on the topic of banking intelligent automation and provides insight into implementation and development.</v>
      </c>
      <c r="O34" s="11" t="s">
        <v>276</v>
      </c>
      <c r="P34" s="9" t="s">
        <v>277</v>
      </c>
      <c r="Q34" s="9"/>
      <c r="R34" s="9"/>
      <c r="S34" s="12"/>
      <c r="T34" s="9"/>
      <c r="U34" s="9"/>
      <c r="V34" s="6"/>
      <c r="W34" s="6"/>
      <c r="X34" s="6"/>
      <c r="Y34" s="6"/>
      <c r="Z34" s="6"/>
      <c r="AA34" s="6"/>
      <c r="AB34" s="6"/>
      <c r="AC34" s="6"/>
      <c r="AD34" s="6"/>
      <c r="AE34" s="6"/>
    </row>
    <row r="35">
      <c r="A35" s="2" t="s">
        <v>18</v>
      </c>
      <c r="B35" s="2" t="s">
        <v>278</v>
      </c>
      <c r="C35" s="2" t="s">
        <v>18</v>
      </c>
      <c r="D35" s="8" t="s">
        <v>279</v>
      </c>
      <c r="E35" s="14"/>
      <c r="F35" s="2" t="s">
        <v>18</v>
      </c>
      <c r="G35" s="9" t="s">
        <v>280</v>
      </c>
      <c r="H35" s="9">
        <v>2021.0</v>
      </c>
      <c r="I35" s="9" t="s">
        <v>23</v>
      </c>
      <c r="J35" s="9" t="s">
        <v>281</v>
      </c>
      <c r="K35" s="10" t="s">
        <v>282</v>
      </c>
      <c r="L35" s="9" t="s">
        <v>283</v>
      </c>
      <c r="M35" s="9" t="str">
        <f t="shared" si="1"/>
        <v>title: A Five-Level Framework for Research on Process Mining</v>
      </c>
      <c r="N35" s="9" t="str">
        <f t="shared" si="2"/>
        <v>Abstract: [without abstract]</v>
      </c>
      <c r="O35" s="11" t="s">
        <v>64</v>
      </c>
      <c r="P35" s="9" t="s">
        <v>284</v>
      </c>
      <c r="Q35" s="9"/>
      <c r="R35" s="9"/>
      <c r="S35" s="12"/>
      <c r="T35" s="9"/>
      <c r="U35" s="9"/>
      <c r="V35" s="6"/>
      <c r="W35" s="6"/>
      <c r="X35" s="6"/>
      <c r="Y35" s="6"/>
      <c r="Z35" s="6"/>
      <c r="AA35" s="6"/>
      <c r="AB35" s="6"/>
      <c r="AC35" s="6"/>
      <c r="AD35" s="6"/>
      <c r="AE35" s="6"/>
    </row>
    <row r="36">
      <c r="A36" s="2" t="s">
        <v>18</v>
      </c>
      <c r="B36" s="2" t="s">
        <v>285</v>
      </c>
      <c r="C36" s="2" t="s">
        <v>18</v>
      </c>
      <c r="D36" s="8" t="s">
        <v>286</v>
      </c>
      <c r="E36" s="2"/>
      <c r="F36" s="2" t="s">
        <v>18</v>
      </c>
      <c r="G36" s="9" t="s">
        <v>287</v>
      </c>
      <c r="H36" s="9">
        <v>2025.0</v>
      </c>
      <c r="I36" s="9" t="s">
        <v>23</v>
      </c>
      <c r="J36" s="9" t="s">
        <v>288</v>
      </c>
      <c r="K36" s="10" t="s">
        <v>289</v>
      </c>
      <c r="L36" s="12"/>
      <c r="M36" s="9" t="str">
        <f t="shared" si="1"/>
        <v>title: OR based multi-objective decision-making in e-commerce improvement</v>
      </c>
      <c r="N36" s="9" t="str">
        <f t="shared" si="2"/>
        <v>Abstract: Abstract
The inefficiencies and high costs of traditional business process redesign techniques, which frequently rely on manual optimization and lack systematic approaches, are discussed in this study. Our suggestion to address these issues is a computational fuzzy model that combines multi-objective decision-making methods with operational research. This model analyses corporate goals, resources, and limitations in an organized manner to improve the efficacy of business redesign. Our approach makes finding the best redesign tactics easier while considering various goals and trade-offs. Test results show that the suggested methodology delivers an astounding 98.62% average accuracy in redesign results. Its efficiency is further demonstrated by the fact that the average time needed for the redesign process is reduced to 11.55 s, and related expenditures are kept to a minimum. The results show that using the computational fuzzy model makes decision-making more accessible and generally raises the standard of business operations. This model offers a valuable tool for businesses looking to improve operational effectiveness and save expenses in fast-paced e-commerce by providing an organized approach to company redesign. The outcomes show how sophisticated decision-making frameworks may be integrated into business process management to enable more efficient and flexible organizational procedures.</v>
      </c>
      <c r="O36" s="11" t="s">
        <v>290</v>
      </c>
      <c r="P36" s="9" t="s">
        <v>291</v>
      </c>
      <c r="Q36" s="9"/>
      <c r="R36" s="9"/>
      <c r="S36" s="12"/>
      <c r="T36" s="9"/>
      <c r="U36" s="9"/>
      <c r="V36" s="6"/>
      <c r="W36" s="6"/>
      <c r="X36" s="6"/>
      <c r="Y36" s="6"/>
      <c r="Z36" s="6"/>
      <c r="AA36" s="6"/>
      <c r="AB36" s="6"/>
      <c r="AC36" s="6"/>
      <c r="AD36" s="6"/>
      <c r="AE36" s="6"/>
    </row>
    <row r="37">
      <c r="A37" s="2" t="s">
        <v>18</v>
      </c>
      <c r="B37" s="2" t="s">
        <v>292</v>
      </c>
      <c r="C37" s="2" t="s">
        <v>18</v>
      </c>
      <c r="D37" s="8" t="s">
        <v>293</v>
      </c>
      <c r="E37" s="14"/>
      <c r="F37" s="2" t="s">
        <v>18</v>
      </c>
      <c r="G37" s="9" t="s">
        <v>294</v>
      </c>
      <c r="H37" s="9">
        <v>2024.0</v>
      </c>
      <c r="I37" s="9" t="s">
        <v>23</v>
      </c>
      <c r="J37" s="9" t="s">
        <v>295</v>
      </c>
      <c r="K37" s="10" t="s">
        <v>296</v>
      </c>
      <c r="L37" s="9">
        <v>51.0</v>
      </c>
      <c r="M37" s="9" t="str">
        <f t="shared" si="1"/>
        <v>title: Modeling inter-organizational business process governance in the age of collaborative networks</v>
      </c>
      <c r="N37" s="9" t="str">
        <f t="shared" si="2"/>
        <v>Abstract: Abstract  Collaborative networks require inter-organizational business process governance (IO-BPG) mechanisms to define ownership over shared resources and activities, accountability over operations, inter-organizational roles and responsibilities, and strategic partner alignment. We developed an IO-BPG modeling approach aiming to incorporate (1) IT governance activities (e.g., IT performance measurement), (2) data governance activities (e.g., data strategy management), and (3) “shadow” parallel governance-related operations. Resulting from a design science research project, our contributions include the building blocks (domain attributes, ontology, and requirements) of a novel BPMN extension, its demonstration in logistics operations, its evaluation, and design principles to guide IO-BPG modeling. Suggestions for the development and evaluation of future BPMN extensions are also highlighted based on the lessons learned in this project. For practitioners, our contribution can improve accountability reports over data assets and operations, identify dataset ownership, assist in the coordination of governance activities in networked businesses, and comply with regulations and strategic partnership agreements.</v>
      </c>
      <c r="O37" s="13" t="s">
        <v>297</v>
      </c>
      <c r="P37" s="9" t="s">
        <v>298</v>
      </c>
      <c r="Q37" s="9"/>
      <c r="R37" s="9"/>
      <c r="S37" s="12"/>
      <c r="T37" s="9"/>
      <c r="U37" s="9"/>
      <c r="V37" s="6"/>
      <c r="W37" s="6"/>
      <c r="X37" s="6"/>
      <c r="Y37" s="6"/>
      <c r="Z37" s="6"/>
      <c r="AA37" s="6"/>
      <c r="AB37" s="6"/>
      <c r="AC37" s="6"/>
      <c r="AD37" s="6"/>
      <c r="AE37" s="6"/>
    </row>
    <row r="38">
      <c r="A38" s="2" t="s">
        <v>18</v>
      </c>
      <c r="B38" s="2" t="s">
        <v>299</v>
      </c>
      <c r="C38" s="2" t="s">
        <v>18</v>
      </c>
      <c r="D38" s="8" t="s">
        <v>300</v>
      </c>
      <c r="E38" s="14"/>
      <c r="F38" s="2" t="s">
        <v>18</v>
      </c>
      <c r="G38" s="9" t="s">
        <v>301</v>
      </c>
      <c r="H38" s="9">
        <v>2024.0</v>
      </c>
      <c r="I38" s="9" t="s">
        <v>23</v>
      </c>
      <c r="J38" s="9" t="s">
        <v>302</v>
      </c>
      <c r="K38" s="10" t="s">
        <v>303</v>
      </c>
      <c r="L38" s="9" t="s">
        <v>304</v>
      </c>
      <c r="M38" s="9" t="str">
        <f t="shared" si="1"/>
        <v>title: Analysing cross-border logistics operations for performance improvement: development and validation of a reference model</v>
      </c>
      <c r="N38" s="9" t="str">
        <f t="shared" si="2"/>
        <v>Abstract: Abstract  The critical role played by cross-border logistics (CBL) systems in sustaining fast, efficient and responsive global supply chains is widely recognised. However, scholarly research focusing on CBL systems is limited, which means that theoretical frameworks and methodological approaches available for analysing and improving CBL operations are underdeveloped. As such, coordination among diverse stakeholders, meeting regulatory requirements, adapting to a rapidly evolving technological environment, and limited capacity for investing in high-value assets, all remain ongoing challenges hindering the smooth and swift flow of cargo across borders. With a view to addressing these challenges and research gaps, this paper develops a reference model for analysing and improving CBL-specific processes. Seven underlying process dimensions have been identified following a rigorous methodological approach for the modelling, analysis and improvement of CBL operations. The efficacy of the reference model is demonstrated using two purposive case applications. The reference model also helps identify potential technological interventions to improve operations and benchmark CBL systems, operations and processes.</v>
      </c>
      <c r="O38" s="13" t="s">
        <v>305</v>
      </c>
      <c r="P38" s="9" t="s">
        <v>306</v>
      </c>
      <c r="Q38" s="15"/>
      <c r="R38" s="9"/>
      <c r="S38" s="12"/>
      <c r="T38" s="9"/>
      <c r="U38" s="9"/>
      <c r="V38" s="6"/>
      <c r="W38" s="6"/>
      <c r="X38" s="6"/>
      <c r="Y38" s="6"/>
      <c r="Z38" s="6"/>
      <c r="AA38" s="6"/>
      <c r="AB38" s="6"/>
      <c r="AC38" s="6"/>
      <c r="AD38" s="6"/>
      <c r="AE38" s="6"/>
    </row>
    <row r="39">
      <c r="A39" s="2" t="s">
        <v>18</v>
      </c>
      <c r="B39" s="2" t="s">
        <v>307</v>
      </c>
      <c r="C39" s="2" t="s">
        <v>18</v>
      </c>
      <c r="D39" s="8" t="s">
        <v>308</v>
      </c>
      <c r="E39" s="14"/>
      <c r="F39" s="2" t="s">
        <v>18</v>
      </c>
      <c r="G39" s="9" t="s">
        <v>309</v>
      </c>
      <c r="H39" s="9">
        <v>2025.0</v>
      </c>
      <c r="I39" s="9" t="s">
        <v>23</v>
      </c>
      <c r="J39" s="9" t="s">
        <v>310</v>
      </c>
      <c r="K39" s="10" t="s">
        <v>311</v>
      </c>
      <c r="L39" s="9" t="s">
        <v>312</v>
      </c>
      <c r="M39" s="9" t="str">
        <f t="shared" si="1"/>
        <v>title: A comparative analysis of predictive process monitoring: object-centric versus classical event logs</v>
      </c>
      <c r="N39" s="9" t="str">
        <f t="shared" si="2"/>
        <v>Abstract: Abstract  Predictive Process Monitoring (PPM) techniques are emerging as part of the more general research scenario of Process Mining (PM). They play a crucial role in the continuously evolving process of digital transformation by constantly supporting the organizational decision-making processes providing (accurate) predictions on the future behavior of processes. The state of the art of PPM application methodologies is mainly focused on Single ID Event Logs, commonly known as Traditional Event Logs or Classical Event Logs. As a matter of fact, the importance of Object-Centric Event Logs (OCEL) is being increasingly recognized as many emerging PPM approaches benefited of the usage of OCEL by obtaining a significative increase of the prediction accuracy. This survey aims to explore the current proposals in the context of OCEL-based PPM approaches. More in detail, we contribute to the state of the art by adding new classification features by differentiating between the approaches based on the input Event Log (Traditional or OCEL). We also analyzed the existing literature considering the prediction task addressed, the methodology used, the specific contribution area they addressed and the application domain.</v>
      </c>
      <c r="O39" s="13" t="s">
        <v>313</v>
      </c>
      <c r="P39" s="9" t="s">
        <v>314</v>
      </c>
      <c r="Q39" s="15"/>
      <c r="R39" s="9"/>
      <c r="S39" s="12"/>
      <c r="T39" s="9"/>
      <c r="U39" s="9"/>
      <c r="V39" s="6"/>
      <c r="W39" s="6"/>
      <c r="X39" s="6"/>
      <c r="Y39" s="6"/>
      <c r="Z39" s="6"/>
      <c r="AA39" s="6"/>
      <c r="AB39" s="6"/>
      <c r="AC39" s="6"/>
      <c r="AD39" s="6"/>
      <c r="AE39" s="6"/>
    </row>
    <row r="40">
      <c r="A40" s="2" t="s">
        <v>20</v>
      </c>
      <c r="B40" s="2" t="s">
        <v>315</v>
      </c>
      <c r="C40" s="2" t="s">
        <v>18</v>
      </c>
      <c r="D40" s="8" t="s">
        <v>316</v>
      </c>
      <c r="E40" s="2"/>
      <c r="F40" s="2" t="s">
        <v>20</v>
      </c>
      <c r="G40" s="9" t="s">
        <v>317</v>
      </c>
      <c r="H40" s="9">
        <v>2022.0</v>
      </c>
      <c r="I40" s="9" t="s">
        <v>23</v>
      </c>
      <c r="J40" s="9" t="s">
        <v>318</v>
      </c>
      <c r="K40" s="10" t="s">
        <v>319</v>
      </c>
      <c r="L40" s="9" t="s">
        <v>320</v>
      </c>
      <c r="M40" s="9" t="str">
        <f t="shared" si="1"/>
        <v>title: The Five Diamond Method for Explorative Business Process Management</v>
      </c>
      <c r="N40" s="9" t="str">
        <f t="shared" si="2"/>
        <v>Abstract: Abstract  Explorative business process management (BPM) is attracting increasing interest in the literature and professional practice. Organizations have recognized that a focus on operational efficiency is no longer sufficient when disruptive forces can make the value proposition of entire processes obsolete. So far, however, research on how to create entirely new processes has remained largely conceptual, leaving it open how explorative BPM can be put into practice. Following the design science research paradigm and situational method engineering, we address this research gap by proposing a method called the Five Diamond Method. This method guides explorative BPM activities by supporting organizations in identifying opportunities from business and technology trends and integrating them into business processes with novel value propositions. The method is evaluated against literature-backed design objectives and competing artifacts, qualitative data gathered from BPM practitioners, as well as a pilot study and two real-world applications. This research provides two contributions. First, the Five Diamond Method broadens the scope of BPM by integrating prescriptive knowledge from innovation management. Second, the method supports capturing emerging opportunities arising from changing customer needs and digital technologies.</v>
      </c>
      <c r="O40" s="13" t="s">
        <v>321</v>
      </c>
      <c r="P40" s="9" t="s">
        <v>322</v>
      </c>
      <c r="Q40" s="9"/>
      <c r="R40" s="9"/>
      <c r="S40" s="12"/>
      <c r="T40" s="9"/>
      <c r="U40" s="9"/>
      <c r="V40" s="6"/>
      <c r="W40" s="6"/>
      <c r="X40" s="6"/>
      <c r="Y40" s="6"/>
      <c r="Z40" s="6"/>
      <c r="AA40" s="6"/>
      <c r="AB40" s="6"/>
      <c r="AC40" s="6"/>
      <c r="AD40" s="6"/>
      <c r="AE40" s="6"/>
    </row>
    <row r="41">
      <c r="A41" s="2" t="s">
        <v>18</v>
      </c>
      <c r="B41" s="2" t="s">
        <v>323</v>
      </c>
      <c r="C41" s="2" t="s">
        <v>18</v>
      </c>
      <c r="D41" s="8" t="s">
        <v>324</v>
      </c>
      <c r="E41" s="2"/>
      <c r="F41" s="2" t="s">
        <v>18</v>
      </c>
      <c r="G41" s="9" t="s">
        <v>325</v>
      </c>
      <c r="H41" s="9">
        <v>2021.0</v>
      </c>
      <c r="I41" s="9" t="s">
        <v>23</v>
      </c>
      <c r="J41" s="9" t="s">
        <v>326</v>
      </c>
      <c r="K41" s="10" t="s">
        <v>327</v>
      </c>
      <c r="L41" s="9" t="s">
        <v>328</v>
      </c>
      <c r="M41" s="9" t="str">
        <f t="shared" si="1"/>
        <v>title: Project Management for Supply Chains 4.0: A conceptual framework proposal based on PMBOK methodology</v>
      </c>
      <c r="N41" s="9" t="str">
        <f t="shared" si="2"/>
        <v>Abstract: Abstract
This paper aims to present a conceptual framework for Project Management on supply chains in the context of the Fourth Industrial Revolution (Supply Chains 4.0), taking into consideration the gap that exists regarding this subject in the literature. An analysis of the literature, evidencing this gap has been conducted using the Web of Science and Google Scholar databases as well as the VOSviewer software for a deeper analysis. Although 39 related articles were identified, they are not specifically linked to the subject of Project Management methodology. Considering this significant gap, a conceptual framework has been proposed by combining some constructs of Supply Chain 4.0 with the ten knowledge areas of the PMBOK - Project Management Body of Knowledge framework. This conceptual framework is herein named Supply Chain Project Management 4.0 – SCPM 4.0. Although this conceptual framework is not based on empirical research, it brings a relevant contribution to both researchers and practitioners, since it is a unique approach concerning Project Management for supply chains in the Industry 4.0 age. Future empirical studies are needed to validate and improve the conceptual framework herein presented. This paper is novel, considering that it addresses a significant knowledge gap linked to Project Management for supply chains in the context of Industry 4.0. Moreover, it brings practical guidance for practitioners involved in programs and projects of Industry 4.0’s initiatives in supply chains. Notwithstanding, this article helps researchers on the deployments of future researches regarding Project Management in the Industry and Supply Chain 4.0 areas.</v>
      </c>
      <c r="O41" s="11" t="s">
        <v>329</v>
      </c>
      <c r="P41" s="9" t="s">
        <v>330</v>
      </c>
      <c r="Q41" s="9"/>
      <c r="R41" s="9"/>
      <c r="S41" s="12"/>
      <c r="T41" s="9"/>
      <c r="U41" s="9"/>
      <c r="V41" s="6"/>
      <c r="W41" s="6"/>
      <c r="X41" s="6"/>
      <c r="Y41" s="6"/>
      <c r="Z41" s="6"/>
      <c r="AA41" s="6"/>
      <c r="AB41" s="6"/>
      <c r="AC41" s="6"/>
      <c r="AD41" s="6"/>
      <c r="AE41" s="6"/>
    </row>
    <row r="42">
      <c r="A42" s="2" t="s">
        <v>18</v>
      </c>
      <c r="B42" s="2" t="s">
        <v>331</v>
      </c>
      <c r="C42" s="2" t="s">
        <v>18</v>
      </c>
      <c r="D42" s="8" t="s">
        <v>332</v>
      </c>
      <c r="E42" s="14"/>
      <c r="F42" s="2" t="s">
        <v>18</v>
      </c>
      <c r="G42" s="9" t="s">
        <v>333</v>
      </c>
      <c r="H42" s="9">
        <v>2025.0</v>
      </c>
      <c r="I42" s="9" t="s">
        <v>23</v>
      </c>
      <c r="J42" s="9" t="s">
        <v>334</v>
      </c>
      <c r="K42" s="10" t="s">
        <v>335</v>
      </c>
      <c r="L42" s="9">
        <v>148.0</v>
      </c>
      <c r="M42" s="9" t="str">
        <f t="shared" si="1"/>
        <v>title: The mediating role of education and training in linking process management and product-service design</v>
      </c>
      <c r="N42" s="9" t="str">
        <f t="shared" si="2"/>
        <v>Abstract: Abstract
This study examines the relationship between process management and product-service design, focusing particularly on the mediating role of education and training. A quantitative approach was used to collect data from 154 TAZARA management respondents, which was then analyzed using Jamovi software. The results suggest that process management significantly impacts product-service design directly and indirectly through education and training. These findings contribute to theoretical perspectives by emphasizing the importance of structured learning in improving product-service design outcomes. The study extends human capital theory and dynamic capability perspectives. Practical insights suggest that organizations should integrate process management with continuous skill development to maintain a competitive advantage. Additionally, the study underscores the need for organizations to invest in employee training to optimize PM strategies and drive innovation. Future research could explore additional mediators or moderators, such as organizational culture or technological advances, to further refine the model.</v>
      </c>
      <c r="O42" s="11" t="s">
        <v>336</v>
      </c>
      <c r="P42" s="9" t="s">
        <v>337</v>
      </c>
      <c r="Q42" s="9"/>
      <c r="R42" s="9"/>
      <c r="S42" s="12"/>
      <c r="T42" s="9"/>
      <c r="U42" s="9"/>
      <c r="V42" s="6"/>
      <c r="W42" s="6"/>
      <c r="X42" s="6"/>
      <c r="Y42" s="6"/>
      <c r="Z42" s="6"/>
      <c r="AA42" s="6"/>
      <c r="AB42" s="6"/>
      <c r="AC42" s="6"/>
      <c r="AD42" s="6"/>
      <c r="AE42" s="6"/>
    </row>
    <row r="43">
      <c r="A43" s="2" t="s">
        <v>18</v>
      </c>
      <c r="B43" s="2" t="s">
        <v>338</v>
      </c>
      <c r="C43" s="2" t="s">
        <v>18</v>
      </c>
      <c r="D43" s="8" t="s">
        <v>339</v>
      </c>
      <c r="E43" s="14"/>
      <c r="F43" s="2" t="s">
        <v>18</v>
      </c>
      <c r="G43" s="9" t="s">
        <v>340</v>
      </c>
      <c r="H43" s="9">
        <v>2022.0</v>
      </c>
      <c r="I43" s="9" t="s">
        <v>23</v>
      </c>
      <c r="J43" s="9" t="s">
        <v>341</v>
      </c>
      <c r="K43" s="10" t="s">
        <v>342</v>
      </c>
      <c r="L43" s="9" t="s">
        <v>343</v>
      </c>
      <c r="M43" s="9" t="str">
        <f t="shared" si="1"/>
        <v>title: Business Process Management Culture in Public Administration and Its Determinants</v>
      </c>
      <c r="N43" s="9" t="str">
        <f t="shared" si="2"/>
        <v>Abstract: Abstract  Public administration institutions increasingly use business process management (BPM) to innovate internal operations, increase process performance and improve their services. Research on private sector companies has shown that organizational culture may impact an organization's BPM and this culture is often referred to as BPM culture. However, similar research on public administration is yet missing. Thus, this article assesses BPM culture in Germany’s municipal administration. 733 online survey responses were gathered and analyzed using MANOVA and follow-up discriminant analyses to identify possible determinants of public administration’s BPM culture. The results indicate that the employees’ professional experience and their responsibility influence the assessment of BPM culture, as does the size of a municipality. Based on these findings, the article proposes testable relationships and an agenda for further research on BPM culture in public administration.</v>
      </c>
      <c r="O43" s="13" t="s">
        <v>344</v>
      </c>
      <c r="P43" s="9" t="s">
        <v>345</v>
      </c>
      <c r="Q43" s="15"/>
      <c r="R43" s="9"/>
      <c r="S43" s="12"/>
      <c r="T43" s="9"/>
      <c r="U43" s="9"/>
      <c r="V43" s="6"/>
      <c r="W43" s="6"/>
      <c r="X43" s="6"/>
      <c r="Y43" s="6"/>
      <c r="Z43" s="6"/>
      <c r="AA43" s="6"/>
      <c r="AB43" s="6"/>
      <c r="AC43" s="6"/>
      <c r="AD43" s="6"/>
      <c r="AE43" s="6"/>
    </row>
    <row r="44">
      <c r="A44" s="2" t="s">
        <v>18</v>
      </c>
      <c r="B44" s="2" t="s">
        <v>346</v>
      </c>
      <c r="C44" s="2" t="s">
        <v>18</v>
      </c>
      <c r="D44" s="8" t="s">
        <v>347</v>
      </c>
      <c r="E44" s="2"/>
      <c r="F44" s="2" t="s">
        <v>18</v>
      </c>
      <c r="G44" s="9" t="s">
        <v>348</v>
      </c>
      <c r="H44" s="9">
        <v>2024.0</v>
      </c>
      <c r="I44" s="9" t="s">
        <v>23</v>
      </c>
      <c r="J44" s="9" t="s">
        <v>349</v>
      </c>
      <c r="K44" s="10" t="s">
        <v>350</v>
      </c>
      <c r="L44" s="9" t="s">
        <v>351</v>
      </c>
      <c r="M44" s="9" t="str">
        <f t="shared" si="1"/>
        <v>title: Managing Dynamics in and Around Business Processes</v>
      </c>
      <c r="N44" s="9" t="str">
        <f t="shared" si="2"/>
        <v>Abstract: [without abstract]</v>
      </c>
      <c r="O44" s="11" t="s">
        <v>64</v>
      </c>
      <c r="P44" s="9" t="s">
        <v>352</v>
      </c>
      <c r="Q44" s="9"/>
      <c r="R44" s="9"/>
      <c r="S44" s="12"/>
      <c r="T44" s="9"/>
      <c r="U44" s="9"/>
      <c r="V44" s="6"/>
      <c r="W44" s="6"/>
      <c r="X44" s="6"/>
      <c r="Y44" s="6"/>
      <c r="Z44" s="6"/>
      <c r="AA44" s="6"/>
      <c r="AB44" s="6"/>
      <c r="AC44" s="6"/>
      <c r="AD44" s="6"/>
      <c r="AE44" s="6"/>
    </row>
    <row r="45">
      <c r="A45" s="2" t="s">
        <v>20</v>
      </c>
      <c r="B45" s="2" t="s">
        <v>353</v>
      </c>
      <c r="C45" s="2" t="s">
        <v>18</v>
      </c>
      <c r="D45" s="8" t="s">
        <v>354</v>
      </c>
      <c r="E45" s="2"/>
      <c r="F45" s="2" t="s">
        <v>20</v>
      </c>
      <c r="G45" s="9" t="s">
        <v>355</v>
      </c>
      <c r="H45" s="9">
        <v>2026.0</v>
      </c>
      <c r="I45" s="9" t="s">
        <v>23</v>
      </c>
      <c r="J45" s="9" t="s">
        <v>356</v>
      </c>
      <c r="K45" s="10" t="s">
        <v>357</v>
      </c>
      <c r="L45" s="9">
        <v>1.0</v>
      </c>
      <c r="M45" s="9" t="str">
        <f t="shared" si="1"/>
        <v>title: Process Improvement Copilot: bridging the gap between process inefficiencies and process improvement ideas</v>
      </c>
      <c r="N45" s="9" t="str">
        <f t="shared" si="2"/>
        <v>Abstract: Abstract
Business process improvement (BPI) is a crucial value-adding stage of business process management, as it introduces process changes to eliminate flaws and enhance performance. However, the inherent demands of BPI on domain knowledge, process expertise, time, and creativity in conjunction with a scarcity of adequate computational support, hinder organizations from fully leveraging BPI. Recognizing this gap, recent research calls for all types of contributions to process improvement and innovation systems (PIISs), from design knowledge to software artifacts. Leveraging the latest developments in generative artificial intelligence, increased availability of process execution data, and extensive collections of BPI knowledge, we propose a new technical approach to supporting the generation of process improvement ideas in BPI initiatives. To this end, we develop the Process Improvement Copilot – a retrieval-augmented generation (RAG)-enhanced PIIS that generates context-specific process improvement ideas and provides related justification, thereby facilitating their further evaluation and implementation. This research contributes a novel technical approach to automated BPI by exploring a RAG-based use case, designing a corresponding system architecture, developing a software prototype to demonstrate its technical feasibility, and evaluating the Process Improvement Copilot’s usefulness in a naturalistic workshop setting.</v>
      </c>
      <c r="O45" s="11" t="s">
        <v>358</v>
      </c>
      <c r="P45" s="9" t="s">
        <v>359</v>
      </c>
      <c r="Q45" s="9"/>
      <c r="R45" s="9"/>
      <c r="S45" s="12"/>
      <c r="T45" s="9"/>
      <c r="U45" s="9"/>
      <c r="V45" s="6"/>
      <c r="W45" s="6"/>
      <c r="X45" s="6"/>
      <c r="Y45" s="6"/>
      <c r="Z45" s="6"/>
      <c r="AA45" s="6"/>
      <c r="AB45" s="6"/>
      <c r="AC45" s="6"/>
      <c r="AD45" s="6"/>
      <c r="AE45" s="6"/>
    </row>
    <row r="46">
      <c r="A46" s="2" t="s">
        <v>18</v>
      </c>
      <c r="B46" s="2" t="s">
        <v>360</v>
      </c>
      <c r="C46" s="2" t="s">
        <v>18</v>
      </c>
      <c r="D46" s="8" t="s">
        <v>361</v>
      </c>
      <c r="E46" s="14"/>
      <c r="F46" s="2" t="s">
        <v>18</v>
      </c>
      <c r="G46" s="9" t="s">
        <v>362</v>
      </c>
      <c r="H46" s="9">
        <v>2025.0</v>
      </c>
      <c r="I46" s="9" t="s">
        <v>23</v>
      </c>
      <c r="J46" s="9" t="s">
        <v>363</v>
      </c>
      <c r="K46" s="10" t="s">
        <v>364</v>
      </c>
      <c r="L46" s="9">
        <v>48.0</v>
      </c>
      <c r="M46" s="9" t="str">
        <f t="shared" si="1"/>
        <v>title: An empirical study of business process models and model clones on GitHub</v>
      </c>
      <c r="N46" s="9" t="str">
        <f t="shared" si="2"/>
        <v>Abstract: Abstract
Business process management entails a multi-billion-dollar industry that is founded on modeling business processes to analyze, understand, improve, and automate them. Business processes consist of a set of interconnected activities that an organization follows to achieve its goals and objectives. While the existence of business process models in open source has been reported in the literature, there is little work in characterizing their landscape. This paper presents the first characterization of business process models in open source, particularly on GitHub. The landscape is formed by 25,866 business process models across 4,954 repositories, with 16% of the repositories belonging to organizations. We discover that models belong to at least 16 domains including traditional software, machine learning, sales, business services, and financial services. These models are created using at least 28 different tools. Our exploration into cloning among the models shows that about 90% of all models are clones of each other. Application domains such as machine learning, traditional software, and business services demonstrate a higher occurrence of clones while in another dimension, clones are found across more repositories owned by industry as compared to those owned by academia. Also, contrary to code clones, we find that the majority of process model cloning occurs across multiple repositories. While our study acts as a precursor for future efforts to develop effective modeling practices in the field of business processes, it also emphasizes the need to address cloning and its implications in the context of reuse, maintenance, and modeling approaches.
</v>
      </c>
      <c r="O46" s="11" t="s">
        <v>365</v>
      </c>
      <c r="P46" s="9" t="s">
        <v>366</v>
      </c>
      <c r="Q46" s="9"/>
      <c r="R46" s="9"/>
      <c r="S46" s="12"/>
      <c r="T46" s="9"/>
      <c r="U46" s="9"/>
      <c r="V46" s="6"/>
      <c r="W46" s="6"/>
      <c r="X46" s="6"/>
      <c r="Y46" s="6"/>
      <c r="Z46" s="6"/>
      <c r="AA46" s="6"/>
      <c r="AB46" s="6"/>
      <c r="AC46" s="6"/>
      <c r="AD46" s="6"/>
      <c r="AE46" s="6"/>
    </row>
    <row r="47">
      <c r="A47" s="2" t="s">
        <v>18</v>
      </c>
      <c r="B47" s="2" t="s">
        <v>367</v>
      </c>
      <c r="C47" s="2" t="s">
        <v>18</v>
      </c>
      <c r="D47" s="8" t="s">
        <v>368</v>
      </c>
      <c r="E47" s="14"/>
      <c r="F47" s="2" t="s">
        <v>18</v>
      </c>
      <c r="G47" s="9" t="s">
        <v>369</v>
      </c>
      <c r="H47" s="9">
        <v>2024.0</v>
      </c>
      <c r="I47" s="9" t="s">
        <v>23</v>
      </c>
      <c r="J47" s="9" t="s">
        <v>370</v>
      </c>
      <c r="K47" s="10" t="s">
        <v>371</v>
      </c>
      <c r="L47" s="9" t="s">
        <v>372</v>
      </c>
      <c r="M47" s="9" t="str">
        <f t="shared" si="1"/>
        <v>title: Analyzing Healthcare Processes with Incremental Process Discovery: Practical Insights from a Real-World Application</v>
      </c>
      <c r="N47" s="9" t="str">
        <f t="shared" si="2"/>
        <v>Abstract: Abstract  Most process mining techniques are primarily automated, meaning that process analysts input information and receive output. As a result, process mining techniques function like black boxes with limited interaction options for analysts, such as simple sliders for filtering infrequent behavior. Recent research tries to break these black boxes by allowing process analysts to provide domain knowledge and guidance to process mining techniques, i.e., hybrid intelligence. Especially, in process discovery—a critical type of process mining—interactive approaches emerged. However, little research has investigated the practical application of such interactive approaches. This paper presents a case study focusing on using incremental and interactive process discovery techniques in the healthcare domain. Though healthcare presents unique challenges, such as high process execution variability and poor data quality, our case study demonstrates that an interactive process mining approach can effectively address these challenges.  Graphical Abstract</v>
      </c>
      <c r="O47" s="13" t="s">
        <v>373</v>
      </c>
      <c r="P47" s="9" t="s">
        <v>374</v>
      </c>
      <c r="Q47" s="15"/>
      <c r="R47" s="9"/>
      <c r="S47" s="12"/>
      <c r="T47" s="9"/>
      <c r="U47" s="9"/>
      <c r="V47" s="6"/>
      <c r="W47" s="6"/>
      <c r="X47" s="6"/>
      <c r="Y47" s="6"/>
      <c r="Z47" s="6"/>
      <c r="AA47" s="6"/>
      <c r="AB47" s="6"/>
      <c r="AC47" s="6"/>
      <c r="AD47" s="6"/>
      <c r="AE47" s="6"/>
    </row>
    <row r="48">
      <c r="A48" s="2" t="s">
        <v>18</v>
      </c>
      <c r="B48" s="2" t="s">
        <v>375</v>
      </c>
      <c r="C48" s="2" t="s">
        <v>18</v>
      </c>
      <c r="D48" s="8" t="s">
        <v>376</v>
      </c>
      <c r="E48" s="2"/>
      <c r="F48" s="2" t="s">
        <v>18</v>
      </c>
      <c r="G48" s="9" t="s">
        <v>377</v>
      </c>
      <c r="H48" s="9">
        <v>2023.0</v>
      </c>
      <c r="I48" s="9" t="s">
        <v>23</v>
      </c>
      <c r="J48" s="9" t="s">
        <v>378</v>
      </c>
      <c r="K48" s="10" t="s">
        <v>379</v>
      </c>
      <c r="L48" s="9" t="s">
        <v>380</v>
      </c>
      <c r="M48" s="9" t="str">
        <f t="shared" si="1"/>
        <v>title: Towards a lightweight framework for service management evaluation in SMEs</v>
      </c>
      <c r="N48" s="9" t="str">
        <f t="shared" si="2"/>
        <v>Abstract: Abstract  Small and Medium-sized Enterprises (SMEs) are currently immersed in Volatility, Uncertainty, Complexity and Ambiguity (VUCA) environments and need to adapt and innovate both their services and their management practices and processes. Unfortunately, models and standards for service management are focused on large organisations, therefore, their application in SMEs is expensive and, generally, unfeasible. In order to contribute to the sustained success and development of SMEs, this paper presents a framework for service management evaluation. The objective of this framework, which is based on international standards and the main models for service management, is to be a roadmap containing well-defined and formalised processes that helps SMEs to improve the quality of their customer services. The proposal is validated in this work by means of its application to a real case study.</v>
      </c>
      <c r="O48" s="13" t="s">
        <v>381</v>
      </c>
      <c r="P48" s="9" t="s">
        <v>382</v>
      </c>
      <c r="Q48" s="9"/>
      <c r="R48" s="9"/>
      <c r="S48" s="12"/>
      <c r="T48" s="9"/>
      <c r="U48" s="9"/>
      <c r="V48" s="6"/>
      <c r="W48" s="6"/>
      <c r="X48" s="6"/>
      <c r="Y48" s="6"/>
      <c r="Z48" s="6"/>
      <c r="AA48" s="6"/>
      <c r="AB48" s="6"/>
      <c r="AC48" s="6"/>
      <c r="AD48" s="6"/>
      <c r="AE48" s="6"/>
    </row>
    <row r="49">
      <c r="A49" s="2" t="s">
        <v>18</v>
      </c>
      <c r="B49" s="2" t="s">
        <v>383</v>
      </c>
      <c r="C49" s="2" t="s">
        <v>18</v>
      </c>
      <c r="D49" s="8" t="s">
        <v>384</v>
      </c>
      <c r="E49" s="2"/>
      <c r="F49" s="2" t="s">
        <v>18</v>
      </c>
      <c r="G49" s="9" t="s">
        <v>385</v>
      </c>
      <c r="H49" s="9">
        <v>2021.0</v>
      </c>
      <c r="I49" s="9" t="s">
        <v>23</v>
      </c>
      <c r="J49" s="9" t="s">
        <v>386</v>
      </c>
      <c r="K49" s="10" t="s">
        <v>387</v>
      </c>
      <c r="L49" s="9" t="s">
        <v>388</v>
      </c>
      <c r="M49" s="9" t="str">
        <f t="shared" si="1"/>
        <v>title: Context-Aware Business Process Management: Method Assessment and Selection</v>
      </c>
      <c r="N49" s="9" t="str">
        <f t="shared" si="2"/>
        <v>Abstract: Abstract  Context awareness is essential for successful business process management (BPM). So far, research has covered relevant BPM context factors and context-aware process design, but little is known about how to assess and select BPM methods in a context-aware manner. As BPM methods are involved in all stages of the BPM lifecycle, it is key to apply appropriate methods to efficiently use organizational resources. Following the design science paradigm, the study at hand addresses this gap by developing and evaluating the Context-Aware BPM Method Assessment and Selection (CAMAS) Method. This method assists method engineers in assessing in which contexts their BPM methods can be applied and method users in selecting appropriate BPM methods for given contexts. The findings of this study call for more context awareness in BPM method design and for a stronger focus on explorative BPM. They also provide insights into the status quo of existing BPM methods.</v>
      </c>
      <c r="O49" s="13" t="s">
        <v>389</v>
      </c>
      <c r="P49" s="9" t="s">
        <v>390</v>
      </c>
      <c r="Q49" s="9"/>
      <c r="R49" s="9"/>
      <c r="S49" s="12"/>
      <c r="T49" s="9"/>
      <c r="U49" s="9"/>
      <c r="V49" s="6"/>
      <c r="W49" s="6"/>
      <c r="X49" s="6"/>
      <c r="Y49" s="6"/>
      <c r="Z49" s="6"/>
      <c r="AA49" s="6"/>
      <c r="AB49" s="6"/>
      <c r="AC49" s="6"/>
      <c r="AD49" s="6"/>
      <c r="AE49" s="6"/>
    </row>
    <row r="50">
      <c r="A50" s="2" t="s">
        <v>18</v>
      </c>
      <c r="B50" s="2" t="s">
        <v>391</v>
      </c>
      <c r="C50" s="2" t="s">
        <v>18</v>
      </c>
      <c r="D50" s="8" t="s">
        <v>392</v>
      </c>
      <c r="E50" s="14"/>
      <c r="F50" s="2" t="s">
        <v>18</v>
      </c>
      <c r="G50" s="9" t="s">
        <v>393</v>
      </c>
      <c r="H50" s="9">
        <v>2022.0</v>
      </c>
      <c r="I50" s="9" t="s">
        <v>23</v>
      </c>
      <c r="J50" s="9" t="s">
        <v>394</v>
      </c>
      <c r="K50" s="10" t="s">
        <v>395</v>
      </c>
      <c r="L50" s="9">
        <v>23.0</v>
      </c>
      <c r="M50" s="9" t="str">
        <f t="shared" si="1"/>
        <v>title: BPM supported model generation by contemplating key elements of information security</v>
      </c>
      <c r="N50" s="9" t="str">
        <f t="shared" si="2"/>
        <v>Abstract: Abstract
Model-based software engineering has made great strides in developing new software that would outshine traditional methodology. Due to this, well-defined support has been provided for process modeling by the introduction of varieties of notations to develop the UML models. In addition to this, Business Process Modeling (BPM) is a pioneer in introducing process models with domain knowledge representation. Most of the software has similarities based on their operations, structures, validation, and so on. So, an automatic process involvement supports them in terms of cost and duration. This proposed secure Business Process Model will support the development phase and help incorporate the security code along with customer requirements. The proposed Secured Business Process (SecBP) system is an automation process to fine-tune the software engineering design process automatically. Security requirement incorporation requires an image to text and vice versa conversion at the early stages of the software design process. The security integration process is optimized by a decision learning algorithm. Hence the proposed system brings an output model as a domain-specific model with security mapping.
</v>
      </c>
      <c r="O50" s="11" t="s">
        <v>396</v>
      </c>
      <c r="P50" s="9" t="s">
        <v>397</v>
      </c>
      <c r="Q50" s="9"/>
      <c r="R50" s="9"/>
      <c r="S50" s="12"/>
      <c r="T50" s="9"/>
      <c r="U50" s="9"/>
      <c r="V50" s="6"/>
      <c r="W50" s="6"/>
      <c r="X50" s="6"/>
      <c r="Y50" s="6"/>
      <c r="Z50" s="6"/>
      <c r="AA50" s="6"/>
      <c r="AB50" s="6"/>
      <c r="AC50" s="6"/>
      <c r="AD50" s="6"/>
      <c r="AE50" s="6"/>
    </row>
    <row r="51">
      <c r="A51" s="2" t="s">
        <v>18</v>
      </c>
      <c r="B51" s="2" t="s">
        <v>398</v>
      </c>
      <c r="C51" s="2" t="s">
        <v>18</v>
      </c>
      <c r="D51" s="8" t="s">
        <v>399</v>
      </c>
      <c r="E51" s="14"/>
      <c r="F51" s="2" t="s">
        <v>18</v>
      </c>
      <c r="G51" s="9" t="s">
        <v>400</v>
      </c>
      <c r="H51" s="9">
        <v>2025.0</v>
      </c>
      <c r="I51" s="9" t="s">
        <v>23</v>
      </c>
      <c r="J51" s="9" t="s">
        <v>401</v>
      </c>
      <c r="K51" s="10" t="s">
        <v>402</v>
      </c>
      <c r="L51" s="9" t="s">
        <v>403</v>
      </c>
      <c r="M51" s="9" t="str">
        <f t="shared" si="1"/>
        <v>title: Development of a catalog and a description model for methods and digital tools in Manufacturing Change Management</v>
      </c>
      <c r="N51" s="9" t="str">
        <f t="shared" si="2"/>
        <v>Abstract: Abstract  Today’s manufacturing industry faces numerous complex challenges, requiring companies to continuously adapt to external influences like supply chain disruptions, energy shortages, and skilled-labor deficits. Addressing these challenges often necessitates Manufacturing Changes (MCs), managed systematically through Manufacturing Change Management (MCM). Despite MCM’s growing importance, studies reveal significant gaps in the methodical and digital support for MCM processes, leading to inefficient and ineffective MCs. To address this challenge, this paper focuses on developing a catalog of methods and digital tools (M&amp;DT) for MCM, structured with descriptive attributes to enhance the selection and application of M&amp;DT in response to specific MCs. The catalog was developed through a three-phase approach, with attributes derived from the literature, an online survey, and expert interviews. The catalog and the associated descriptive framework were tested in a first industrial use case. In conclusion, the catalog developed in this contribution aims to guide companies in selecting suitable M&amp;DT for specific use cases based on their individual requirements.</v>
      </c>
      <c r="O51" s="13" t="s">
        <v>404</v>
      </c>
      <c r="P51" s="9" t="s">
        <v>405</v>
      </c>
      <c r="Q51" s="15"/>
      <c r="R51" s="9"/>
      <c r="S51" s="12"/>
      <c r="T51" s="9"/>
      <c r="U51" s="9"/>
      <c r="V51" s="6"/>
      <c r="W51" s="6"/>
      <c r="X51" s="6"/>
      <c r="Y51" s="6"/>
      <c r="Z51" s="6"/>
      <c r="AA51" s="6"/>
      <c r="AB51" s="6"/>
      <c r="AC51" s="6"/>
      <c r="AD51" s="6"/>
      <c r="AE51" s="6"/>
    </row>
    <row r="52">
      <c r="A52" s="2" t="s">
        <v>18</v>
      </c>
      <c r="B52" s="2" t="s">
        <v>406</v>
      </c>
      <c r="C52" s="2" t="s">
        <v>18</v>
      </c>
      <c r="D52" s="8" t="s">
        <v>407</v>
      </c>
      <c r="E52" s="2"/>
      <c r="F52" s="2" t="s">
        <v>18</v>
      </c>
      <c r="G52" s="9" t="s">
        <v>408</v>
      </c>
      <c r="H52" s="9">
        <v>2021.0</v>
      </c>
      <c r="I52" s="9" t="s">
        <v>23</v>
      </c>
      <c r="J52" s="9" t="s">
        <v>409</v>
      </c>
      <c r="K52" s="10" t="s">
        <v>410</v>
      </c>
      <c r="L52" s="9" t="s">
        <v>411</v>
      </c>
      <c r="M52" s="9" t="str">
        <f t="shared" si="1"/>
        <v>title: Business process management heuristics in IT service management: a case study for incident management</v>
      </c>
      <c r="N52" s="9" t="str">
        <f t="shared" si="2"/>
        <v>Abstract: Abstract
This research aims to understand how Business process management (BPM) can be applied for the improvement of Information Technology service management (ITSM) processes. A case study is conducted for the improvement of the time performance of the incident management process, since it is pointed as a quick win for ITSM. The results obtained identified three best practices—activity automation, activity elimination and integral technology—as the best suited for the improvement of the time performance of the incident management process. Using a simulation tool for business processes, it was revealed that the employment of these best practices in the analysed incident management process eliminates the effort required in the 1st support level and reduces in 10.7% the average processing time in the 2nd support level.
</v>
      </c>
      <c r="O52" s="11" t="s">
        <v>412</v>
      </c>
      <c r="P52" s="9" t="s">
        <v>413</v>
      </c>
      <c r="Q52" s="9"/>
      <c r="R52" s="9"/>
      <c r="S52" s="12"/>
      <c r="T52" s="9"/>
      <c r="U52" s="9"/>
      <c r="V52" s="6"/>
      <c r="W52" s="6"/>
      <c r="X52" s="6"/>
      <c r="Y52" s="6"/>
      <c r="Z52" s="6"/>
      <c r="AA52" s="6"/>
      <c r="AB52" s="6"/>
      <c r="AC52" s="6"/>
      <c r="AD52" s="6"/>
      <c r="AE52" s="6"/>
    </row>
    <row r="53">
      <c r="A53" s="2" t="s">
        <v>18</v>
      </c>
      <c r="B53" s="2" t="s">
        <v>414</v>
      </c>
      <c r="C53" s="2" t="s">
        <v>18</v>
      </c>
      <c r="D53" s="8" t="s">
        <v>415</v>
      </c>
      <c r="E53" s="14"/>
      <c r="F53" s="2" t="s">
        <v>18</v>
      </c>
      <c r="G53" s="9" t="s">
        <v>416</v>
      </c>
      <c r="H53" s="9">
        <v>2024.0</v>
      </c>
      <c r="I53" s="9" t="s">
        <v>23</v>
      </c>
      <c r="J53" s="9" t="s">
        <v>417</v>
      </c>
      <c r="K53" s="10" t="s">
        <v>418</v>
      </c>
      <c r="L53" s="9" t="s">
        <v>419</v>
      </c>
      <c r="M53" s="9" t="str">
        <f t="shared" si="1"/>
        <v>title: Business Process Performance: Investigating the Impact of Process-Oriented Appraisals and Rewards on Success</v>
      </c>
      <c r="N53" s="9" t="str">
        <f t="shared" si="2"/>
        <v>Abstract: Abstract
Considering humans are involved in business process activities, process-oriented appraisals and rewards (POAR) can help stimulate process outcomes. Given a lack of knowledge about the intersection between business process management (BPM) and human resource management (HRM), the authors delve into POAR. The study starts from the theoretical capabilities of BPM and then follows a mixed-method design to develop rich and substantive evidence for successful POAR implementations. Empirical data was collected by ten case organizations experienced in POAR, and a survey with 403 higher-level managers across four continents. From the case data, diverse perspectives have emerged on the supporting capabilities for POAR and especially their interrelationships. Additionally, statistical evidence shows a decisive role of POAR in affecting process performance. While all BPM-specific capabilities seem to matter for POAR, only some also contribute to process performance through POAR. Novelty in the work resides in producing a POAR-based process performance model.</v>
      </c>
      <c r="O53" s="11" t="s">
        <v>420</v>
      </c>
      <c r="P53" s="9" t="s">
        <v>421</v>
      </c>
      <c r="Q53" s="9"/>
      <c r="R53" s="9"/>
      <c r="S53" s="12"/>
      <c r="T53" s="9"/>
      <c r="U53" s="9"/>
      <c r="V53" s="6"/>
      <c r="W53" s="6"/>
      <c r="X53" s="6"/>
      <c r="Y53" s="6"/>
      <c r="Z53" s="6"/>
      <c r="AA53" s="6"/>
      <c r="AB53" s="6"/>
      <c r="AC53" s="6"/>
      <c r="AD53" s="6"/>
      <c r="AE53" s="6"/>
    </row>
    <row r="54">
      <c r="A54" s="2" t="s">
        <v>18</v>
      </c>
      <c r="B54" s="2" t="s">
        <v>422</v>
      </c>
      <c r="C54" s="2" t="s">
        <v>18</v>
      </c>
      <c r="D54" s="8" t="s">
        <v>423</v>
      </c>
      <c r="E54" s="14"/>
      <c r="F54" s="2" t="s">
        <v>18</v>
      </c>
      <c r="G54" s="9" t="s">
        <v>424</v>
      </c>
      <c r="H54" s="9">
        <v>2021.0</v>
      </c>
      <c r="I54" s="9" t="s">
        <v>23</v>
      </c>
      <c r="J54" s="9" t="s">
        <v>425</v>
      </c>
      <c r="K54" s="10" t="s">
        <v>426</v>
      </c>
      <c r="L54" s="9" t="s">
        <v>427</v>
      </c>
      <c r="M54" s="9" t="str">
        <f t="shared" si="1"/>
        <v>title: Interview with Varun Grover on "Business Processes, Information Technology and Its Evolution in the Digital Age"</v>
      </c>
      <c r="N54" s="9" t="str">
        <f t="shared" si="2"/>
        <v>Abstract: [without abstract]</v>
      </c>
      <c r="O54" s="11" t="s">
        <v>64</v>
      </c>
      <c r="P54" s="9" t="s">
        <v>428</v>
      </c>
      <c r="Q54" s="9"/>
      <c r="R54" s="9"/>
      <c r="S54" s="12"/>
      <c r="T54" s="9"/>
      <c r="U54" s="9"/>
      <c r="V54" s="6"/>
      <c r="W54" s="6"/>
      <c r="X54" s="6"/>
      <c r="Y54" s="6"/>
      <c r="Z54" s="6"/>
      <c r="AA54" s="6"/>
      <c r="AB54" s="6"/>
      <c r="AC54" s="6"/>
      <c r="AD54" s="6"/>
      <c r="AE54" s="6"/>
    </row>
    <row r="55">
      <c r="A55" s="2" t="s">
        <v>18</v>
      </c>
      <c r="B55" s="2" t="s">
        <v>429</v>
      </c>
      <c r="C55" s="2" t="s">
        <v>18</v>
      </c>
      <c r="D55" s="8" t="s">
        <v>430</v>
      </c>
      <c r="E55" s="14"/>
      <c r="F55" s="2" t="s">
        <v>18</v>
      </c>
      <c r="G55" s="9" t="s">
        <v>431</v>
      </c>
      <c r="H55" s="9">
        <v>2025.0</v>
      </c>
      <c r="I55" s="9" t="s">
        <v>23</v>
      </c>
      <c r="J55" s="9" t="s">
        <v>432</v>
      </c>
      <c r="K55" s="10" t="s">
        <v>433</v>
      </c>
      <c r="L55" s="9">
        <v>1611.0</v>
      </c>
      <c r="M55" s="9" t="str">
        <f t="shared" si="1"/>
        <v>title: Development of a centralized progress management system using lean thinking and efforts to improve operations</v>
      </c>
      <c r="N55" s="9" t="str">
        <f t="shared" si="2"/>
        <v>Abstract: Abstract
In this study, we improved MRI room operations by applying Lean Thinking principles with a strong emphasis on leadership and ICT integration. The primary objectives were to enhance MRI appointment slot utilization, reduce patient waiting times, and minimize referrals to external facilities. Lean methodologies such as Kaizen, 5 S, Value Stream Mapping, Standard Work, Spaghetti Chart, and Root Cause Analysis were used to identify inefficiencies and implement structured improvements. A centralized ICT-based management system was introduced to enable real-time tracking and enhance workflow coordination. Leadership played a key role in fostering staff engagement and continuous improvement. MRI workflows were analyzed using Lean tools to identify operational bottlenecks and streamline processes. A structured improvement approach was developed through brainstorming sessions and weekly short meetings to refine management practices. The ICT system facilitated real-time monitoring of patient progress and scheduling adjustments. The 5 S methodology was employed to improve workspace organization, while Kaizen supported incremental daily improvements based on staff input. Following these interventions, MRI appointment reservations increased by 26% and completed examinations grew by 19%, with further daily management refinements contributing additional improvements of 34% and 28%, respectively. Patient waiting times were significantly reduced from an average of 45 days to 5 days, and monthly external referrals for MRI examinations declined from 300 to 50. These outcomes demonstrate that the integrated application of Lean Thinking and ICT not only substantially enhanced operational efficiency, reduced patient delays, and optimized resource utilization but also improved patient access and workflow coordination. Leadership, combined with a supportive and collaborative culture, played a key role in empowering team members to engage in continuous improvement. Open communication, the active valuation of staff input, and the delegation of responsibilities contributed to establishing a sustainable model for process enhancement. Although challenges such as the need for continuous adjustments in daily management and the complexity of coordinating staff schedules while maintaining patient care remained, these results confirm that Lean Thinking originally developed in manufacturing can be effectively adapted to healthcare settings to enhance productivity, service accessibility, and overall operational performance.</v>
      </c>
      <c r="O55" s="11" t="s">
        <v>434</v>
      </c>
      <c r="P55" s="9" t="s">
        <v>435</v>
      </c>
      <c r="Q55" s="9"/>
      <c r="R55" s="9"/>
      <c r="S55" s="12"/>
      <c r="T55" s="9"/>
      <c r="U55" s="9"/>
      <c r="V55" s="6"/>
      <c r="W55" s="6"/>
      <c r="X55" s="6"/>
      <c r="Y55" s="6"/>
      <c r="Z55" s="6"/>
      <c r="AA55" s="6"/>
      <c r="AB55" s="6"/>
      <c r="AC55" s="6"/>
      <c r="AD55" s="6"/>
      <c r="AE55" s="6"/>
    </row>
    <row r="56">
      <c r="A56" s="2" t="s">
        <v>20</v>
      </c>
      <c r="B56" s="2" t="s">
        <v>436</v>
      </c>
      <c r="C56" s="2" t="s">
        <v>18</v>
      </c>
      <c r="D56" s="8" t="s">
        <v>437</v>
      </c>
      <c r="E56" s="2"/>
      <c r="F56" s="2" t="s">
        <v>20</v>
      </c>
      <c r="G56" s="9" t="s">
        <v>438</v>
      </c>
      <c r="H56" s="9">
        <v>2026.0</v>
      </c>
      <c r="I56" s="9" t="s">
        <v>23</v>
      </c>
      <c r="J56" s="9" t="s">
        <v>439</v>
      </c>
      <c r="K56" s="10" t="s">
        <v>440</v>
      </c>
      <c r="L56" s="9" t="s">
        <v>441</v>
      </c>
      <c r="M56" s="9" t="str">
        <f t="shared" si="1"/>
        <v>title: Large Language Models for Process Knowledge Acquisition: Designing and Evaluating a Multi-agent System</v>
      </c>
      <c r="N56" s="9" t="str">
        <f t="shared" si="2"/>
        <v>Abstract: Abstract
Acquiring process knowledge remains a central challenge in business process management, particularly when process discovery approaches rely on manual elicitation and analysis. Following design science research, this paper proposes a theoretically grounded and empirically validated approach to support process knowledge acquisition using Large Language Models (LLMs). The paper outlines three main contributions. First, drawing from knowledge acquisition theory, 19 design requirements are defined for using LLMs in the knowledge acquisition process. Second, these are instantiated in a proposal, named PKAI, which is a novel multi-agent system that operationalizes the stages of preparation, socialization, and externalization in process discovery through specialized LLM-based agents. Third, the study provides empirical evidence of the benefits and limitations of the approach through three evaluation rounds: (i) a demonstration involving business process analysts validating the design requirements and their mapping to the instantiation, (ii) a quasi-experimental study highlighting that process analysts supported by PKAI perform better in designing conceptual models in semantic and pragmatic dimensions, and (iii) a real-world illustrative case study demonstrating the approach's applicability under business complexity and its impact on the knowledge acquisition process. The paper provides the first LLM-based artifact instantiation spanning the whole knowledge acquisition process.</v>
      </c>
      <c r="O56" s="11" t="s">
        <v>442</v>
      </c>
      <c r="P56" s="9" t="s">
        <v>443</v>
      </c>
      <c r="Q56" s="9"/>
      <c r="R56" s="9"/>
      <c r="S56" s="12"/>
      <c r="T56" s="9"/>
      <c r="U56" s="9"/>
      <c r="V56" s="6"/>
      <c r="W56" s="6"/>
      <c r="X56" s="6"/>
      <c r="Y56" s="6"/>
      <c r="Z56" s="6"/>
      <c r="AA56" s="6"/>
      <c r="AB56" s="6"/>
      <c r="AC56" s="6"/>
      <c r="AD56" s="6"/>
      <c r="AE56" s="6"/>
    </row>
    <row r="57">
      <c r="A57" s="2" t="s">
        <v>18</v>
      </c>
      <c r="B57" s="2" t="s">
        <v>444</v>
      </c>
      <c r="C57" s="2" t="s">
        <v>18</v>
      </c>
      <c r="D57" s="8" t="s">
        <v>445</v>
      </c>
      <c r="E57" s="14"/>
      <c r="F57" s="2" t="s">
        <v>18</v>
      </c>
      <c r="G57" s="9" t="s">
        <v>446</v>
      </c>
      <c r="H57" s="9">
        <v>2025.0</v>
      </c>
      <c r="I57" s="9" t="s">
        <v>23</v>
      </c>
      <c r="J57" s="9" t="s">
        <v>447</v>
      </c>
      <c r="K57" s="10" t="s">
        <v>448</v>
      </c>
      <c r="L57" s="12"/>
      <c r="M57" s="9" t="str">
        <f t="shared" si="1"/>
        <v>title: Trace clustering for judicial process simplification: identifying patterns and enhancing anaslysis</v>
      </c>
      <c r="N57" s="9" t="str">
        <f t="shared" si="2"/>
        <v>Abstract: Abstract
This paper presents a novel application of trace clustering techniques to judicial data analysis, addressing the high variability and complexity of judicial workflows, an issue that has received limited attention in prior research. Leveraging real-world data from three Brazilian Small Claims Court units, the proposed method integrates preprocessing, data encoding, and clustering algorithms to segment judicial cases into more homogeneous groups and reveal representative behavioral patterns. These patterns facilitate process simplification and enable more effective analysis. The identified clusters corresponded to distinct types of judicial procedures, and their derived process models were evaluated from both structural and behavioral perspectives. Validation by legal domain experts confirmed the method’s effectiveness, highlighting its potential to expose procedural inefficiencies and enhance comprehension of judicial flows. This study contributes empirical evidence supporting the suitability of trace clustering for analyzing flexible and highly variable processes in the judicial domain. Furthermore, the proposed method offers a generalizable framework applicable to other jurisdictions and domains, providing a scalable solution for simplifying complex event logs and supporting data-driven decision-making in process management.</v>
      </c>
      <c r="O57" s="11" t="s">
        <v>449</v>
      </c>
      <c r="P57" s="9" t="s">
        <v>450</v>
      </c>
      <c r="Q57" s="9"/>
      <c r="R57" s="9"/>
      <c r="S57" s="12"/>
      <c r="T57" s="9"/>
      <c r="U57" s="9"/>
      <c r="V57" s="6"/>
      <c r="W57" s="6"/>
      <c r="X57" s="6"/>
      <c r="Y57" s="6"/>
      <c r="Z57" s="6"/>
      <c r="AA57" s="6"/>
      <c r="AB57" s="6"/>
      <c r="AC57" s="6"/>
      <c r="AD57" s="6"/>
      <c r="AE57" s="6"/>
    </row>
    <row r="58">
      <c r="A58" s="2" t="s">
        <v>18</v>
      </c>
      <c r="B58" s="2" t="s">
        <v>451</v>
      </c>
      <c r="C58" s="2" t="s">
        <v>18</v>
      </c>
      <c r="D58" s="8" t="s">
        <v>452</v>
      </c>
      <c r="E58" s="14"/>
      <c r="F58" s="2" t="s">
        <v>18</v>
      </c>
      <c r="G58" s="9" t="s">
        <v>453</v>
      </c>
      <c r="H58" s="9">
        <v>2025.0</v>
      </c>
      <c r="I58" s="9" t="s">
        <v>23</v>
      </c>
      <c r="J58" s="9" t="s">
        <v>454</v>
      </c>
      <c r="K58" s="10" t="s">
        <v>455</v>
      </c>
      <c r="L58" s="12"/>
      <c r="M58" s="9" t="str">
        <f t="shared" si="1"/>
        <v>title: From Source to Target: Leveraging Transfer Learning for Predictive Process Monitoring in Organizations</v>
      </c>
      <c r="N58" s="9" t="str">
        <f t="shared" si="2"/>
        <v>Abstract: Abstract  Event logs reflect the behavior of business processes that are mapped in organizational information systems. Predictive process monitoring (PPM) transforms these data into value by creating process-related predictions that provide insights for proactive interventions at process runtime, leading to improved process performance. Existing PPM techniques require sufficient amounts of event data or other relevant resources that might not be readily available, which prevents some organizations from utilizing PPM. The transfer learning-based PPM technique presented in this paper allows organizations without suitable event data or other relevant resources to implement PPM for effective decision support. This technique is instantiated in both a real-life intra- and an inter-organizational use case, based on which numerical experiments are performed using event logs for information technology service management processes. The results of the experiments suggest that knowledge of one business process can be transferred to a similar business process in the same or a different organization to enable effective PPM in the target context. The proposed technique allows organizations to benefit from transfer learning in intra- and inter-organizational settings by transferring resources such as pre-trained models within and across organizational boundaries.</v>
      </c>
      <c r="O58" s="13" t="s">
        <v>456</v>
      </c>
      <c r="P58" s="9" t="s">
        <v>457</v>
      </c>
      <c r="Q58" s="9"/>
      <c r="R58" s="9"/>
      <c r="S58" s="12"/>
      <c r="T58" s="9"/>
      <c r="U58" s="9"/>
      <c r="V58" s="6"/>
      <c r="W58" s="6"/>
      <c r="X58" s="6"/>
      <c r="Y58" s="6"/>
      <c r="Z58" s="6"/>
      <c r="AA58" s="6"/>
      <c r="AB58" s="6"/>
      <c r="AC58" s="6"/>
      <c r="AD58" s="6"/>
      <c r="AE58" s="6"/>
    </row>
    <row r="59">
      <c r="A59" s="2" t="s">
        <v>18</v>
      </c>
      <c r="B59" s="2" t="s">
        <v>458</v>
      </c>
      <c r="C59" s="2" t="s">
        <v>18</v>
      </c>
      <c r="D59" s="8" t="s">
        <v>459</v>
      </c>
      <c r="E59" s="14"/>
      <c r="F59" s="2" t="s">
        <v>18</v>
      </c>
      <c r="G59" s="9" t="s">
        <v>460</v>
      </c>
      <c r="H59" s="9">
        <v>2025.0</v>
      </c>
      <c r="I59" s="9" t="s">
        <v>23</v>
      </c>
      <c r="J59" s="9" t="s">
        <v>461</v>
      </c>
      <c r="K59" s="10" t="s">
        <v>462</v>
      </c>
      <c r="L59" s="9" t="s">
        <v>463</v>
      </c>
      <c r="M59" s="9" t="str">
        <f t="shared" si="1"/>
        <v>title: Enterprise Architecture and IT Governance to Support the BizDevOps Approach: a Systematic Mapping Study</v>
      </c>
      <c r="N59" s="9" t="str">
        <f t="shared" si="2"/>
        <v>Abstract: Abstract  Current software development practices are transforming the governance and management of software projects with the objective of aligning software products/services with business needs, ensuring business continuity, optimizing resource allocation, and fostering strong stakeholder relationships. The innovative BizDevOps approach has emerged as a response to these challenges, since it extends DevOps by incorporating an additional cycle and involving non-IT stakeholders with a focus on business-IT alignment. The application of IT Governance practices is crucial as regards ensuring the success of complex BizDevOps projects, and this paper, therefore, presents a systematic mapping study that explores the approaches for BizDevOps and encourages DevOps proposals that will seamlessly integrate with the business lifecycle. It examines the support provided by IT Governance practices and investigates the potential roles of Enterprise Architecture. The study analyzed 86 primary studies and 11 secondary studies, revealing a lack of empirical validations and a prevalence of recommendation-oriented papers without concrete solution proposals. These findings highlight the need for further research with which to validate BizDevOps practices and provide actionable insights.</v>
      </c>
      <c r="O59" s="13" t="s">
        <v>464</v>
      </c>
      <c r="P59" s="9" t="s">
        <v>465</v>
      </c>
      <c r="Q59" s="9"/>
      <c r="R59" s="9"/>
      <c r="S59" s="12"/>
      <c r="T59" s="9"/>
      <c r="U59" s="9"/>
      <c r="V59" s="6"/>
      <c r="W59" s="6"/>
      <c r="X59" s="6"/>
      <c r="Y59" s="6"/>
      <c r="Z59" s="6"/>
      <c r="AA59" s="6"/>
      <c r="AB59" s="6"/>
      <c r="AC59" s="6"/>
      <c r="AD59" s="6"/>
      <c r="AE59" s="6"/>
    </row>
    <row r="60">
      <c r="A60" s="2" t="s">
        <v>18</v>
      </c>
      <c r="B60" s="2" t="s">
        <v>466</v>
      </c>
      <c r="C60" s="2" t="s">
        <v>18</v>
      </c>
      <c r="D60" s="8" t="s">
        <v>467</v>
      </c>
      <c r="E60" s="14"/>
      <c r="F60" s="2" t="s">
        <v>18</v>
      </c>
      <c r="G60" s="9" t="s">
        <v>468</v>
      </c>
      <c r="H60" s="9">
        <v>2026.0</v>
      </c>
      <c r="I60" s="9" t="s">
        <v>23</v>
      </c>
      <c r="J60" s="9" t="s">
        <v>469</v>
      </c>
      <c r="K60" s="10" t="s">
        <v>470</v>
      </c>
      <c r="L60" s="9">
        <v>12479.0</v>
      </c>
      <c r="M60" s="9" t="str">
        <f t="shared" si="1"/>
        <v>title: Intelligent monitoring and anomaly detection for power service processes based on spatiotemporal attention mechanism</v>
      </c>
      <c r="N60" s="9" t="str">
        <f t="shared" si="2"/>
        <v>Abstract: Abstract  Power service process monitoring faces critical challenges in capturing complex spatiotemporal dependencies and identifying anomalies across distributed operational networks. This paper proposes an intelligent monitoring system incorporating spatiotemporal attention mechanisms to address these limitations. The system features a hierarchical attention architecture that jointly models temporal evolution patterns within service workflows and spatial correlations across regional centers, coupled with an adaptive threshold mechanism for anomaly detection. Experimental validation using real-world data from multiple power utilities demonstrates superior performance, achieving 96.84% accuracy and 96.0% recall in field deployment. The system reduces average process completion time by 20.3% and customer complaints by 31.2% across 32 service centers during a 6-month trial. Results confirm that explicit joint spatiotemporal modeling significantly outperforms conventional approaches, providing actionable insights for proactive process optimization in power utility operations.</v>
      </c>
      <c r="O60" s="13" t="s">
        <v>471</v>
      </c>
      <c r="P60" s="9" t="s">
        <v>472</v>
      </c>
      <c r="Q60" s="9"/>
      <c r="R60" s="9"/>
      <c r="S60" s="12"/>
      <c r="T60" s="9"/>
      <c r="U60" s="9"/>
      <c r="V60" s="6"/>
      <c r="W60" s="6"/>
      <c r="X60" s="6"/>
      <c r="Y60" s="6"/>
      <c r="Z60" s="6"/>
      <c r="AA60" s="6"/>
      <c r="AB60" s="6"/>
      <c r="AC60" s="6"/>
      <c r="AD60" s="6"/>
      <c r="AE60" s="6"/>
    </row>
    <row r="61">
      <c r="A61" s="2" t="s">
        <v>18</v>
      </c>
      <c r="B61" s="2" t="s">
        <v>473</v>
      </c>
      <c r="C61" s="2" t="s">
        <v>18</v>
      </c>
      <c r="D61" s="8" t="s">
        <v>474</v>
      </c>
      <c r="E61" s="14"/>
      <c r="F61" s="2" t="s">
        <v>18</v>
      </c>
      <c r="G61" s="9" t="s">
        <v>475</v>
      </c>
      <c r="H61" s="9">
        <v>2024.0</v>
      </c>
      <c r="I61" s="9" t="s">
        <v>23</v>
      </c>
      <c r="J61" s="9" t="s">
        <v>476</v>
      </c>
      <c r="K61" s="10" t="s">
        <v>477</v>
      </c>
      <c r="L61" s="9" t="s">
        <v>478</v>
      </c>
      <c r="M61" s="9" t="str">
        <f t="shared" si="1"/>
        <v>title: Idea generation in exploitative and explorative business process redesign techniques</v>
      </c>
      <c r="N61" s="9" t="str">
        <f t="shared" si="2"/>
        <v>Abstract: Abstract  Business process redesign has received considerable attention in research and practice. An important task contributing to redesign is idea generation. It has been argued that the choice of technique influences redesign outcomes, but empirical evidence is largely missing. In this paper, we examine the role of idea generation in business process redesign by comparing two different kinds of techniques: exploitative and explorative redesign techniques. Often, exploitative techniques are expected to yield more appropriate solutions, while explorative techniques are associated with more creative outcomes. To investigate such propositions, we consider the Best Practices of Process Redesign as an example of an exploitative redesign technique and the Business Process Design Space as an explorative redesign technique. We conducted a free-simulation experiment to study the empirical impact of the choice of redesign techniques on outcomes. We find that the Business Process Design Space leads to a higher number of redesign ideas, which are also more diverse. These are more creative and novel than ideas produced by the Best Practices of Process Redesign. Against expectation, the best practices as an exploitative approach do not produce more appropriate nor impactful ideas in our task design. Since both approaches cover different areas of improvement, a key implication of our work is that they should not be seen as isolated approaches to redesign; rather, they should be purposefully combined to not only create novel but also operational business process redesigns.</v>
      </c>
      <c r="O61" s="13" t="s">
        <v>479</v>
      </c>
      <c r="P61" s="9" t="s">
        <v>480</v>
      </c>
      <c r="Q61" s="9"/>
      <c r="R61" s="9"/>
      <c r="S61" s="12"/>
      <c r="T61" s="9"/>
      <c r="U61" s="9"/>
      <c r="V61" s="6"/>
      <c r="W61" s="6"/>
      <c r="X61" s="6"/>
      <c r="Y61" s="6"/>
      <c r="Z61" s="6"/>
      <c r="AA61" s="6"/>
      <c r="AB61" s="6"/>
      <c r="AC61" s="6"/>
      <c r="AD61" s="6"/>
      <c r="AE61" s="6"/>
    </row>
    <row r="62">
      <c r="A62" s="2" t="s">
        <v>18</v>
      </c>
      <c r="B62" s="2" t="s">
        <v>481</v>
      </c>
      <c r="C62" s="2" t="s">
        <v>18</v>
      </c>
      <c r="D62" s="8" t="s">
        <v>482</v>
      </c>
      <c r="E62" s="14"/>
      <c r="F62" s="2" t="s">
        <v>18</v>
      </c>
      <c r="G62" s="9" t="s">
        <v>483</v>
      </c>
      <c r="H62" s="9">
        <v>2023.0</v>
      </c>
      <c r="I62" s="9" t="s">
        <v>23</v>
      </c>
      <c r="J62" s="9" t="s">
        <v>484</v>
      </c>
      <c r="K62" s="10" t="s">
        <v>485</v>
      </c>
      <c r="L62" s="9" t="s">
        <v>486</v>
      </c>
      <c r="M62" s="9" t="str">
        <f t="shared" si="1"/>
        <v>title: Statements on the Contribution by Grisold et al. from Issue 2/2022</v>
      </c>
      <c r="N62" s="9" t="str">
        <f t="shared" si="2"/>
        <v>Abstract: [without abstract]</v>
      </c>
      <c r="O62" s="11" t="s">
        <v>64</v>
      </c>
      <c r="P62" s="9" t="s">
        <v>487</v>
      </c>
      <c r="Q62" s="9"/>
      <c r="R62" s="9"/>
      <c r="S62" s="12"/>
      <c r="T62" s="9"/>
      <c r="U62" s="9"/>
      <c r="V62" s="6"/>
      <c r="W62" s="6"/>
      <c r="X62" s="6"/>
      <c r="Y62" s="6"/>
      <c r="Z62" s="6"/>
      <c r="AA62" s="6"/>
      <c r="AB62" s="6"/>
      <c r="AC62" s="6"/>
      <c r="AD62" s="6"/>
      <c r="AE62" s="6"/>
    </row>
    <row r="63">
      <c r="A63" s="2" t="s">
        <v>18</v>
      </c>
      <c r="B63" s="2" t="s">
        <v>488</v>
      </c>
      <c r="C63" s="2" t="s">
        <v>18</v>
      </c>
      <c r="D63" s="8" t="s">
        <v>489</v>
      </c>
      <c r="E63" s="14"/>
      <c r="F63" s="2" t="s">
        <v>18</v>
      </c>
      <c r="G63" s="9" t="s">
        <v>490</v>
      </c>
      <c r="H63" s="9">
        <v>2023.0</v>
      </c>
      <c r="I63" s="9" t="s">
        <v>23</v>
      </c>
      <c r="J63" s="9" t="s">
        <v>491</v>
      </c>
      <c r="K63" s="10" t="s">
        <v>492</v>
      </c>
      <c r="L63" s="9" t="s">
        <v>493</v>
      </c>
      <c r="M63" s="9" t="str">
        <f t="shared" si="1"/>
        <v>title: Predictive End-to-End Enterprise Process Network Monitoring</v>
      </c>
      <c r="N63" s="9" t="str">
        <f t="shared" si="2"/>
        <v>Abstract: Abstract  Ever-growing data availability combined with rapid progress in analytics has laid the foundation for the emergence of business process analytics. Organizations strive to leverage predictive process analytics to obtain insights. However, current implementations are designed to deal with homogeneous data. Consequently, there is limited practical use in an organization with heterogeneous data sources. The paper proposes a method for predictive end-to-end enterprise process network monitoring leveraging multi-headed deep neural networks to overcome this limitation. A case study performed with a medium-sized German manufacturing company highlights the method’s utility for organizations.</v>
      </c>
      <c r="O63" s="13" t="s">
        <v>494</v>
      </c>
      <c r="P63" s="9" t="s">
        <v>495</v>
      </c>
      <c r="Q63" s="9"/>
      <c r="R63" s="9"/>
      <c r="S63" s="12"/>
      <c r="T63" s="9"/>
      <c r="U63" s="9"/>
      <c r="V63" s="6"/>
      <c r="W63" s="6"/>
      <c r="X63" s="6"/>
      <c r="Y63" s="6"/>
      <c r="Z63" s="6"/>
      <c r="AA63" s="6"/>
      <c r="AB63" s="6"/>
      <c r="AC63" s="6"/>
      <c r="AD63" s="6"/>
      <c r="AE63" s="6"/>
    </row>
    <row r="64">
      <c r="A64" s="2" t="s">
        <v>18</v>
      </c>
      <c r="B64" s="2" t="s">
        <v>496</v>
      </c>
      <c r="C64" s="2" t="s">
        <v>18</v>
      </c>
      <c r="D64" s="8" t="s">
        <v>497</v>
      </c>
      <c r="E64" s="14"/>
      <c r="F64" s="2" t="s">
        <v>18</v>
      </c>
      <c r="G64" s="9" t="s">
        <v>498</v>
      </c>
      <c r="H64" s="9">
        <v>2021.0</v>
      </c>
      <c r="I64" s="9" t="s">
        <v>23</v>
      </c>
      <c r="J64" s="9" t="s">
        <v>499</v>
      </c>
      <c r="K64" s="10" t="s">
        <v>500</v>
      </c>
      <c r="L64" s="9" t="s">
        <v>501</v>
      </c>
      <c r="M64" s="9" t="str">
        <f t="shared" si="1"/>
        <v>title: Opportunities and Challenges for Process Mining in Organizations: Results of a Delphi Study</v>
      </c>
      <c r="N64" s="9" t="str">
        <f t="shared" si="2"/>
        <v>Abstract: Abstract  Process mining is an active research domain and has been applied to understand and improve business processes. While significant research has been conducted on the development and improvement of algorithms, evidence on the application of process mining in organizations has been far more limited. In particular, there is limited understanding of the opportunities and challenges of using process mining in organizations. Such an understanding has the potential to guide research by highlighting barriers for process mining adoption and, thus, can contribute to successful process mining initiatives in practice. In this respect, the paper provides a holistic view of opportunities and challenges for process mining in organizations identified in a Delphi study with 40 international experts from academia and industry. Besides proposing a set of 30 opportunities and 32 challenges, the paper conveys insights into the comparative relevance of individual items, as well as differences in the perceived relevance between academics and practitioners. Therefore, the study contributes to the future development of process mining, both as a research field and regarding its application in organizations.</v>
      </c>
      <c r="O64" s="13" t="s">
        <v>502</v>
      </c>
      <c r="P64" s="9" t="s">
        <v>503</v>
      </c>
      <c r="Q64" s="15"/>
      <c r="R64" s="9"/>
      <c r="S64" s="12"/>
      <c r="T64" s="9"/>
      <c r="U64" s="9"/>
      <c r="V64" s="6"/>
      <c r="W64" s="6"/>
      <c r="X64" s="6"/>
      <c r="Y64" s="6"/>
      <c r="Z64" s="6"/>
      <c r="AA64" s="6"/>
      <c r="AB64" s="6"/>
      <c r="AC64" s="6"/>
      <c r="AD64" s="6"/>
      <c r="AE64" s="6"/>
    </row>
    <row r="65">
      <c r="A65" s="2" t="s">
        <v>18</v>
      </c>
      <c r="B65" s="2" t="s">
        <v>504</v>
      </c>
      <c r="C65" s="2" t="s">
        <v>18</v>
      </c>
      <c r="D65" s="8" t="s">
        <v>505</v>
      </c>
      <c r="E65" s="14"/>
      <c r="F65" s="2" t="s">
        <v>20</v>
      </c>
      <c r="G65" s="9" t="s">
        <v>506</v>
      </c>
      <c r="H65" s="9">
        <v>2025.0</v>
      </c>
      <c r="I65" s="9" t="s">
        <v>23</v>
      </c>
      <c r="J65" s="9" t="s">
        <v>507</v>
      </c>
      <c r="K65" s="10" t="s">
        <v>508</v>
      </c>
      <c r="L65" s="9">
        <v>23.0</v>
      </c>
      <c r="M65" s="9" t="str">
        <f t="shared" si="1"/>
        <v>title: BEST: a unified business process enactment via streams and tables for service computing</v>
      </c>
      <c r="N65" s="9" t="str">
        <f t="shared" si="2"/>
        <v>Abstract: Abstract
Business process models are essential for the representation, analysis, and execution of organizational processes, serving as orchestration blueprints while relying on (web) services to implement individual tasks. At the representation level, there are two dominant paradigms: procedural (imperative) notation that specifies the sequential flows within a process and declarative notation that captures the process as a set of constraints. Although each notation offers distinct advantages in representational clarity and cognitive effectiveness, they are seldom integrated, leading to compatibility challenges. In this paper, we set aside the imperative-declarative dichotomy to focus on orchestrating services that execute the underlying tasks. We propose an execution semantics based on the Continuous Query Language (CQL), where CQL statements respond dynamically to streams of events. As events unfold, these CQL statements update the execution state (tables) and can generate new events, effectively triggering (web) services that implement specific process tasks. A key value of our approach is that it transforms any CQL-compliant stream processing engine into a fully-capable process enactment engine by automatically deploying CQL rules extracted from input process models, thereby leveraging existing stream processing infrastructure for business process orchestration. By defining all executions around a unified event model, we achieve cross-language and cross-paradigm process enactment. We showcase how industrial process modelling languages, such as BPMN and DCR graphs, can be enacted through CQL queries, allowing seamless orchestration and execution of services across diverse modelling paradigms.</v>
      </c>
      <c r="O65" s="11" t="s">
        <v>509</v>
      </c>
      <c r="P65" s="9" t="s">
        <v>510</v>
      </c>
      <c r="Q65" s="9"/>
      <c r="R65" s="9"/>
      <c r="S65" s="12"/>
      <c r="T65" s="9"/>
      <c r="U65" s="9"/>
      <c r="V65" s="6"/>
      <c r="W65" s="6"/>
      <c r="X65" s="6"/>
      <c r="Y65" s="6"/>
      <c r="Z65" s="6"/>
      <c r="AA65" s="6"/>
      <c r="AB65" s="6"/>
      <c r="AC65" s="6"/>
      <c r="AD65" s="6"/>
      <c r="AE65" s="6"/>
    </row>
    <row r="66">
      <c r="A66" s="2" t="s">
        <v>18</v>
      </c>
      <c r="B66" s="2" t="s">
        <v>511</v>
      </c>
      <c r="C66" s="2" t="s">
        <v>18</v>
      </c>
      <c r="D66" s="8" t="s">
        <v>512</v>
      </c>
      <c r="E66" s="2"/>
      <c r="F66" s="2" t="s">
        <v>20</v>
      </c>
      <c r="G66" s="9" t="s">
        <v>513</v>
      </c>
      <c r="H66" s="9">
        <v>2022.0</v>
      </c>
      <c r="I66" s="9" t="s">
        <v>23</v>
      </c>
      <c r="J66" s="9" t="s">
        <v>514</v>
      </c>
      <c r="K66" s="10" t="s">
        <v>515</v>
      </c>
      <c r="L66" s="9">
        <v>12.0</v>
      </c>
      <c r="M66" s="9" t="str">
        <f t="shared" si="1"/>
        <v>title: Towards automatic business process redesign: an NLP based approach to extract redesign suggestions</v>
      </c>
      <c r="N66" s="9" t="str">
        <f t="shared" si="2"/>
        <v>Abstract: Abstract
Business process redesign (BPR) is widely recognized as a key phase of the business process management lifecycle. However, the existing studies have focused on proposing theoretical models, methodologies, and redesign patterns, whereas, the BPR activity remains dependent upon domain experts with little or no consideration to end-user feedback. To facilitate these experts, in this study, we have proposed a natural language processing (NLP) based approach to identify redesign suggestions from end-user feedback in natural language text. The proposed approach includes a novel set of annotation guidelines that can be used to generate computational resources for business process redesign. Secondly, to demonstrate the effectiveness of the proposed approach, we have generated computational resources which are composed of three real-world business processes and end-user feedback containing 8421 sentences. Finally, we have performed 270 experiments using six traditional and three deep learning techniques to evaluate their effectiveness for the identification of redesign suggestions from raw text. The classified suggestions can be used by domain experts to prioritize the redesign possibilities, without going through the details of the customer feedback.</v>
      </c>
      <c r="O66" s="11" t="s">
        <v>516</v>
      </c>
      <c r="P66" s="9" t="s">
        <v>517</v>
      </c>
      <c r="Q66" s="9"/>
      <c r="R66" s="9"/>
      <c r="S66" s="12"/>
      <c r="T66" s="9"/>
      <c r="U66" s="9"/>
      <c r="V66" s="6"/>
      <c r="W66" s="6"/>
      <c r="X66" s="6"/>
      <c r="Y66" s="6"/>
      <c r="Z66" s="6"/>
      <c r="AA66" s="6"/>
      <c r="AB66" s="6"/>
      <c r="AC66" s="6"/>
      <c r="AD66" s="6"/>
      <c r="AE66" s="6"/>
    </row>
    <row r="67">
      <c r="A67" s="2" t="s">
        <v>18</v>
      </c>
      <c r="B67" s="2" t="s">
        <v>518</v>
      </c>
      <c r="C67" s="2" t="s">
        <v>18</v>
      </c>
      <c r="D67" s="8" t="s">
        <v>519</v>
      </c>
      <c r="E67" s="14"/>
      <c r="F67" s="2" t="s">
        <v>18</v>
      </c>
      <c r="G67" s="9" t="s">
        <v>520</v>
      </c>
      <c r="H67" s="9">
        <v>2024.0</v>
      </c>
      <c r="I67" s="9" t="s">
        <v>23</v>
      </c>
      <c r="J67" s="9" t="s">
        <v>521</v>
      </c>
      <c r="K67" s="10" t="s">
        <v>522</v>
      </c>
      <c r="L67" s="9" t="s">
        <v>523</v>
      </c>
      <c r="M67" s="9" t="str">
        <f t="shared" si="1"/>
        <v>title: Evaluating BPMN Extensions for Continuous Processes Based on Use Cases and Expert Interviews</v>
      </c>
      <c r="N67" s="9" t="str">
        <f t="shared" si="2"/>
        <v>Abstract: Abstract  The majority of (business) processes described in literature are discrete, i.e., they result in an identifiable and distinct outcome such as a settled customer claim or a produced part. However, there also exists a plethora of processes in process and control engineering that are continuous, i.e., processes that require real-time control systems with constant inlet and outlet flows as well as temporally stable conditions. Examples comprise chemical synthesis and combustion processes. Despite their prevalence and relevance a standard method for modeling continuous processes with BPMN is missing. Hence, the paper provides BPMN modeling extensions for continuous processes enabling an exact definition of the parameters and loop conditions as well as a mapping to executable processes. The BPMN modeling extensions are evaluated based on selected use cases from process and control engineering and interviews with experts from three groups, i.e., process engineers and two groups of process modelers, one with experience in industrial processes and one without. The results from the expert interviews are intended to identify (i) the key characteristics for the representation of continuous processes, (ii) how experts evaluate the current usability and comprehensibility of BPMN for continuous processes, and (iii) potential improvements can be identified regarding the introduced BPMN modeling extensions.</v>
      </c>
      <c r="O67" s="13" t="s">
        <v>524</v>
      </c>
      <c r="P67" s="9" t="s">
        <v>525</v>
      </c>
      <c r="Q67" s="9"/>
      <c r="R67" s="9"/>
      <c r="S67" s="12"/>
      <c r="T67" s="9"/>
      <c r="U67" s="9"/>
      <c r="V67" s="6"/>
      <c r="W67" s="6"/>
      <c r="X67" s="6"/>
      <c r="Y67" s="6"/>
      <c r="Z67" s="6"/>
      <c r="AA67" s="6"/>
      <c r="AB67" s="6"/>
      <c r="AC67" s="6"/>
      <c r="AD67" s="6"/>
      <c r="AE67" s="6"/>
    </row>
    <row r="68">
      <c r="A68" s="2" t="s">
        <v>18</v>
      </c>
      <c r="B68" s="2" t="s">
        <v>526</v>
      </c>
      <c r="C68" s="2" t="s">
        <v>18</v>
      </c>
      <c r="D68" s="8" t="s">
        <v>527</v>
      </c>
      <c r="E68" s="14"/>
      <c r="F68" s="2" t="s">
        <v>18</v>
      </c>
      <c r="G68" s="9" t="s">
        <v>528</v>
      </c>
      <c r="H68" s="9">
        <v>2022.0</v>
      </c>
      <c r="I68" s="9" t="s">
        <v>23</v>
      </c>
      <c r="J68" s="9" t="s">
        <v>529</v>
      </c>
      <c r="K68" s="10" t="s">
        <v>530</v>
      </c>
      <c r="L68" s="9" t="s">
        <v>531</v>
      </c>
      <c r="M68" s="9" t="str">
        <f t="shared" si="1"/>
        <v>title: aCHAT-WF: Generating conversational agents for teaching business process models</v>
      </c>
      <c r="N68" s="9" t="str">
        <f t="shared" si="2"/>
        <v>Abstract: Abstract  This paper proposes a general approach for using conversational interfaces such as chatbots to offer adaptive learning of business processes in an environment involving different actors. Adaptivity concerns both the content being proposed, the sequence of learning items, and the way the conversation is conducted. The original approach allows the development of sustainable chatbots and empowers various non-technical actors (authors, teachers, publishers, and learners) to control the chatbot features directly. The aCHAT-WF framework (adaptive CHATbot for WorkFlows), proposed in this paper for managing conversational interfaces, conceptually represents all the aspects related to a conversation about business processes, with different facets for the user, the conversation flow, and the conversation contents, combining them to obtain a flexible interaction with the user. The paper focuses on the different preparation phases for instructional material based on Business Process Modeling Notation (BPMN) models, separating the different roles involved in the construction of a chatbot for teaching business processes and with the possibility of defining different styles for the interaction with the users. The proposed method is configuration-driven, to facilitate the separation of the different aspects of the control of the interaction and the delivery of contents.</v>
      </c>
      <c r="O68" s="13" t="s">
        <v>532</v>
      </c>
      <c r="P68" s="9" t="s">
        <v>533</v>
      </c>
      <c r="Q68" s="9"/>
      <c r="R68" s="9"/>
      <c r="S68" s="12"/>
      <c r="T68" s="9"/>
      <c r="U68" s="9"/>
      <c r="V68" s="6"/>
      <c r="W68" s="6"/>
      <c r="X68" s="6"/>
      <c r="Y68" s="6"/>
      <c r="Z68" s="6"/>
      <c r="AA68" s="6"/>
      <c r="AB68" s="6"/>
      <c r="AC68" s="6"/>
      <c r="AD68" s="6"/>
      <c r="AE68" s="6"/>
    </row>
    <row r="69">
      <c r="A69" s="2" t="s">
        <v>18</v>
      </c>
      <c r="B69" s="2" t="s">
        <v>534</v>
      </c>
      <c r="C69" s="2" t="s">
        <v>18</v>
      </c>
      <c r="D69" s="8" t="s">
        <v>535</v>
      </c>
      <c r="E69" s="14"/>
      <c r="F69" s="2" t="s">
        <v>20</v>
      </c>
      <c r="G69" s="9" t="s">
        <v>536</v>
      </c>
      <c r="H69" s="9">
        <v>2021.0</v>
      </c>
      <c r="I69" s="9" t="s">
        <v>23</v>
      </c>
      <c r="J69" s="9" t="s">
        <v>537</v>
      </c>
      <c r="K69" s="10" t="s">
        <v>538</v>
      </c>
      <c r="L69" s="9" t="s">
        <v>539</v>
      </c>
      <c r="M69" s="9" t="str">
        <f t="shared" si="1"/>
        <v>title: A data-driven, goal-oriented framework for process-focused enterprise re-engineering</v>
      </c>
      <c r="N69" s="9" t="str">
        <f t="shared" si="2"/>
        <v>Abstract: Abstract
Along with enterprise transformation, enterprise re-engineering is essential for maintaining the competitiveness of an enterprise. Enterprise re-engineering addresses (emergent) changes, re-organizing, outsourcing and re-aligning alike. Re-engineering itself has drawn traction in both academia and business. Most scholarly work in this area is confined to model-driven analysis, holistic frameworks for analyzing as-is/to-be enterprise models, and a few other conceptualization techniques. The practice of process redesign understandably takes the stage in re-engineering. Yet algorithmic techniques that insightfully point out how a process might be improved for proactively re-engineering process-intensive enterprise architecture are missing. Data science and business intelligence have brought a refreshingly new analysis to this mainstream problem by studying the operational history of a business process to facilitate most plausible changes. In this article, we investigate enterprise process redesign taking into account enterprise’s high-level strategy and data warehouse. More specifically, we propose an approach to reasoning about an enterprise’s strategy together with data mining rules extracted from the data warehouse of the enterprise. Our redesign algorithms suggest design-time changes to be made to its business processes, primarily by eliminating redundant tasks and re-ordering inefficiently-located tasks. We analyze the effectiveness of candidate to-be business processes with regard to business intelligence indicators. We report our work on the enterprise architecture developed for a retailer of low-cost domestic flights.</v>
      </c>
      <c r="O69" s="11" t="s">
        <v>540</v>
      </c>
      <c r="P69" s="9" t="s">
        <v>541</v>
      </c>
      <c r="Q69" s="9"/>
      <c r="R69" s="9"/>
      <c r="S69" s="12"/>
      <c r="T69" s="9"/>
      <c r="U69" s="9"/>
      <c r="V69" s="6"/>
      <c r="W69" s="6"/>
      <c r="X69" s="6"/>
      <c r="Y69" s="6"/>
      <c r="Z69" s="6"/>
      <c r="AA69" s="6"/>
      <c r="AB69" s="6"/>
      <c r="AC69" s="6"/>
      <c r="AD69" s="6"/>
      <c r="AE69" s="6"/>
    </row>
    <row r="70">
      <c r="A70" s="2" t="s">
        <v>18</v>
      </c>
      <c r="B70" s="2" t="s">
        <v>542</v>
      </c>
      <c r="C70" s="2" t="s">
        <v>18</v>
      </c>
      <c r="D70" s="8" t="s">
        <v>543</v>
      </c>
      <c r="E70" s="14"/>
      <c r="F70" s="2" t="s">
        <v>18</v>
      </c>
      <c r="G70" s="9" t="s">
        <v>544</v>
      </c>
      <c r="H70" s="9">
        <v>2024.0</v>
      </c>
      <c r="I70" s="9" t="s">
        <v>23</v>
      </c>
      <c r="J70" s="9" t="s">
        <v>545</v>
      </c>
      <c r="K70" s="10" t="s">
        <v>546</v>
      </c>
      <c r="L70" s="9" t="s">
        <v>547</v>
      </c>
      <c r="M70" s="9" t="str">
        <f t="shared" si="1"/>
        <v>title: A configurable mining approach for enhancing the business processes' performance</v>
      </c>
      <c r="N70" s="9" t="str">
        <f t="shared" si="2"/>
        <v>Abstract: Abstract  Business is a war to get the attention you deserve from your enemies, and many competitors strive to gain a prominent position. Organizations are constantly seeking innovative ways to work to stay in a competitive business environment. Business process reengineering (BPR) is one of the most management approaches that are adopted by many organizations in order to achieve a dramatic increase in performance and cost reduction. Since the risks enfolded and failure rates related to BPR projects are very high, it is necessary to find ways to support success of BPR in a systematic approach. The major target of this article is to find the implementation of the proposed model to reengineer business processes (BPs) successfully via integrating critical success factors (CSFs) of BPR and BPs' performance. It is created to detect the inefficiencies and bottlenecks in the business process, decrease costs, time and increase quality of business processes, enhance financial environment and make an effective and efficient performance of the business process. It also applies a mining technique of association rule to examine the link between CSFs and several BPs and measures business processes' performance (intended BPR success) by process time, cycle time, quality and cost pre and post reengineering BPs. Thus, it uses a way to select the appropriate model for each business process. The proposed model will be implemented using a real world the Egyptian tax authority case study in order to prove its usefulness and efficiency. Then, inferred CSFs were applied according to each process, which proved the validity and success of the proposed model.</v>
      </c>
      <c r="O70" s="13" t="s">
        <v>548</v>
      </c>
      <c r="P70" s="9" t="s">
        <v>549</v>
      </c>
      <c r="Q70" s="9"/>
      <c r="R70" s="9"/>
      <c r="S70" s="12"/>
      <c r="T70" s="9"/>
      <c r="U70" s="9"/>
      <c r="V70" s="6"/>
      <c r="W70" s="6"/>
      <c r="X70" s="6"/>
      <c r="Y70" s="6"/>
      <c r="Z70" s="6"/>
      <c r="AA70" s="6"/>
      <c r="AB70" s="6"/>
      <c r="AC70" s="6"/>
      <c r="AD70" s="6"/>
      <c r="AE70" s="6"/>
    </row>
    <row r="71">
      <c r="A71" s="2" t="s">
        <v>18</v>
      </c>
      <c r="B71" s="2" t="s">
        <v>550</v>
      </c>
      <c r="C71" s="2" t="s">
        <v>18</v>
      </c>
      <c r="D71" s="8" t="s">
        <v>551</v>
      </c>
      <c r="E71" s="14"/>
      <c r="F71" s="2" t="s">
        <v>18</v>
      </c>
      <c r="G71" s="9" t="s">
        <v>552</v>
      </c>
      <c r="H71" s="9">
        <v>2026.0</v>
      </c>
      <c r="I71" s="9" t="s">
        <v>23</v>
      </c>
      <c r="J71" s="9" t="s">
        <v>553</v>
      </c>
      <c r="K71" s="10" t="s">
        <v>554</v>
      </c>
      <c r="L71" s="9" t="s">
        <v>555</v>
      </c>
      <c r="M71" s="9" t="str">
        <f t="shared" si="1"/>
        <v>title: A QoS and sustainability-driven two-stage service composition method in cloud manufacturing: combining clustering and bi-objective optimization</v>
      </c>
      <c r="N71" s="9" t="str">
        <f t="shared" si="2"/>
        <v>Abstract: Abstract
Manufacturing service composition (MSC) is a core technology in cloud manufacturing (CMfg), which has been intensively studied to find an optimal composite service with the best quality of service (QoS). With the continuous expansion of CMfg platforms, the difficulty of MSC is gradually increasing. Large-scale platforms have put forward higher requirements for combination efficiency, and its open and dynamic environment makes service QoS exhibit strong uncertainty, leading to reliability issues of MSC. Meanwhile, the increased number of services and users makes it necessary for the platform to consider the sustainability issue, including economic, environmental, and social aspects, based on an operations management perspective. However, current studies only consider part of efficiency, reliability, and sustainability as optimization objectives in MSC allocation models, and do not take them into account simultaneously in an integrated manner. Therefore, this study proposes a two-stage method integrating clustering and multi-objective optimization for reliable and sustainable MSC allocation. Specifically, in the first stage, the K-means clustering technique and the QoS stability-based service pruning mechanism are integrated into the service clustering process to improve the reliability of candidate services and reduce the search space of combinations. In the second stage, a multi-objective optimization model with maximizing QoS and sustainability is proposed to find the optimal MSC, and the fast non-dominated sorting genetic algorithm is adopted to solve the model. Finally, a case study of the actual production of a customized automated guided vehicle verifies the effectiveness of the proposed two-stage method.</v>
      </c>
      <c r="O71" s="11" t="s">
        <v>556</v>
      </c>
      <c r="P71" s="9" t="s">
        <v>557</v>
      </c>
      <c r="Q71" s="9"/>
      <c r="R71" s="9"/>
      <c r="S71" s="12"/>
      <c r="T71" s="9"/>
      <c r="U71" s="9"/>
      <c r="V71" s="6"/>
      <c r="W71" s="6"/>
      <c r="X71" s="6"/>
      <c r="Y71" s="6"/>
      <c r="Z71" s="6"/>
      <c r="AA71" s="6"/>
      <c r="AB71" s="6"/>
      <c r="AC71" s="6"/>
      <c r="AD71" s="6"/>
      <c r="AE71" s="6"/>
    </row>
    <row r="72">
      <c r="A72" s="2" t="s">
        <v>18</v>
      </c>
      <c r="B72" s="2" t="s">
        <v>558</v>
      </c>
      <c r="C72" s="2" t="s">
        <v>18</v>
      </c>
      <c r="D72" s="8" t="s">
        <v>559</v>
      </c>
      <c r="E72" s="14"/>
      <c r="F72" s="2" t="s">
        <v>18</v>
      </c>
      <c r="G72" s="9" t="s">
        <v>560</v>
      </c>
      <c r="H72" s="9">
        <v>2021.0</v>
      </c>
      <c r="I72" s="9" t="s">
        <v>23</v>
      </c>
      <c r="J72" s="9" t="s">
        <v>561</v>
      </c>
      <c r="K72" s="10" t="s">
        <v>562</v>
      </c>
      <c r="L72" s="9" t="s">
        <v>563</v>
      </c>
      <c r="M72" s="9" t="str">
        <f t="shared" si="1"/>
        <v>title: A Typology of Business Process Standardization Strategies</v>
      </c>
      <c r="N72" s="9" t="str">
        <f t="shared" si="2"/>
        <v>Abstract: Abstract
Business Process Standardization (BPS) is a strategy for improved efficiency and effectiveness of business processes. However, BPS approaches are known to vary much in practice, can consume inordinate time and resources, and are ill-understood. This study applies an exploratory analysis of BPS literature to identify alternative BPS strategies. The analysis identified three key decision-points when strategizing: (i) Approach to standardization (Bottom-up or Top-down), (ii) Choice of Master Process (Internal Exemplar, Internal Best-of-Breed, or External Exemplar), and (iii) Optimization of the Master Process (Yes or No). These alternative choices, in combination, yield 12 BPS strategies, which are described herein and instantiated by mapping 21 published BPS cases against the 12 strategy types. The resulting typology of BPS strategies can serve as a useful tool for researchers investigating BPS and may provide insight for practitioners when considering an appropriate BPS strategy, or in better understanding their existing implicit or explicit strategy.</v>
      </c>
      <c r="O72" s="11" t="s">
        <v>564</v>
      </c>
      <c r="P72" s="9" t="s">
        <v>565</v>
      </c>
      <c r="Q72" s="15"/>
      <c r="R72" s="9"/>
      <c r="S72" s="12"/>
      <c r="T72" s="9"/>
      <c r="U72" s="9"/>
      <c r="V72" s="6"/>
      <c r="W72" s="6"/>
      <c r="X72" s="6"/>
      <c r="Y72" s="6"/>
      <c r="Z72" s="6"/>
      <c r="AA72" s="6"/>
      <c r="AB72" s="6"/>
      <c r="AC72" s="6"/>
      <c r="AD72" s="6"/>
      <c r="AE72" s="6"/>
    </row>
    <row r="73">
      <c r="A73" s="2" t="s">
        <v>18</v>
      </c>
      <c r="B73" s="2" t="s">
        <v>566</v>
      </c>
      <c r="C73" s="2" t="s">
        <v>18</v>
      </c>
      <c r="D73" s="8" t="s">
        <v>567</v>
      </c>
      <c r="E73" s="14"/>
      <c r="F73" s="2" t="s">
        <v>18</v>
      </c>
      <c r="G73" s="9" t="s">
        <v>568</v>
      </c>
      <c r="H73" s="9">
        <v>2023.0</v>
      </c>
      <c r="I73" s="9" t="s">
        <v>23</v>
      </c>
      <c r="J73" s="9" t="s">
        <v>569</v>
      </c>
      <c r="K73" s="10" t="s">
        <v>570</v>
      </c>
      <c r="L73" s="9" t="s">
        <v>571</v>
      </c>
      <c r="M73" s="9" t="str">
        <f t="shared" si="1"/>
        <v>title: Keeping Your Maturity Assessment Alive: A Method for the Continuous Tracking and Assessment of Organizational Capabilities and Maturity</v>
      </c>
      <c r="N73" s="9" t="str">
        <f t="shared" si="2"/>
        <v>Abstract: Abstract  Maturity models are valuable management tools for assessing and managing capabilities and therefore creating a basis for their identification, prioritization, and further development. Numerous maturity assessment methods have been developed to support organizations in applying maturity models. However, these methods are mostly used for unique assessments and only provide a snapshot of the current state of capabilities and their maturity. Certainly, this does not reflect the continuous change of capabilities within dynamic organizational environments. Moreover, the systematic selection of suitable maturity models and the identification of the actions that should be targeted following the maturity assessment require more attention. To fill these research gaps, this study proposes the generally applicable Continuous Maturity Assessment Method (CMAM) that enables comprehensive and continuous maturity assessments. The CMAM comprises five steps that extend and advance existing principles of maturity assessment and can be implemented as an organizational routine. The rigorous development of the CMAM followed basic principles of the design science research methodology, including an evaluation of six organizations in different industry sectors and an extensive industrial case study.</v>
      </c>
      <c r="O73" s="13" t="s">
        <v>572</v>
      </c>
      <c r="P73" s="9" t="s">
        <v>573</v>
      </c>
      <c r="Q73" s="9"/>
      <c r="R73" s="9"/>
      <c r="S73" s="12"/>
      <c r="T73" s="9"/>
      <c r="U73" s="9"/>
      <c r="V73" s="6"/>
      <c r="W73" s="6"/>
      <c r="X73" s="6"/>
      <c r="Y73" s="6"/>
      <c r="Z73" s="6"/>
      <c r="AA73" s="6"/>
      <c r="AB73" s="6"/>
      <c r="AC73" s="6"/>
      <c r="AD73" s="6"/>
      <c r="AE73" s="6"/>
    </row>
    <row r="74">
      <c r="A74" s="2" t="s">
        <v>18</v>
      </c>
      <c r="B74" s="2" t="s">
        <v>574</v>
      </c>
      <c r="C74" s="2" t="s">
        <v>18</v>
      </c>
      <c r="D74" s="8" t="s">
        <v>575</v>
      </c>
      <c r="E74" s="2"/>
      <c r="F74" s="2" t="s">
        <v>18</v>
      </c>
      <c r="G74" s="9" t="s">
        <v>576</v>
      </c>
      <c r="H74" s="9">
        <v>2024.0</v>
      </c>
      <c r="I74" s="9" t="s">
        <v>23</v>
      </c>
      <c r="J74" s="9" t="s">
        <v>577</v>
      </c>
      <c r="K74" s="10" t="s">
        <v>578</v>
      </c>
      <c r="L74" s="9" t="s">
        <v>579</v>
      </c>
      <c r="M74" s="9" t="str">
        <f t="shared" si="1"/>
        <v>title: Making Sense of Projects—Developing Project Portfolio Management Capabilities</v>
      </c>
      <c r="N74" s="9" t="str">
        <f t="shared" si="2"/>
        <v>Abstract: Abstract  Project management and project portfolio management (PPM) foster competitiveness by facilitating the implementation of organizational strategy. Although organizations often struggle to develop PPM capabilities, the academic community does not have an in-depth understanding of the conditions for successfully developing these capabilities. In response, we conducted a multiple-case study with 50 interviewees to develop a theoretical model of the PPM capability-building process. This model is built on the notion of organizational sensemaking and identifies aspects that comprehensively explain why it usually takes so long to develop PPM capabilities. We conceptualize the PPM capability-building process as one that is strongly influenced by (1) the effects of structural rearrangements, (2) the appropriate use of external resources during that process, (3) the role of executive support and legitimization, (4) episodes of regression, and (5) the need for internalization and habitualization. In addition, we provide starting points for explaining organizational capability building in more general terms.</v>
      </c>
      <c r="O74" s="13" t="s">
        <v>580</v>
      </c>
      <c r="P74" s="9" t="s">
        <v>581</v>
      </c>
      <c r="Q74" s="9"/>
      <c r="R74" s="9"/>
      <c r="S74" s="12"/>
      <c r="T74" s="9"/>
      <c r="U74" s="9"/>
      <c r="V74" s="6"/>
      <c r="W74" s="6"/>
      <c r="X74" s="6"/>
      <c r="Y74" s="6"/>
      <c r="Z74" s="6"/>
      <c r="AA74" s="6"/>
      <c r="AB74" s="6"/>
      <c r="AC74" s="6"/>
      <c r="AD74" s="6"/>
      <c r="AE74" s="6"/>
    </row>
    <row r="75">
      <c r="A75" s="2" t="s">
        <v>18</v>
      </c>
      <c r="B75" s="2" t="s">
        <v>582</v>
      </c>
      <c r="C75" s="2" t="s">
        <v>18</v>
      </c>
      <c r="D75" s="8" t="s">
        <v>583</v>
      </c>
      <c r="E75" s="14"/>
      <c r="F75" s="2" t="s">
        <v>18</v>
      </c>
      <c r="G75" s="9" t="s">
        <v>584</v>
      </c>
      <c r="H75" s="9">
        <v>2022.0</v>
      </c>
      <c r="I75" s="9" t="s">
        <v>23</v>
      </c>
      <c r="J75" s="9" t="s">
        <v>585</v>
      </c>
      <c r="K75" s="10" t="s">
        <v>586</v>
      </c>
      <c r="L75" s="9" t="s">
        <v>587</v>
      </c>
      <c r="M75" s="9" t="str">
        <f t="shared" si="1"/>
        <v>title: A Configuration Taxonomy of Business Process Orientation</v>
      </c>
      <c r="N75" s="9" t="str">
        <f t="shared" si="2"/>
        <v>Abstract: Abstract
Organizations strive to develop a variety of capabilities to improve and measure business processes. Researchers have used various maturity models to investigate the development of a business process orientation (BPO), and most have argued that such a development comes in stages. Current literature underestimates the interrelationships between BPO capabilities and fails to consider multidimensional or non-linear paths to maturity. To refine the features of maturity models, this study relies on configuration theory to uncover different archetypes for BPO development and quantitatively evaluate them by examining performance differences among archetypes based on a large-scale international dataset. The resulting empirical taxonomy with seven BPO archetypes establishes important performance differences between organizations at a similar maturity level. Besides strengthening the theoretical foundations of BPO and making maturity assessments more multifaceted, the results help organizations give their managerial efforts a focus by enabling comparison with peers in the same archetype and showing various paths for BPO improvement.</v>
      </c>
      <c r="O75" s="11" t="s">
        <v>588</v>
      </c>
      <c r="P75" s="9" t="s">
        <v>589</v>
      </c>
      <c r="Q75" s="9"/>
      <c r="R75" s="9"/>
      <c r="S75" s="12"/>
      <c r="T75" s="9"/>
      <c r="U75" s="9"/>
      <c r="V75" s="6"/>
      <c r="W75" s="6"/>
      <c r="X75" s="6"/>
      <c r="Y75" s="6"/>
      <c r="Z75" s="6"/>
      <c r="AA75" s="6"/>
      <c r="AB75" s="6"/>
      <c r="AC75" s="6"/>
      <c r="AD75" s="6"/>
      <c r="AE75" s="6"/>
    </row>
    <row r="76">
      <c r="A76" s="2" t="s">
        <v>18</v>
      </c>
      <c r="B76" s="2" t="s">
        <v>590</v>
      </c>
      <c r="C76" s="2" t="s">
        <v>18</v>
      </c>
      <c r="D76" s="8" t="s">
        <v>591</v>
      </c>
      <c r="E76" s="14"/>
      <c r="F76" s="2" t="s">
        <v>18</v>
      </c>
      <c r="G76" s="9" t="s">
        <v>592</v>
      </c>
      <c r="H76" s="9">
        <v>2023.0</v>
      </c>
      <c r="I76" s="9" t="s">
        <v>23</v>
      </c>
      <c r="J76" s="9" t="s">
        <v>593</v>
      </c>
      <c r="K76" s="10" t="s">
        <v>594</v>
      </c>
      <c r="L76" s="9" t="s">
        <v>595</v>
      </c>
      <c r="M76" s="9" t="str">
        <f t="shared" si="1"/>
        <v>title: Measurement and performance impact of team mental models on process performance</v>
      </c>
      <c r="N76" s="9" t="str">
        <f t="shared" si="2"/>
        <v>Abstract: Abstract  Efficient business process execution is an essential part of an organisation’s success. It depends on good dynamic decision making of process actors that is guided by their mental models of business processes (MMBP). The study investigates the effect of MMBPs on process performance at two levels. At the level of individuals, the impact of MMBP accuracy on performance is analyzed, and at the level of a team, the effect of similarity of MMBPs of all team on performance is researched. At both levels, MMBPs are differentiated in a narrow part that focuses on the mental representations of process steps that precede or follow on the one conducted by the actor and a holistic model that captures the process as a whole. We use laboratory observations with 159 participants in 10 teams from a real effort loan processing role play. We obtain individual MMBP accuracy measures by using a process knowledge test and measure the process performance of teams with the outcome of the role play. Our study contributes in three ways to existing research. First, the measurement approach of individual MMBP accuracy and similarity is extended to the level of teams. Second, the study shows that the accuracy of both narrow and holistic MMBPs as well as similarity of holistic MMBPs positively impact team process performance. Third, by using an observable team process performance measures from a real-effort task, we increase the validity of our findings compared to other research relying on self-assessed performance measures.</v>
      </c>
      <c r="O76" s="13" t="s">
        <v>596</v>
      </c>
      <c r="P76" s="9" t="s">
        <v>597</v>
      </c>
      <c r="Q76" s="9"/>
      <c r="R76" s="9"/>
      <c r="S76" s="12"/>
      <c r="T76" s="9"/>
      <c r="U76" s="9"/>
      <c r="V76" s="6"/>
      <c r="W76" s="6"/>
      <c r="X76" s="6"/>
      <c r="Y76" s="6"/>
      <c r="Z76" s="6"/>
      <c r="AA76" s="6"/>
      <c r="AB76" s="6"/>
      <c r="AC76" s="6"/>
      <c r="AD76" s="6"/>
      <c r="AE76" s="6"/>
    </row>
  </sheetData>
  <autoFilter ref="$A$1:$AE$76"/>
  <conditionalFormatting sqref="A1:U76">
    <cfRule type="expression" dxfId="0" priority="1">
      <formula>COUNTIF($F1,"Conforme")</formula>
    </cfRule>
  </conditionalFormatting>
  <conditionalFormatting sqref="A1:N76 P1:P76 R1:U76">
    <cfRule type="expression" dxfId="1" priority="2">
      <formula>COUNTIF($F1,"Inconforme")</formula>
    </cfRule>
  </conditionalFormatting>
  <conditionalFormatting sqref="A1:U76">
    <cfRule type="expression" dxfId="2" priority="3">
      <formula>$E1= "Duvida"</formula>
    </cfRule>
  </conditionalFormatting>
  <dataValidations>
    <dataValidation type="list" allowBlank="1" showErrorMessage="1" sqref="A2:A76 C2:C76 E2:F76">
      <formula1>"Conforme,Inconforme - Artigos com conteúdo pago,Inconforme -Artigos duplicados ou similares,Inconforme - Artigos indisponíveis para download ou visualização;,Inconforme - Artigos que não estejam relacionados com as perguntas de pequisa,Inconforme - Artigo"&amp;"s secundários,Inconforme,Duvida"</formula1>
    </dataValidation>
  </dataValidations>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1"/>
    <hyperlink r:id="rId41" ref="K42"/>
    <hyperlink r:id="rId42" ref="K43"/>
    <hyperlink r:id="rId43" ref="K44"/>
    <hyperlink r:id="rId44" ref="K45"/>
    <hyperlink r:id="rId45" ref="K46"/>
    <hyperlink r:id="rId46" ref="K47"/>
    <hyperlink r:id="rId47" ref="K48"/>
    <hyperlink r:id="rId48" ref="K49"/>
    <hyperlink r:id="rId49" ref="K50"/>
    <hyperlink r:id="rId50" ref="K51"/>
    <hyperlink r:id="rId51" ref="K52"/>
    <hyperlink r:id="rId52" ref="K53"/>
    <hyperlink r:id="rId53" ref="K54"/>
    <hyperlink r:id="rId54" ref="K55"/>
    <hyperlink r:id="rId55" ref="K56"/>
    <hyperlink r:id="rId56" ref="K57"/>
    <hyperlink r:id="rId57" ref="K58"/>
    <hyperlink r:id="rId58" ref="K59"/>
    <hyperlink r:id="rId59" ref="K60"/>
    <hyperlink r:id="rId60" ref="K61"/>
    <hyperlink r:id="rId61" ref="K62"/>
    <hyperlink r:id="rId62" ref="K63"/>
    <hyperlink r:id="rId63" ref="K64"/>
    <hyperlink r:id="rId64" ref="K65"/>
    <hyperlink r:id="rId65" ref="K66"/>
    <hyperlink r:id="rId66" ref="K67"/>
    <hyperlink r:id="rId67" ref="K68"/>
    <hyperlink r:id="rId68" ref="K69"/>
    <hyperlink r:id="rId69" ref="K70"/>
    <hyperlink r:id="rId70" ref="K71"/>
    <hyperlink r:id="rId71" ref="K72"/>
    <hyperlink r:id="rId72" ref="K73"/>
    <hyperlink r:id="rId73" ref="K74"/>
    <hyperlink r:id="rId74" ref="K75"/>
    <hyperlink r:id="rId75" ref="K76"/>
  </hyperlinks>
  <drawing r:id="rId7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13"/>
    <col customWidth="1" min="2" max="2" width="14.88"/>
    <col customWidth="1" min="3" max="6" width="11.13"/>
    <col customWidth="1" min="8" max="8" width="13.25"/>
    <col customWidth="1" min="9" max="9" width="5.63"/>
    <col customWidth="1" min="10" max="10" width="24.0"/>
    <col customWidth="1" min="11" max="11" width="13.25"/>
    <col customWidth="1" min="13" max="13" width="24.0"/>
    <col customWidth="1" min="14" max="14" width="70.38"/>
    <col customWidth="1" min="15" max="15" width="24.0"/>
    <col customWidth="1" min="16" max="16" width="13.25"/>
    <col customWidth="1" min="17" max="17" width="24.0"/>
    <col customWidth="1" min="18" max="18" width="70.38"/>
    <col customWidth="1" min="20" max="22" width="13.25"/>
  </cols>
  <sheetData>
    <row r="1">
      <c r="A1" s="17" t="s">
        <v>1</v>
      </c>
      <c r="B1" s="18" t="s">
        <v>2</v>
      </c>
      <c r="C1" s="19" t="s">
        <v>3</v>
      </c>
      <c r="D1" s="19" t="s">
        <v>4</v>
      </c>
      <c r="E1" s="17" t="s">
        <v>5</v>
      </c>
      <c r="F1" s="17" t="s">
        <v>6</v>
      </c>
      <c r="G1" s="20" t="s">
        <v>7</v>
      </c>
      <c r="H1" s="20" t="s">
        <v>15</v>
      </c>
      <c r="I1" s="20" t="s">
        <v>8</v>
      </c>
      <c r="J1" s="20" t="s">
        <v>10</v>
      </c>
      <c r="K1" s="20" t="s">
        <v>11</v>
      </c>
      <c r="L1" s="20" t="s">
        <v>12</v>
      </c>
      <c r="M1" s="20" t="s">
        <v>598</v>
      </c>
      <c r="N1" s="21" t="s">
        <v>599</v>
      </c>
      <c r="O1" s="20"/>
      <c r="P1" s="20" t="s">
        <v>14</v>
      </c>
      <c r="Q1" s="20" t="s">
        <v>598</v>
      </c>
      <c r="R1" s="20" t="s">
        <v>13</v>
      </c>
      <c r="S1" s="20"/>
      <c r="T1" s="20" t="s">
        <v>16</v>
      </c>
      <c r="U1" s="20" t="s">
        <v>17</v>
      </c>
      <c r="V1" s="22"/>
    </row>
    <row r="2">
      <c r="A2" s="23" t="s">
        <v>20</v>
      </c>
      <c r="B2" s="24" t="s">
        <v>600</v>
      </c>
      <c r="C2" s="24" t="s">
        <v>20</v>
      </c>
      <c r="D2" s="24" t="s">
        <v>601</v>
      </c>
      <c r="E2" s="25"/>
      <c r="F2" s="23" t="s">
        <v>20</v>
      </c>
      <c r="G2" s="26" t="s">
        <v>602</v>
      </c>
      <c r="H2" s="26" t="s">
        <v>603</v>
      </c>
      <c r="I2" s="26">
        <v>2021.0</v>
      </c>
      <c r="J2" s="26" t="s">
        <v>604</v>
      </c>
      <c r="K2" s="27" t="s">
        <v>605</v>
      </c>
      <c r="L2" s="28">
        <v>46174.0</v>
      </c>
      <c r="M2" s="26" t="str">
        <f t="shared" ref="M2:M78" si="1">"Title: " &amp; J2</f>
        <v>Title: Business Process Management as a driver for Digital Transformation : A case study in a higher education institution</v>
      </c>
      <c r="N2" s="29" t="str">
        <f t="shared" ref="N2:N78" si="2">"Abstract: " &amp; R2</f>
        <v>Abstract: Digital transformation of the organization's processes accelerated in recent years and boosted with the Covid-19 pandemic. Digital transformation usually implies process changes and leads to increased automation of flows, which results in many benefits. In this scenario, the use of business process management systems presents clear advantages due to the speed of implementation and, above all, the ease and rapid adjustment of digital support to changes in business processes. To concretely evaluate the benefits of adopting business process management systems in higher education, it was carried out a case study based on the implementation of an internal process on a business process management system, and the subsequent completion of a user survey. The survey, based on the ISO/IEC-25010 quality standard, concluded that the process implemented under the case study is significantly better in terms of quality of use.</v>
      </c>
      <c r="O2" s="26"/>
      <c r="P2" s="26" t="s">
        <v>606</v>
      </c>
      <c r="Q2" s="26" t="str">
        <f t="shared" ref="Q2:Q78" si="3">"title: " &amp; J2</f>
        <v>title: Business Process Management as a driver for Digital Transformation : A case study in a higher education institution</v>
      </c>
      <c r="R2" s="26" t="s">
        <v>607</v>
      </c>
      <c r="S2" s="26"/>
      <c r="T2" s="30"/>
      <c r="U2" s="26" t="s">
        <v>608</v>
      </c>
      <c r="V2" s="31"/>
    </row>
    <row r="3">
      <c r="A3" s="23" t="s">
        <v>20</v>
      </c>
      <c r="B3" s="24" t="s">
        <v>609</v>
      </c>
      <c r="C3" s="24" t="s">
        <v>20</v>
      </c>
      <c r="D3" s="24" t="s">
        <v>610</v>
      </c>
      <c r="E3" s="25"/>
      <c r="F3" s="23" t="s">
        <v>20</v>
      </c>
      <c r="G3" s="26" t="s">
        <v>611</v>
      </c>
      <c r="H3" s="26" t="s">
        <v>612</v>
      </c>
      <c r="I3" s="26">
        <v>2023.0</v>
      </c>
      <c r="J3" s="26" t="s">
        <v>613</v>
      </c>
      <c r="K3" s="27" t="s">
        <v>614</v>
      </c>
      <c r="L3" s="26" t="s">
        <v>615</v>
      </c>
      <c r="M3" s="26" t="str">
        <f t="shared" si="1"/>
        <v>Title: Digital Transformation of Islamic Banks using Business Process Management</v>
      </c>
      <c r="N3" s="29" t="str">
        <f t="shared" si="2"/>
        <v>Abstract: Organizational management that utilizes business processes has become of paramount importance to organizations to reach a high level of effectiveness and competitiveness by adopting an effective Business Process Management (BPM) model. This paper presents a business process management model in Islamic banks for digital conversion with a business process management system. The study is to clarify the role of technology in Islamic financing banks in the start-up phase, by proposing to work with the practice BPM system, designed for automating the business using technology. This is for facing the most serious administrative challenges in Islamic banks, with control over the most technical challenges. One of the stages of the model was implemented in the Libyan Islamic Bank and achieved encouraging results through which it is possible to continue applying the entire stages of the system to many Islamic banks operating in Libya.</v>
      </c>
      <c r="O3" s="26"/>
      <c r="P3" s="26" t="s">
        <v>616</v>
      </c>
      <c r="Q3" s="26" t="str">
        <f t="shared" si="3"/>
        <v>title: Digital Transformation of Islamic Banks using Business Process Management</v>
      </c>
      <c r="R3" s="26" t="s">
        <v>617</v>
      </c>
      <c r="S3" s="26"/>
      <c r="T3" s="30"/>
      <c r="U3" s="32"/>
      <c r="V3" s="33"/>
    </row>
    <row r="4">
      <c r="A4" s="23" t="s">
        <v>18</v>
      </c>
      <c r="B4" s="24" t="s">
        <v>618</v>
      </c>
      <c r="C4" s="24" t="s">
        <v>18</v>
      </c>
      <c r="D4" s="24" t="s">
        <v>619</v>
      </c>
      <c r="E4" s="25"/>
      <c r="F4" s="23" t="s">
        <v>18</v>
      </c>
      <c r="G4" s="26" t="s">
        <v>620</v>
      </c>
      <c r="H4" s="26" t="s">
        <v>621</v>
      </c>
      <c r="I4" s="26">
        <v>2024.0</v>
      </c>
      <c r="J4" s="26" t="s">
        <v>622</v>
      </c>
      <c r="K4" s="27" t="s">
        <v>623</v>
      </c>
      <c r="L4" s="26" t="s">
        <v>624</v>
      </c>
      <c r="M4" s="26" t="str">
        <f t="shared" si="1"/>
        <v>Title: Triad of Digital Transformation: Holistic Orchestration for People, Process, and Technology</v>
      </c>
      <c r="N4" s="29" t="str">
        <f t="shared" si="2"/>
        <v>Abstract: Digital transformation (DT) is a critical area of focus as it disruptively transforms organizational business models, processes, and products. Despite being a prominent topic among information system scholars, the research has mostly centered around technological aspects, and there is a need to broaden the research approach to increase the understanding of DT's intricate dynamics, interdisciplinary nature, and cross-level perspectives, with practical guidance, while providing actionable insights for organizations. Through action design research, we elaborate a practical Digital-by-Design (DbD) framework grounded in theoretical foundations, to emphasize the interconnected dimensions of people, process and technology for enhancing DT feasibility and viability. This research contributes to a deeper understanding of DT initiatives by recognizing the significance of: 1) diverse organizational, process, and industry needs; 2) individual uniqueness concerning DT; 3) technology integration and scale-up patterns; 4) cross-level empirical perspectives; and 5) an interdisciplinary approach by supporting organizations when navigating DT complexities and dynamics. Recognizing the practical managerial challenges, the study offers a comprehensive guidance for designing and implementing a DT into the business processes.</v>
      </c>
      <c r="O4" s="26"/>
      <c r="P4" s="26" t="s">
        <v>625</v>
      </c>
      <c r="Q4" s="26" t="str">
        <f t="shared" si="3"/>
        <v>title: Triad of Digital Transformation: Holistic Orchestration for People, Process, and Technology</v>
      </c>
      <c r="R4" s="26" t="s">
        <v>626</v>
      </c>
      <c r="S4" s="26"/>
      <c r="T4" s="30"/>
      <c r="U4" s="26" t="s">
        <v>627</v>
      </c>
      <c r="V4" s="31"/>
    </row>
    <row r="5">
      <c r="A5" s="23" t="s">
        <v>18</v>
      </c>
      <c r="B5" s="24" t="s">
        <v>628</v>
      </c>
      <c r="C5" s="24" t="s">
        <v>18</v>
      </c>
      <c r="D5" s="24" t="s">
        <v>629</v>
      </c>
      <c r="E5" s="25"/>
      <c r="F5" s="23" t="s">
        <v>18</v>
      </c>
      <c r="G5" s="26" t="s">
        <v>630</v>
      </c>
      <c r="H5" s="26" t="s">
        <v>631</v>
      </c>
      <c r="I5" s="26">
        <v>2023.0</v>
      </c>
      <c r="J5" s="26" t="s">
        <v>632</v>
      </c>
      <c r="K5" s="27" t="s">
        <v>633</v>
      </c>
      <c r="L5" s="26" t="s">
        <v>634</v>
      </c>
      <c r="M5" s="26" t="str">
        <f t="shared" si="1"/>
        <v>Title: Implementation of Digital Technologies in Production Processes</v>
      </c>
      <c r="N5" s="29" t="str">
        <f t="shared" si="2"/>
        <v>Abstract: Modern production requires modern methods of management and organization of processes. The most important methods are digitalization of big data collection, storage and analysis, control of production and management processes, building a product lifecycle management system based on modern information technologies. The article shows the role of information technology in a successful enterprise. Analytics helps to understand the information contained in big data. Visualization of data provides for more efficient use by humans. Blockchain is another digital technology with future potential for quality improvement, especially in the field of security and traceability. The connection between information technologies (IT) and operational technologies (OT) is shown, where IT includes the enterprise quality management system (EQMS), enterprise resource planning (ERP) and product lifecycle management (PLM), and OT are technologies used in production.</v>
      </c>
      <c r="O5" s="26"/>
      <c r="P5" s="26" t="s">
        <v>635</v>
      </c>
      <c r="Q5" s="26" t="str">
        <f t="shared" si="3"/>
        <v>title: Implementation of Digital Technologies in Production Processes</v>
      </c>
      <c r="R5" s="26" t="s">
        <v>636</v>
      </c>
      <c r="S5" s="26"/>
      <c r="T5" s="30"/>
      <c r="U5" s="32"/>
      <c r="V5" s="33"/>
    </row>
    <row r="6">
      <c r="A6" s="23" t="s">
        <v>20</v>
      </c>
      <c r="B6" s="24" t="s">
        <v>637</v>
      </c>
      <c r="C6" s="24" t="s">
        <v>20</v>
      </c>
      <c r="D6" s="24" t="s">
        <v>638</v>
      </c>
      <c r="E6" s="25"/>
      <c r="F6" s="23" t="s">
        <v>20</v>
      </c>
      <c r="G6" s="26" t="s">
        <v>639</v>
      </c>
      <c r="H6" s="26" t="s">
        <v>640</v>
      </c>
      <c r="I6" s="26">
        <v>2023.0</v>
      </c>
      <c r="J6" s="26" t="s">
        <v>641</v>
      </c>
      <c r="K6" s="27" t="s">
        <v>642</v>
      </c>
      <c r="L6" s="28">
        <v>46143.0</v>
      </c>
      <c r="M6" s="26" t="str">
        <f t="shared" si="1"/>
        <v>Title: AIML: The Approach of Optimization to Support the Company Organizing the Automated Business Technique</v>
      </c>
      <c r="N6" s="29" t="str">
        <f t="shared" si="2"/>
        <v>Abstract: Companies struggle with the ongoing optimization of their business processes. In this era of rapid technological advancement, ever-changing internal and external framework circumstances, and evolving consumer preferences, Businesses should optimize their internal procedures to provide the quickest turnaround times, the highest product quality, and other benefits. The goal of this article is to use techniques like machine learning and artificial intelligence (AI) to examine how the digital revolution will affect Business Process Management (BPM). As a result, break down the essentials to show that everything fits together. Digital businesses will be interviewed and analysed to determine potential use cases. The paper's findings will consist of recommendations for future research and development in the area of business process management (BPM) and procedure optimization using machine learning and AI. The optimum tool for automated BPM may be determined with the use of machine learning and AI-based process of management strategies.</v>
      </c>
      <c r="O6" s="26"/>
      <c r="P6" s="26" t="s">
        <v>643</v>
      </c>
      <c r="Q6" s="26" t="str">
        <f t="shared" si="3"/>
        <v>title: AIML: The Approach of Optimization to Support the Company Organizing the Automated Business Technique</v>
      </c>
      <c r="R6" s="26" t="s">
        <v>644</v>
      </c>
      <c r="S6" s="26"/>
      <c r="T6" s="30"/>
      <c r="U6" s="32"/>
      <c r="V6" s="33"/>
    </row>
    <row r="7">
      <c r="A7" s="23" t="s">
        <v>18</v>
      </c>
      <c r="B7" s="24" t="s">
        <v>645</v>
      </c>
      <c r="C7" s="24" t="s">
        <v>18</v>
      </c>
      <c r="D7" s="24" t="s">
        <v>646</v>
      </c>
      <c r="E7" s="25"/>
      <c r="F7" s="23" t="s">
        <v>18</v>
      </c>
      <c r="G7" s="26" t="s">
        <v>647</v>
      </c>
      <c r="H7" s="26" t="s">
        <v>648</v>
      </c>
      <c r="I7" s="26">
        <v>2024.0</v>
      </c>
      <c r="J7" s="26" t="s">
        <v>649</v>
      </c>
      <c r="K7" s="27" t="s">
        <v>650</v>
      </c>
      <c r="L7" s="26" t="s">
        <v>651</v>
      </c>
      <c r="M7" s="26" t="str">
        <f t="shared" si="1"/>
        <v>Title: Business Process Automation in SMEs: A Systematic Literature Review</v>
      </c>
      <c r="N7" s="29" t="str">
        <f t="shared" si="2"/>
        <v>Abstract: Business Process Automation has been gaining increasing importance in the management of companies and organizations since it reduces the time needed to carry out routine tasks, freeing employees for other, more creative and exciting things. It can be applied in the most varied business areas. Organizations from any sector of activity can also adopt it. Given these benefits, the granted success in transforming business processes would be expected. However, automation initiatives still fail. Adopting this technology can raise social, technological, ethical, methodical, and organizational issues. These facts have triggered the necessity for a summary that could extract more information about how to implement Business Process Automation (BPA), attending to the administrative processes, especially when applied in Small and Medium-sized Enterprises (SMEs). This study aims not only to review the available literature on how to implement BPA but also to typify the processes that can be automated, which technologies or tools exist for making that change, and influence factors in the procedure of BPA. We have covered more than 300 research papers published between 2016 and 2023 in reputable scientific data sources like Scopus, Web of Science/Clarivate, and ScienceDirect/Elsevier. The review revealed some paths for BPA, with some common steps. In addition, some common process characteristics fundamental to automation are exposed, as well as factors that are critical to an organization for successful automation. The results indicate that BPA is an established area in Business Process Management related to technologies/tools like Robotic Process Automation (RPA) or Cognitive-Robotic Process Automation (C-RPA), Workflow Management Systems (WfMS), Enterprise Resource Planning (ERP), and Blockchain. As far as we observed, this Systematic Literature Review (SLR) is a unique study that covers all the environmental variables for applying automation in business processes.</v>
      </c>
      <c r="O7" s="26"/>
      <c r="P7" s="26" t="s">
        <v>652</v>
      </c>
      <c r="Q7" s="26" t="str">
        <f t="shared" si="3"/>
        <v>title: Business Process Automation in SMEs: A Systematic Literature Review</v>
      </c>
      <c r="R7" s="26" t="s">
        <v>653</v>
      </c>
      <c r="S7" s="26"/>
      <c r="T7" s="30"/>
      <c r="U7" s="26" t="s">
        <v>654</v>
      </c>
      <c r="V7" s="31"/>
    </row>
    <row r="8">
      <c r="A8" s="23" t="s">
        <v>20</v>
      </c>
      <c r="B8" s="24" t="s">
        <v>655</v>
      </c>
      <c r="C8" s="24" t="s">
        <v>20</v>
      </c>
      <c r="D8" s="24" t="s">
        <v>656</v>
      </c>
      <c r="E8" s="25"/>
      <c r="F8" s="23" t="s">
        <v>20</v>
      </c>
      <c r="G8" s="26" t="s">
        <v>657</v>
      </c>
      <c r="H8" s="26" t="s">
        <v>612</v>
      </c>
      <c r="I8" s="26">
        <v>2023.0</v>
      </c>
      <c r="J8" s="26" t="s">
        <v>658</v>
      </c>
      <c r="K8" s="27" t="s">
        <v>659</v>
      </c>
      <c r="L8" s="26" t="s">
        <v>660</v>
      </c>
      <c r="M8" s="26" t="str">
        <f t="shared" si="1"/>
        <v>Title: Application of Business Process Management in the Libyan International Medical University: History and Development</v>
      </c>
      <c r="N8" s="29" t="str">
        <f t="shared" si="2"/>
        <v>Abstract: Business Process Management (BPM) as a management discipline has become crucial for organizations to be competitive and also an important area of research for many business organizations. The need for employees with skills and knowledge in business process management, as organizations develop their processes through modeling, simulation, implementation and continuous improvement may require an appropriate workforce to develop people with knowledge and expertise such as business process modelers, analysts, designers and implementers etc. This places a great demand on higher education institutions to provide these competencies by teaching business process management to their students. It has become necessary to develop educational approaches that actually allow for effective BPM teaching. Furthermore, to provide high-quality education and research, the universities themselves may take advantage of Business Process Management. Due to the emergence of BPM a number of higher education institutions around the world have begun implementing BPM over the past few decades. However, the number of institutions that offer specialized education on BPM in a systematic and in-depth manner is rare compared to other disciplines. This paper presents a business process management project at the Libyan International Medical University (LIMU) for the purpose of digital transformation from a functional management system to a business process management system. We will present the project from its inception, the process of selecting trainees, the stages of development they have gone through and the current stage of the project. In general, the selected trainees have achieved high levels of learning using the assisted self-learning method.</v>
      </c>
      <c r="O8" s="26"/>
      <c r="P8" s="26" t="s">
        <v>661</v>
      </c>
      <c r="Q8" s="26" t="str">
        <f t="shared" si="3"/>
        <v>title: Application of Business Process Management in the Libyan International Medical University: History and Development</v>
      </c>
      <c r="R8" s="26" t="s">
        <v>662</v>
      </c>
      <c r="S8" s="26"/>
      <c r="T8" s="30"/>
      <c r="U8" s="30"/>
      <c r="V8" s="34"/>
    </row>
    <row r="9">
      <c r="A9" s="23" t="s">
        <v>20</v>
      </c>
      <c r="B9" s="24" t="s">
        <v>663</v>
      </c>
      <c r="C9" s="24" t="s">
        <v>18</v>
      </c>
      <c r="D9" s="24" t="s">
        <v>664</v>
      </c>
      <c r="E9" s="25"/>
      <c r="F9" s="23" t="s">
        <v>18</v>
      </c>
      <c r="G9" s="26" t="s">
        <v>665</v>
      </c>
      <c r="H9" s="26" t="s">
        <v>666</v>
      </c>
      <c r="I9" s="26">
        <v>2022.0</v>
      </c>
      <c r="J9" s="26" t="s">
        <v>667</v>
      </c>
      <c r="K9" s="27" t="s">
        <v>668</v>
      </c>
      <c r="L9" s="26" t="s">
        <v>669</v>
      </c>
      <c r="M9" s="26" t="str">
        <f t="shared" si="1"/>
        <v>Title: Toward a Game-like Experience: Design of a Modern User Interface of a Simulation Game for Teaching Business Process Digitalization</v>
      </c>
      <c r="N9" s="29" t="str">
        <f t="shared" si="2"/>
        <v>Abstract: Educators have recently been searching for new teaching methods other than traditional frontal lectures, and the ongoing pandemic has drastically boosted this process. Information systems (IS) education is no exception, since, in addition to the challenges of virtual learning, some IS concepts, like Digital Transformation or Business Process Management, lead to better mastering of the learning objectives when taught with some hands-on experience. One method of providing such an experience is the adoption of simulation business games. However, while the learning effect of the existing games is proven to be positive, their user interfaces (UI) are often criticized, which is also reflected in the research. Thus, taking one such game as an example, we propose a way to improve its UI by analyzing non-educational games with simulation aspects with a focus on requirements definition for the game UI in the educational context. Afterward, we implement the ten gathered requirements into a UI prototype by utilizing the SCRUM method, and finally, we evaluate our UI with an expert interview as well as by showcasing it to our target audience and gathering their opinion using the System Usability Scale (SUS) questionnaire. Our research leads to a drastic improvement of the SUS score, compared to the previous version, thus paving the way to implementing further scenarios for teaching business process digitalization.</v>
      </c>
      <c r="O9" s="26"/>
      <c r="P9" s="26" t="s">
        <v>670</v>
      </c>
      <c r="Q9" s="26" t="str">
        <f t="shared" si="3"/>
        <v>title: Toward a Game-like Experience: Design of a Modern User Interface of a Simulation Game for Teaching Business Process Digitalization</v>
      </c>
      <c r="R9" s="26" t="s">
        <v>671</v>
      </c>
      <c r="S9" s="26"/>
      <c r="T9" s="30"/>
      <c r="U9" s="26" t="s">
        <v>672</v>
      </c>
      <c r="V9" s="31"/>
    </row>
    <row r="10">
      <c r="A10" s="23" t="s">
        <v>18</v>
      </c>
      <c r="B10" s="24" t="s">
        <v>673</v>
      </c>
      <c r="C10" s="24" t="s">
        <v>18</v>
      </c>
      <c r="D10" s="24" t="s">
        <v>674</v>
      </c>
      <c r="E10" s="25"/>
      <c r="F10" s="23" t="s">
        <v>18</v>
      </c>
      <c r="G10" s="26" t="s">
        <v>675</v>
      </c>
      <c r="H10" s="26" t="s">
        <v>676</v>
      </c>
      <c r="I10" s="26">
        <v>2024.0</v>
      </c>
      <c r="J10" s="26" t="s">
        <v>677</v>
      </c>
      <c r="K10" s="27" t="s">
        <v>678</v>
      </c>
      <c r="L10" s="28">
        <v>46206.0</v>
      </c>
      <c r="M10" s="26" t="str">
        <f t="shared" si="1"/>
        <v>Title: Digital Technologies and a Process Approach</v>
      </c>
      <c r="N10" s="29" t="str">
        <f t="shared" si="2"/>
        <v>Abstract: One of the key principles of building modern production is the process approach. The processes determine the possibility and efficiency of obtaining modern materials and products, mechanical engineering, electrical engineering, electronic and any other products. On the other hand, process management at the current stage of technology development requires the use of modern digital technologies. Decision-making on process adjustments becomes possible directly during their realization. In some cases, it is possible to use artificial intelligence and use predictive analytics. Another possible use of digital technologies is the management process and the reduction of managerial errors.</v>
      </c>
      <c r="O10" s="26"/>
      <c r="P10" s="26" t="s">
        <v>679</v>
      </c>
      <c r="Q10" s="26" t="str">
        <f t="shared" si="3"/>
        <v>title: Digital Technologies and a Process Approach</v>
      </c>
      <c r="R10" s="26" t="s">
        <v>680</v>
      </c>
      <c r="S10" s="26"/>
      <c r="T10" s="30"/>
      <c r="U10" s="30"/>
      <c r="V10" s="34"/>
    </row>
    <row r="11">
      <c r="A11" s="23" t="s">
        <v>18</v>
      </c>
      <c r="B11" s="24" t="s">
        <v>681</v>
      </c>
      <c r="C11" s="24" t="s">
        <v>18</v>
      </c>
      <c r="D11" s="24" t="s">
        <v>682</v>
      </c>
      <c r="E11" s="25"/>
      <c r="F11" s="23" t="s">
        <v>18</v>
      </c>
      <c r="G11" s="26" t="s">
        <v>683</v>
      </c>
      <c r="H11" s="26" t="s">
        <v>631</v>
      </c>
      <c r="I11" s="26">
        <v>2023.0</v>
      </c>
      <c r="J11" s="26" t="s">
        <v>684</v>
      </c>
      <c r="K11" s="27" t="s">
        <v>685</v>
      </c>
      <c r="L11" s="28">
        <v>46206.0</v>
      </c>
      <c r="M11" s="26" t="str">
        <f t="shared" si="1"/>
        <v>Title: Information Technologies in the Organization of Production and Quality Management</v>
      </c>
      <c r="N11" s="29" t="str">
        <f t="shared" si="2"/>
        <v>Abstract: Digital transformation affects an increasing number of areas of activity of each enterprise or organization. In this paper, the most common information technologies implemented in the organization of production and quality management are considered.</v>
      </c>
      <c r="O11" s="26"/>
      <c r="P11" s="26" t="s">
        <v>686</v>
      </c>
      <c r="Q11" s="26" t="str">
        <f t="shared" si="3"/>
        <v>title: Information Technologies in the Organization of Production and Quality Management</v>
      </c>
      <c r="R11" s="26" t="s">
        <v>687</v>
      </c>
      <c r="S11" s="26"/>
      <c r="T11" s="30"/>
      <c r="U11" s="30"/>
      <c r="V11" s="34"/>
    </row>
    <row r="12">
      <c r="A12" s="23" t="s">
        <v>20</v>
      </c>
      <c r="B12" s="24" t="s">
        <v>688</v>
      </c>
      <c r="C12" s="24" t="s">
        <v>20</v>
      </c>
      <c r="D12" s="24" t="s">
        <v>689</v>
      </c>
      <c r="E12" s="25"/>
      <c r="F12" s="23" t="s">
        <v>20</v>
      </c>
      <c r="G12" s="26" t="s">
        <v>690</v>
      </c>
      <c r="H12" s="26" t="s">
        <v>648</v>
      </c>
      <c r="I12" s="26">
        <v>2025.0</v>
      </c>
      <c r="J12" s="26" t="s">
        <v>691</v>
      </c>
      <c r="K12" s="27" t="s">
        <v>692</v>
      </c>
      <c r="L12" s="26" t="s">
        <v>693</v>
      </c>
      <c r="M12" s="26" t="str">
        <f t="shared" si="1"/>
        <v>Title: The iBPM Lifecycle: Integrating Low-Code and Hyperautomation Into Business Process Management</v>
      </c>
      <c r="N12" s="29" t="str">
        <f t="shared" si="2"/>
        <v>Abstract: Low-code (LC) technology and hyperautomation (HA) are reshaping Business Process Management (BPM) practice by enabling faster, more agile, and more accessible process design and automation. This technological convergence challenges the relevance of the traditional BPM lifecycle, which is increasingly misaligned with the proactive, user-centric capabilities now available in LC-BPM environments augmented with HA capabilities. This study introduces the intelligent BPM (iBPM) lifecycle – an empirically grounded model that redefines the traditional BPM approach in light of new technological advances. The iBPM lifecycle model reflects HA capabilities and LC democratization, integrating them into BPM practices to proactively enhance user experience and efficiency in BPM projects. The model was developed using a modified Delphi method with ten experts from leading LC-BPM vendors and validated through formative evaluation workshops in manufacturing, financial services, and IT consulting organizations. Findings show that the iBPM lifecycle unifies process design, application design, and process observability within an integrated, augmented environment, reducing reliance on professional developers and accelerating process transformation. By explicitly incorporating LC and HA capabilities, the iBPM lifecycle provides both a theoretical revision of the traditional BPM lifecycle and a practical roadmap for intelligent process management and automation, strengthening BPM’s strategic role in organizational and digital transformation initiatives.</v>
      </c>
      <c r="O12" s="26"/>
      <c r="P12" s="26" t="s">
        <v>694</v>
      </c>
      <c r="Q12" s="26" t="str">
        <f t="shared" si="3"/>
        <v>title: The iBPM Lifecycle: Integrating Low-Code and Hyperautomation Into Business Process Management</v>
      </c>
      <c r="R12" s="26" t="s">
        <v>695</v>
      </c>
      <c r="S12" s="26"/>
      <c r="T12" s="30"/>
      <c r="U12" s="26" t="s">
        <v>654</v>
      </c>
      <c r="V12" s="31"/>
    </row>
    <row r="13">
      <c r="A13" s="23" t="s">
        <v>18</v>
      </c>
      <c r="B13" s="24" t="s">
        <v>696</v>
      </c>
      <c r="C13" s="24" t="s">
        <v>18</v>
      </c>
      <c r="D13" s="24" t="s">
        <v>697</v>
      </c>
      <c r="E13" s="25"/>
      <c r="F13" s="23" t="s">
        <v>20</v>
      </c>
      <c r="G13" s="26" t="s">
        <v>698</v>
      </c>
      <c r="H13" s="26" t="s">
        <v>699</v>
      </c>
      <c r="I13" s="26">
        <v>2022.0</v>
      </c>
      <c r="J13" s="26" t="s">
        <v>700</v>
      </c>
      <c r="K13" s="27" t="s">
        <v>701</v>
      </c>
      <c r="L13" s="26" t="s">
        <v>702</v>
      </c>
      <c r="M13" s="26" t="str">
        <f t="shared" si="1"/>
        <v>Title: Towards the Design of an Intelligent Automation Framework for Business Processes</v>
      </c>
      <c r="N13" s="29" t="str">
        <f t="shared" si="2"/>
        <v>Abstract: The impact of emerging technology on organisations has caused technological disruption to business processes. It is therefore required to develop better measures to improve and speed up processes for performance and competitive purposes. Intelligent Automation is an emerging technological concept that focuses on organisational workflow via the integration of Artificial Intelligence and Machine Learning, for effective operability and decision-making processes. Focusing on business process adaptability, this study aims at proposing a framework for Intelligent Automation systems. Outcomes could enable adoption, integration, and deployment of Intelligent Automation to business processes in dynamic environments.</v>
      </c>
      <c r="O13" s="26"/>
      <c r="P13" s="26" t="s">
        <v>703</v>
      </c>
      <c r="Q13" s="26" t="str">
        <f t="shared" si="3"/>
        <v>title: Towards the Design of an Intelligent Automation Framework for Business Processes</v>
      </c>
      <c r="R13" s="26" t="s">
        <v>704</v>
      </c>
      <c r="S13" s="26"/>
      <c r="T13" s="30"/>
      <c r="U13" s="30"/>
      <c r="V13" s="34"/>
    </row>
    <row r="14">
      <c r="A14" s="23" t="s">
        <v>18</v>
      </c>
      <c r="B14" s="24" t="s">
        <v>705</v>
      </c>
      <c r="C14" s="24" t="s">
        <v>20</v>
      </c>
      <c r="D14" s="24" t="s">
        <v>706</v>
      </c>
      <c r="E14" s="25"/>
      <c r="F14" s="23" t="s">
        <v>20</v>
      </c>
      <c r="G14" s="26" t="s">
        <v>707</v>
      </c>
      <c r="H14" s="26" t="s">
        <v>648</v>
      </c>
      <c r="I14" s="26">
        <v>2025.0</v>
      </c>
      <c r="J14" s="26" t="s">
        <v>708</v>
      </c>
      <c r="K14" s="27" t="s">
        <v>709</v>
      </c>
      <c r="L14" s="26" t="s">
        <v>710</v>
      </c>
      <c r="M14" s="26" t="str">
        <f t="shared" si="1"/>
        <v>Title: From Theory to Practice: Empirical Insights on BPM Lifecycle Adoption and Low-Code Utilization in SMEs</v>
      </c>
      <c r="N14" s="29" t="str">
        <f t="shared" si="2"/>
        <v>Abstract: Small and medium-sized enterprises (SMEs) face growing pressure to adapt to dynamic, competitive markets. Business Process Management (BPM) offers a strategic pathway to operational efficiency and digital transformation. While the BPM lifecycle and low-code platforms are frequently presented as key enablers for SMEs, few empirical studies examine their practical implementation. This study addresses two research questions: 1) how SMEs use low-code technologies to support BPM, and 2) how they apply – or deviate from – the traditional BPM lifecycle. Using a triangulated research design combining a rapid literature review and an expert survey of BPM practitioners in SMEs, the study finds that low-code tools are widely adopted for basic BPM tasks such as process modeling and workflow automation. However, advanced features like AI and process mining are underutilized. Likewise, SMEs often skip or adapt BPM lifecycle phases due to organizational constraints. These findings highlight a gap between BPM theory and SME practice, emphasizing the need for more adaptive BPM frameworks and accessible low-code solutions tailored to SME contexts.</v>
      </c>
      <c r="O14" s="26"/>
      <c r="P14" s="26" t="s">
        <v>711</v>
      </c>
      <c r="Q14" s="26" t="str">
        <f t="shared" si="3"/>
        <v>title: From Theory to Practice: Empirical Insights on BPM Lifecycle Adoption and Low-Code Utilization in SMEs</v>
      </c>
      <c r="R14" s="26" t="s">
        <v>712</v>
      </c>
      <c r="S14" s="26"/>
      <c r="T14" s="30"/>
      <c r="U14" s="26" t="s">
        <v>654</v>
      </c>
      <c r="V14" s="31"/>
    </row>
    <row r="15">
      <c r="A15" s="23" t="s">
        <v>18</v>
      </c>
      <c r="B15" s="24" t="s">
        <v>713</v>
      </c>
      <c r="C15" s="24" t="s">
        <v>18</v>
      </c>
      <c r="D15" s="24" t="s">
        <v>714</v>
      </c>
      <c r="E15" s="25"/>
      <c r="F15" s="23" t="s">
        <v>20</v>
      </c>
      <c r="G15" s="26" t="s">
        <v>715</v>
      </c>
      <c r="H15" s="26" t="s">
        <v>716</v>
      </c>
      <c r="I15" s="26">
        <v>2025.0</v>
      </c>
      <c r="J15" s="26" t="s">
        <v>717</v>
      </c>
      <c r="K15" s="27" t="s">
        <v>718</v>
      </c>
      <c r="L15" s="26" t="s">
        <v>719</v>
      </c>
      <c r="M15" s="26" t="str">
        <f t="shared" si="1"/>
        <v>Title: Integration of Process Optimization and Automation: A Way to AI Powered Digital Transformation</v>
      </c>
      <c r="N15" s="29" t="str">
        <f t="shared" si="2"/>
        <v>Abstract: One of the most important factors facilitating AI-powered digital transformation is the combination of process automation and optimisation. Organisations may improve operational efficacy, save costs, and streamline procedures by utilising cutting-edge technology like robotic process automation (RPA), machine learning (ML), and artificial intelligence (AI). While automation seeks to reduce human participation in repetitive and rule-based operations, process optimisation concentrates on improving current business processes to attain improved productivity. The development of intelligent, adaptable, and self-improving systems is made possible by the combination of these two methodologies. Predictive findings, real-time decision-making, and customised customer experiences are further made possible by AI-driven analytics. This connection promotes innovation, scalability, and agility across sectors, giving businesses a competitive edge in the quickly changing digital market. The article examines the main principles, advantages, and difficulties of this shift and provides a road map for businesses looking to automate and optimise processes using AI in order to attain operational excellence and sustainable growth.</v>
      </c>
      <c r="O15" s="26"/>
      <c r="P15" s="26" t="s">
        <v>720</v>
      </c>
      <c r="Q15" s="26" t="str">
        <f t="shared" si="3"/>
        <v>title: Integration of Process Optimization and Automation: A Way to AI Powered Digital Transformation</v>
      </c>
      <c r="R15" s="26" t="s">
        <v>721</v>
      </c>
      <c r="S15" s="26"/>
      <c r="T15" s="30"/>
      <c r="U15" s="30"/>
      <c r="V15" s="34"/>
    </row>
    <row r="16">
      <c r="A16" s="23" t="s">
        <v>20</v>
      </c>
      <c r="B16" s="24" t="s">
        <v>722</v>
      </c>
      <c r="C16" s="24" t="s">
        <v>20</v>
      </c>
      <c r="D16" s="24" t="s">
        <v>723</v>
      </c>
      <c r="E16" s="25"/>
      <c r="F16" s="23" t="s">
        <v>20</v>
      </c>
      <c r="G16" s="26" t="s">
        <v>724</v>
      </c>
      <c r="H16" s="26" t="s">
        <v>725</v>
      </c>
      <c r="I16" s="26">
        <v>2023.0</v>
      </c>
      <c r="J16" s="26" t="s">
        <v>726</v>
      </c>
      <c r="K16" s="27" t="s">
        <v>727</v>
      </c>
      <c r="L16" s="28">
        <v>46204.0</v>
      </c>
      <c r="M16" s="26" t="str">
        <f t="shared" si="1"/>
        <v>Title: Impact of Digital Transformation in Sourcing &amp; Tender Management Processes on Employee Job Satisfaction - A Study on Malaysian Multinational Electricity Company</v>
      </c>
      <c r="N16" s="29" t="str">
        <f t="shared" si="2"/>
        <v>Abstract: This Digital Transformation is a methodology of leveraging emerging digital technologies &amp; platforms to re-imagine and re-engineer AS-IS business/operational processes, organizational culture, and user experiences to meet evolving global business requirements. Hence, reimagining the business in the digital age with technological innovation &amp; adoption is the essence of digital transformation. Job Satisfaction is measured as the extent to which employees prefer their job or specific aspects of jobs, like the profile of work or quality of the job and has a direct relationship with employee Work-life Balance, Work Performance Management, Job Rotation/Distribution &amp; Skill Management.Key objective of this research is focused on the Analysis of the Impact of Digital Transformation &amp; Business Process Reengineering in the areas of E2E Sourcing/Procurement Management &amp; Tender Life Cycle Management eco-system on the Employee Job Satisfaction Index. This study is intended to deal with existing issues, to analyze process gaps &amp; to assess potential improvement in the team’s job satisfaction of Sourcing &amp; Category Managers of the Procurement Division with the help of Digital Technologies - Business Process Management, Robotic Process Automation, Natural Language Processing, specifically in the context of a Malaysian Multinational Electricity &amp; Utility Company (to be referred as Case-Organization).The intended research finding analysis should help senior management of the procurement division to focus their attention to digitalization &amp; automation activities from internal human resource &amp; leadership perspectives to leverage if digital transformation brings any value in effective work allocation, better job rotation, improved work-life balance, enhanced work quality and efficient performance management etc.</v>
      </c>
      <c r="O16" s="26"/>
      <c r="P16" s="26" t="s">
        <v>728</v>
      </c>
      <c r="Q16" s="26" t="str">
        <f t="shared" si="3"/>
        <v>title: Impact of Digital Transformation in Sourcing &amp; Tender Management Processes on Employee Job Satisfaction - A Study on Malaysian Multinational Electricity Company</v>
      </c>
      <c r="R16" s="26" t="s">
        <v>729</v>
      </c>
      <c r="S16" s="26"/>
      <c r="T16" s="30"/>
      <c r="U16" s="32"/>
      <c r="V16" s="33"/>
    </row>
    <row r="17">
      <c r="A17" s="23" t="s">
        <v>18</v>
      </c>
      <c r="B17" s="24" t="s">
        <v>730</v>
      </c>
      <c r="C17" s="24" t="s">
        <v>18</v>
      </c>
      <c r="D17" s="24" t="s">
        <v>731</v>
      </c>
      <c r="E17" s="25"/>
      <c r="F17" s="23" t="s">
        <v>18</v>
      </c>
      <c r="G17" s="26" t="s">
        <v>732</v>
      </c>
      <c r="H17" s="26" t="s">
        <v>733</v>
      </c>
      <c r="I17" s="26">
        <v>2022.0</v>
      </c>
      <c r="J17" s="26" t="s">
        <v>734</v>
      </c>
      <c r="K17" s="27" t="s">
        <v>735</v>
      </c>
      <c r="L17" s="28">
        <v>46113.0</v>
      </c>
      <c r="M17" s="26" t="str">
        <f t="shared" si="1"/>
        <v>Title: Restructuring and Reengineering as a Basis for Digitalization of Business Processes of a Telecommunications Operator</v>
      </c>
      <c r="N17" s="29" t="str">
        <f t="shared" si="2"/>
        <v>Abstract: A necessary condition for the competitiveness of an infocommunication industry company is the effective management of its business processes, considering the prospects of digital transformation. Therefore, companies systematically analyze and change approaches to their management. The article discusses the issues of business process reengineering, which involves the restructuring of the company and is a catalyst for the digitalization process.</v>
      </c>
      <c r="O17" s="26"/>
      <c r="P17" s="26" t="s">
        <v>736</v>
      </c>
      <c r="Q17" s="26" t="str">
        <f t="shared" si="3"/>
        <v>title: Restructuring and Reengineering as a Basis for Digitalization of Business Processes of a Telecommunications Operator</v>
      </c>
      <c r="R17" s="26" t="s">
        <v>737</v>
      </c>
      <c r="S17" s="26"/>
      <c r="T17" s="30"/>
      <c r="U17" s="30"/>
      <c r="V17" s="34"/>
    </row>
    <row r="18">
      <c r="A18" s="23" t="s">
        <v>20</v>
      </c>
      <c r="B18" s="35" t="s">
        <v>738</v>
      </c>
      <c r="C18" s="24" t="s">
        <v>20</v>
      </c>
      <c r="D18" s="24" t="s">
        <v>739</v>
      </c>
      <c r="E18" s="25"/>
      <c r="F18" s="23" t="s">
        <v>20</v>
      </c>
      <c r="G18" s="26" t="s">
        <v>740</v>
      </c>
      <c r="H18" s="26" t="s">
        <v>741</v>
      </c>
      <c r="I18" s="26">
        <v>2023.0</v>
      </c>
      <c r="J18" s="26" t="s">
        <v>742</v>
      </c>
      <c r="K18" s="27" t="s">
        <v>743</v>
      </c>
      <c r="L18" s="26" t="s">
        <v>744</v>
      </c>
      <c r="M18" s="26" t="str">
        <f t="shared" si="1"/>
        <v>Title: Blockchain Technology for Enhanced Business Management</v>
      </c>
      <c r="N18" s="29" t="str">
        <f t="shared" si="2"/>
        <v>Abstract: This empirical study investigates how blockchain technology is revolutionizing corporate management in a dynamic way. Blockchain-based technologies have drawn a lot of interest as well as started revolutionizing a number of industries. Driven by contemporary programming and technological infrastructure., the introduction of blockchain technology has brought about new opportunities for company strategy and commercial operations. Blockchain has the ability to improve transparency and transform cross-organizational business processes because of its safe and decentralized design. The paper explores the important consequences of integrating blockchain technology with business process management (BPM). The use of blockchain in business process management (BPM) has prospects for improved information accuracy, higher client happiness, and increased efficiency. Technology plays a particularly significant role in the fourth industrialization phase since it is in accordance with Industry 4.0 concepts as well as facilitates digital transformation and efficient business processes. The study does, however, highlight the difficulties associated with employing blockchain technology, such as issues with scalability, data security, and legal compliance. The study highlights that in order for organizations to fully utilize blockchain technology, feasibility investigations and solutions to these issues must be implemented. The study's conclusion recognizes blockchain's bright future in business process management and its capacity to solve important organizational issues. Blockchain technology possesses the potential to revolutionize corporate operations as well as procedure management by providing cutting-edge solutions to a wide range of sectors as it develops further.</v>
      </c>
      <c r="O18" s="26"/>
      <c r="P18" s="26" t="s">
        <v>745</v>
      </c>
      <c r="Q18" s="26" t="str">
        <f t="shared" si="3"/>
        <v>title: Blockchain Technology for Enhanced Business Management</v>
      </c>
      <c r="R18" s="26" t="s">
        <v>746</v>
      </c>
      <c r="S18" s="26"/>
      <c r="T18" s="30"/>
      <c r="U18" s="26" t="s">
        <v>747</v>
      </c>
      <c r="V18" s="31"/>
    </row>
    <row r="19">
      <c r="A19" s="23" t="s">
        <v>18</v>
      </c>
      <c r="B19" s="35" t="s">
        <v>748</v>
      </c>
      <c r="C19" s="24" t="s">
        <v>18</v>
      </c>
      <c r="D19" s="24" t="s">
        <v>749</v>
      </c>
      <c r="E19" s="25"/>
      <c r="F19" s="23" t="s">
        <v>18</v>
      </c>
      <c r="G19" s="26" t="s">
        <v>750</v>
      </c>
      <c r="H19" s="26" t="s">
        <v>751</v>
      </c>
      <c r="I19" s="26">
        <v>2025.0</v>
      </c>
      <c r="J19" s="26" t="s">
        <v>752</v>
      </c>
      <c r="K19" s="27" t="s">
        <v>753</v>
      </c>
      <c r="L19" s="26" t="s">
        <v>754</v>
      </c>
      <c r="M19" s="26" t="str">
        <f t="shared" si="1"/>
        <v>Title: Intelligent Management of Business Processes in the Energy, Oil and Gas Industries of Russia</v>
      </c>
      <c r="N19" s="29" t="str">
        <f t="shared" si="2"/>
        <v>Abstract: A variant of the system of end-to-end intelligent management of business processes of the oil and gas industry of Russia based on an integrated digital platform is proposed, priority variants of implementation of digital technologies and investments in management and technological business processes of the oil and gas complex (OGC) are defined: Big Data (big data), artificial intelligence (AI) and the Internet of things (IoT technologies). Keywords: digital technologies, platform, big data, intelligent systems, artificial intelligence.</v>
      </c>
      <c r="O19" s="26"/>
      <c r="P19" s="26" t="s">
        <v>755</v>
      </c>
      <c r="Q19" s="26" t="str">
        <f t="shared" si="3"/>
        <v>title: Intelligent Management of Business Processes in the Energy, Oil and Gas Industries of Russia</v>
      </c>
      <c r="R19" s="26" t="s">
        <v>756</v>
      </c>
      <c r="S19" s="26"/>
      <c r="T19" s="30"/>
      <c r="U19" s="30"/>
      <c r="V19" s="34"/>
    </row>
    <row r="20">
      <c r="A20" s="23" t="s">
        <v>18</v>
      </c>
      <c r="B20" s="35" t="s">
        <v>757</v>
      </c>
      <c r="C20" s="24" t="s">
        <v>18</v>
      </c>
      <c r="D20" s="24" t="s">
        <v>758</v>
      </c>
      <c r="E20" s="25"/>
      <c r="F20" s="23" t="s">
        <v>18</v>
      </c>
      <c r="G20" s="26" t="s">
        <v>759</v>
      </c>
      <c r="H20" s="26" t="s">
        <v>760</v>
      </c>
      <c r="I20" s="26">
        <v>2025.0</v>
      </c>
      <c r="J20" s="26" t="s">
        <v>761</v>
      </c>
      <c r="K20" s="27" t="s">
        <v>762</v>
      </c>
      <c r="L20" s="26" t="s">
        <v>763</v>
      </c>
      <c r="M20" s="26" t="str">
        <f t="shared" si="1"/>
        <v>Title: Science and Technology as a Catalyst for Business Growth in Indonesia: A Bibliometric Analysis of Opportunities and Challenges</v>
      </c>
      <c r="N20" s="29" t="str">
        <f t="shared" si="2"/>
        <v>Abstract: This bibliometric analysis dives into how science and technology (S&amp;T) really boost business growth in Indonesia, highlighting both the exciting chances and the tough challenges. We looked at 2,385 research papers published on Scopus from 2020 to 2025, finding a clear surge in interest. Key topics that kept popping up included digital transformation, how Small and Medium Enterprises (SMEs) are going digital, and Industry 4.0. Interestingly, research seems to be moving away from just technical stuff to bigger picture issues like sustainability and making supply chains more efficient. Even though more papers are coming out, the average number of times they're cited is still low. This might suggest a challenge in making a real scientific impact. Also, a lot of what's published are conference papers, which tells us researchers are keen to share their findings quickly. Ultimately, this study emphasizes that we really need better teamwork between universities, businesses, and government folks, plus more cross-disciplinary approaches, to make sure new technologies genuinely help Indonesian businesses grow in a way that benefits everyone.</v>
      </c>
      <c r="O20" s="26"/>
      <c r="P20" s="26" t="s">
        <v>764</v>
      </c>
      <c r="Q20" s="26" t="str">
        <f t="shared" si="3"/>
        <v>title: Science and Technology as a Catalyst for Business Growth in Indonesia: A Bibliometric Analysis of Opportunities and Challenges</v>
      </c>
      <c r="R20" s="26" t="s">
        <v>765</v>
      </c>
      <c r="S20" s="26"/>
      <c r="T20" s="30"/>
      <c r="U20" s="32"/>
      <c r="V20" s="33"/>
    </row>
    <row r="21">
      <c r="A21" s="23" t="s">
        <v>18</v>
      </c>
      <c r="B21" s="35" t="s">
        <v>766</v>
      </c>
      <c r="C21" s="24" t="s">
        <v>18</v>
      </c>
      <c r="D21" s="24" t="s">
        <v>767</v>
      </c>
      <c r="E21" s="25"/>
      <c r="F21" s="23" t="s">
        <v>18</v>
      </c>
      <c r="G21" s="26" t="s">
        <v>768</v>
      </c>
      <c r="H21" s="26" t="s">
        <v>769</v>
      </c>
      <c r="I21" s="26">
        <v>2023.0</v>
      </c>
      <c r="J21" s="26" t="s">
        <v>770</v>
      </c>
      <c r="K21" s="27" t="s">
        <v>771</v>
      </c>
      <c r="L21" s="28">
        <v>46143.0</v>
      </c>
      <c r="M21" s="26" t="str">
        <f t="shared" si="1"/>
        <v>Title: Redesigning and Building a Business Process Architecture: The Case of De La Salle University's Digital Transformation Journey</v>
      </c>
      <c r="N21" s="29" t="str">
        <f t="shared" si="2"/>
        <v>Abstract: Generally viewed as an integral part of an organization's information assets, the documentation of the as-is and to-be process maps became one of the key focal points and activities of De La Salle University's digital transformation journey. The initial part of the study delved into formulating a process architecture for the Student Life Cycle domain using reference frameworks, particularly CAUDIT and APQC. The process redesign efforts, meanwhile, guided by the principles of the Lean Technique, allowed the intrinsic identification of process inefficiencies and non-value-adding activities, that in turn, led to the capture of processes that are aimed to increase the organizational flexibility, centered on the more pivotal goal of improving the overall student experience. The results of this study may help reinforce the appropriate perspective of using processes as an organizational glue that shall not only address knowledge silos and lack of process ownership but also pave the way to the creation of a sustainable competitive advantage. This study, the key lessons, challenges, and milestones can also help other HEIs that are to embark on their own strategic transformation initiatives.</v>
      </c>
      <c r="O21" s="26"/>
      <c r="P21" s="26" t="s">
        <v>772</v>
      </c>
      <c r="Q21" s="26" t="str">
        <f t="shared" si="3"/>
        <v>title: Redesigning and Building a Business Process Architecture: The Case of De La Salle University's Digital Transformation Journey</v>
      </c>
      <c r="R21" s="26" t="s">
        <v>773</v>
      </c>
      <c r="S21" s="26"/>
      <c r="T21" s="30"/>
      <c r="U21" s="26" t="s">
        <v>774</v>
      </c>
      <c r="V21" s="31"/>
    </row>
    <row r="22">
      <c r="A22" s="23" t="s">
        <v>18</v>
      </c>
      <c r="B22" s="35" t="s">
        <v>775</v>
      </c>
      <c r="C22" s="24" t="s">
        <v>18</v>
      </c>
      <c r="D22" s="24" t="s">
        <v>776</v>
      </c>
      <c r="E22" s="25"/>
      <c r="F22" s="23" t="s">
        <v>18</v>
      </c>
      <c r="G22" s="26" t="s">
        <v>777</v>
      </c>
      <c r="H22" s="26" t="s">
        <v>778</v>
      </c>
      <c r="I22" s="26">
        <v>2025.0</v>
      </c>
      <c r="J22" s="26" t="s">
        <v>779</v>
      </c>
      <c r="K22" s="27" t="s">
        <v>780</v>
      </c>
      <c r="L22" s="26" t="s">
        <v>781</v>
      </c>
      <c r="M22" s="26" t="str">
        <f t="shared" si="1"/>
        <v>Title: Robotic Process Automation in Public Sector: Enhancing Efficiency and Transparency in Government Workflows</v>
      </c>
      <c r="N22" s="29" t="str">
        <f t="shared" si="2"/>
        <v>Abstract: Repetitive, rule-based, time and resource intensive activities, a feature of the government activity also cause delays and inefficient services. Robotic process automation, or RPA, is a disruptive solution as it automates those processes, increases their accuracy, reduces client operations, and increases citizen satisfaction. This research addresses process mapping, the implementation of bots, the analysis of performance and the design and implementation of an RPA-powered government process automation. The analysis indicates that the implementation of RPA in the work of the public sector can accelerate the decision-making process, guarantee compliance and simplify the administrative framework. There are also security, scalability and system integration questions and solutions. The results give guidance to IT administrators and policymakers who seek to revise governance using intelligent automation.</v>
      </c>
      <c r="O22" s="26"/>
      <c r="P22" s="26" t="s">
        <v>782</v>
      </c>
      <c r="Q22" s="26" t="str">
        <f t="shared" si="3"/>
        <v>title: Robotic Process Automation in Public Sector: Enhancing Efficiency and Transparency in Government Workflows</v>
      </c>
      <c r="R22" s="26" t="s">
        <v>783</v>
      </c>
      <c r="S22" s="26"/>
      <c r="T22" s="30"/>
      <c r="U22" s="30"/>
      <c r="V22" s="34"/>
    </row>
    <row r="23">
      <c r="A23" s="23" t="s">
        <v>18</v>
      </c>
      <c r="B23" s="35" t="s">
        <v>784</v>
      </c>
      <c r="C23" s="24" t="s">
        <v>18</v>
      </c>
      <c r="D23" s="24" t="s">
        <v>785</v>
      </c>
      <c r="E23" s="25"/>
      <c r="F23" s="23" t="s">
        <v>18</v>
      </c>
      <c r="G23" s="26" t="s">
        <v>786</v>
      </c>
      <c r="H23" s="26" t="s">
        <v>787</v>
      </c>
      <c r="I23" s="26">
        <v>2025.0</v>
      </c>
      <c r="J23" s="26" t="s">
        <v>788</v>
      </c>
      <c r="K23" s="27" t="s">
        <v>789</v>
      </c>
      <c r="L23" s="28">
        <v>46143.0</v>
      </c>
      <c r="M23" s="26" t="str">
        <f t="shared" si="1"/>
        <v>Title: Business Models and Methods of Digitalization of the Regional Intellectual Property Management System</v>
      </c>
      <c r="N23" s="29" t="str">
        <f t="shared" si="2"/>
        <v>Abstract: The goals, principles and tasks of digitalization of the intellectual property management system are considered. Business models and methods for optimizing the structure of the digital patent information fund, building a digital ecosystem of intellectual property are proposed. The developed methods and tools were used in building a digital intellectual property management body in the Eurasian region.</v>
      </c>
      <c r="O23" s="26"/>
      <c r="P23" s="26" t="s">
        <v>790</v>
      </c>
      <c r="Q23" s="26" t="str">
        <f t="shared" si="3"/>
        <v>title: Business Models and Methods of Digitalization of the Regional Intellectual Property Management System</v>
      </c>
      <c r="R23" s="26" t="s">
        <v>791</v>
      </c>
      <c r="S23" s="26"/>
      <c r="T23" s="30"/>
      <c r="U23" s="30"/>
      <c r="V23" s="34"/>
    </row>
    <row r="24">
      <c r="A24" s="23" t="s">
        <v>18</v>
      </c>
      <c r="B24" s="35" t="s">
        <v>792</v>
      </c>
      <c r="C24" s="24" t="s">
        <v>18</v>
      </c>
      <c r="D24" s="24" t="s">
        <v>793</v>
      </c>
      <c r="E24" s="25"/>
      <c r="F24" s="23" t="s">
        <v>18</v>
      </c>
      <c r="G24" s="26" t="s">
        <v>794</v>
      </c>
      <c r="H24" s="26" t="s">
        <v>666</v>
      </c>
      <c r="I24" s="26">
        <v>2022.0</v>
      </c>
      <c r="J24" s="26" t="s">
        <v>795</v>
      </c>
      <c r="K24" s="27" t="s">
        <v>796</v>
      </c>
      <c r="L24" s="26" t="s">
        <v>797</v>
      </c>
      <c r="M24" s="26" t="str">
        <f t="shared" si="1"/>
        <v>Title: Learning by gaming: Improvement of User Experience of a Simulation Game for Teaching the Digital Transformation and its Administration Cockpit</v>
      </c>
      <c r="N24" s="29" t="str">
        <f t="shared" si="2"/>
        <v>Abstract: Simulation business games have recently become a suitable tool that gives students an understanding of how companies and their markets function, as well as the interaction of the components necessary to build a business. Interpreting business processes and business models is a key competency for future graduates in information systems, which is hard to teach without dealing with real-world problems. Simulation games are one of the possible approaches for teaching business processes to information systems students. This paper presents a description of the development of two web modules: for the administration of simulation games and the interface of the business game itself. After collecting data, requirements for the prototypes of Admin-Cockpit, and the simulation game itself, which were conducted in focus groups, the implementation phase began. The main requirements for the applications were successfully implemented in the prototypes and afterward were evaluated. In the output, we have a working prototype of the business game module and the Admin-Cockpit module for configuration. In summary, our contribution is a planned and implemented redesign of the game, positively affecting students’ engagement and interest. Additionally, was developed an improved and expanded version of Admin-Cockpit for game management, giving configuration options and statistics collection. Thus, we can conclude that this work has a positive contribution to the development of simulation game design and development, which was also confirmed by the results of the surveys.</v>
      </c>
      <c r="O24" s="26"/>
      <c r="P24" s="26" t="s">
        <v>798</v>
      </c>
      <c r="Q24" s="26" t="str">
        <f t="shared" si="3"/>
        <v>title: Learning by gaming: Improvement of User Experience of a Simulation Game for Teaching the Digital Transformation and its Administration Cockpit</v>
      </c>
      <c r="R24" s="26" t="s">
        <v>799</v>
      </c>
      <c r="S24" s="26"/>
      <c r="T24" s="30"/>
      <c r="U24" s="26" t="s">
        <v>672</v>
      </c>
      <c r="V24" s="31"/>
    </row>
    <row r="25">
      <c r="A25" s="23" t="s">
        <v>18</v>
      </c>
      <c r="B25" s="35" t="s">
        <v>800</v>
      </c>
      <c r="C25" s="24" t="s">
        <v>18</v>
      </c>
      <c r="D25" s="24" t="s">
        <v>801</v>
      </c>
      <c r="E25" s="25"/>
      <c r="F25" s="23" t="s">
        <v>18</v>
      </c>
      <c r="G25" s="26" t="s">
        <v>802</v>
      </c>
      <c r="H25" s="26" t="s">
        <v>803</v>
      </c>
      <c r="I25" s="26">
        <v>2021.0</v>
      </c>
      <c r="J25" s="26" t="s">
        <v>804</v>
      </c>
      <c r="K25" s="27" t="s">
        <v>805</v>
      </c>
      <c r="L25" s="28">
        <v>46113.0</v>
      </c>
      <c r="M25" s="26" t="str">
        <f t="shared" si="1"/>
        <v>Title: Hyperautomation of Construction Materials Enterprise</v>
      </c>
      <c r="N25" s="29" t="str">
        <f t="shared" si="2"/>
        <v>Abstract: This paper describes, how, in the most concentrated form, latest computer and manufacturing technologies become valuable assets for digitalizing calculations and designing technological processes for manufacturing building materials and structures. The system is based on the concepts of “Digital Factory” and “SMART Factory” and includes a set of technological equipment, information, hardware and software integrated into a industrial network. The system is scalable and includes digital subsystems for the preparation of concrete mixtures, systems for targeted distribution of concrete, access control subsystems, and jobs for management personnel. In accordance with the proposed concept, the optimum level of automation of information collection and processing is provided for generating control signals and transmitting them without loss and distortion to actuators in order to achieve the most efficient operation of the concrete plant.</v>
      </c>
      <c r="O25" s="26"/>
      <c r="P25" s="26" t="s">
        <v>806</v>
      </c>
      <c r="Q25" s="26" t="str">
        <f t="shared" si="3"/>
        <v>title: Hyperautomation of Construction Materials Enterprise</v>
      </c>
      <c r="R25" s="26" t="s">
        <v>807</v>
      </c>
      <c r="S25" s="26"/>
      <c r="T25" s="30"/>
      <c r="U25" s="32"/>
      <c r="V25" s="33"/>
    </row>
    <row r="26">
      <c r="A26" s="23" t="s">
        <v>18</v>
      </c>
      <c r="B26" s="35" t="s">
        <v>808</v>
      </c>
      <c r="C26" s="24" t="s">
        <v>18</v>
      </c>
      <c r="D26" s="24" t="s">
        <v>809</v>
      </c>
      <c r="E26" s="25"/>
      <c r="F26" s="23" t="s">
        <v>18</v>
      </c>
      <c r="G26" s="26" t="s">
        <v>810</v>
      </c>
      <c r="H26" s="26" t="s">
        <v>811</v>
      </c>
      <c r="I26" s="26">
        <v>2021.0</v>
      </c>
      <c r="J26" s="26" t="s">
        <v>812</v>
      </c>
      <c r="K26" s="27" t="s">
        <v>813</v>
      </c>
      <c r="L26" s="26" t="s">
        <v>814</v>
      </c>
      <c r="M26" s="26" t="str">
        <f t="shared" si="1"/>
        <v>Title: Managing Digital Transformation in Public Administration</v>
      </c>
      <c r="N26" s="29" t="str">
        <f t="shared" si="2"/>
        <v>Abstract: Important strategic area, for every country, is the functioning of its public administration. Public administration utilises appropriate results the increased efficiency and effectiveness in both public sector and private sector. Managers must organise public administration to function adequately by training quality people and by motivating employees so that they do their job well. The main goal of this paper is to point out the importance of digital transformation in the public sector. Also through the analysis of secondary data that have a primary character to position the Republic of Croatia in relation to the surrounding countries and the countries of the European Union. The results of the analysis show that additional efforts are needed to encourage the process of digital transformation, acquisition of new skills, knowledge sharing, business process management and other segments.</v>
      </c>
      <c r="O26" s="26"/>
      <c r="P26" s="26" t="s">
        <v>815</v>
      </c>
      <c r="Q26" s="26" t="str">
        <f t="shared" si="3"/>
        <v>title: Managing Digital Transformation in Public Administration</v>
      </c>
      <c r="R26" s="26" t="s">
        <v>816</v>
      </c>
      <c r="S26" s="26"/>
      <c r="T26" s="30"/>
      <c r="U26" s="26" t="s">
        <v>817</v>
      </c>
      <c r="V26" s="31"/>
    </row>
    <row r="27">
      <c r="A27" s="23" t="s">
        <v>20</v>
      </c>
      <c r="B27" s="35" t="s">
        <v>818</v>
      </c>
      <c r="C27" s="24" t="s">
        <v>20</v>
      </c>
      <c r="D27" s="24" t="s">
        <v>819</v>
      </c>
      <c r="E27" s="25"/>
      <c r="F27" s="23" t="s">
        <v>20</v>
      </c>
      <c r="G27" s="26" t="s">
        <v>820</v>
      </c>
      <c r="H27" s="26" t="s">
        <v>821</v>
      </c>
      <c r="I27" s="26">
        <v>2024.0</v>
      </c>
      <c r="J27" s="26" t="s">
        <v>822</v>
      </c>
      <c r="K27" s="27" t="s">
        <v>823</v>
      </c>
      <c r="L27" s="26" t="s">
        <v>824</v>
      </c>
      <c r="M27" s="26" t="str">
        <f t="shared" si="1"/>
        <v>Title: Pathomorphological Diagnosis Process Modeling for Machine Learning Algorithms’ Applying</v>
      </c>
      <c r="N27" s="29" t="str">
        <f t="shared" si="2"/>
        <v>Abstract: Business process management is oriented towards improving processes to best support people, who are working in them. Recent innovations in the area of artificial intelligence (AI), machine learning (ML), Internet of Things (IoT), and distributed systems have provided opportunities for new technologies applications, including process automation. This paper aims at the pathomorphological diagnosis (PD) process modeling for the ML solution implementation. The research method covers the PD laboratory case study. Authors argue that the PD process requires detailed analysis for its digitalization, automation, and combining with ML applications. Authors presented PD process models in BPMN notation, including laboratory equipment and emphasizing data and ML algorithms which are to be utilized in PD process digitalization for appropriate diagnosis for patients. Authors have found and emphasized that implementation of ML/AI algorithms is strongly based on fundamental process modeling.</v>
      </c>
      <c r="O27" s="26"/>
      <c r="P27" s="26" t="s">
        <v>825</v>
      </c>
      <c r="Q27" s="26" t="str">
        <f t="shared" si="3"/>
        <v>title: Pathomorphological Diagnosis Process Modeling for Machine Learning Algorithms’ Applying</v>
      </c>
      <c r="R27" s="26" t="s">
        <v>826</v>
      </c>
      <c r="S27" s="26"/>
      <c r="T27" s="30"/>
      <c r="U27" s="32"/>
      <c r="V27" s="33"/>
    </row>
    <row r="28">
      <c r="A28" s="23" t="s">
        <v>18</v>
      </c>
      <c r="B28" s="35" t="s">
        <v>827</v>
      </c>
      <c r="C28" s="24" t="s">
        <v>18</v>
      </c>
      <c r="D28" s="24" t="s">
        <v>828</v>
      </c>
      <c r="E28" s="25"/>
      <c r="F28" s="23" t="s">
        <v>18</v>
      </c>
      <c r="G28" s="26" t="s">
        <v>829</v>
      </c>
      <c r="H28" s="26" t="s">
        <v>830</v>
      </c>
      <c r="I28" s="26">
        <v>2024.0</v>
      </c>
      <c r="J28" s="26" t="s">
        <v>831</v>
      </c>
      <c r="K28" s="27" t="s">
        <v>832</v>
      </c>
      <c r="L28" s="28">
        <v>46204.0</v>
      </c>
      <c r="M28" s="26" t="str">
        <f t="shared" si="1"/>
        <v>Title: Digitalization and Business Automation for an Effective Supply Chain Integration: A literature review</v>
      </c>
      <c r="N28" s="29" t="str">
        <f t="shared" si="2"/>
        <v>Abstract: Since the onset of the Covid19 pandemic crisis, supply chain integration and digitalization have emerged as essential strategies for all firms due to flow disruption and considerable market uncertainty. Firms’ managers recognize the imperative need to cultivate a new business model to enhance connectivity with both upstream and downstream chain links. The intended outcomes encompass effective collaborative planning, information sharing, and the establishment of relationships with targeted customers through tailored and innovative offers designed to meet their specific requirements. To achieve this, a suitable level of supply chain integration and effective use of digital technologies such as internet of things, artificial intelligence, and cloud computing are essential. Supply chain integration and digitalization lead to business process synchronizing, automation, flexibility, and the efficient analysis and management of data, thereby, enhancing firms’ profitability and competitiveness. This paper seeks to cultivate a fundamental understanding of the digital supply chain integration by analyzing it main aspects. Additionally, it illuminates the significance of leveraging specific digital technologies to ensure effective supply chain management and optimization.</v>
      </c>
      <c r="O28" s="26"/>
      <c r="P28" s="26" t="s">
        <v>833</v>
      </c>
      <c r="Q28" s="26" t="str">
        <f t="shared" si="3"/>
        <v>title: Digitalization and Business Automation for an Effective Supply Chain Integration: A literature review</v>
      </c>
      <c r="R28" s="26" t="s">
        <v>834</v>
      </c>
      <c r="S28" s="26"/>
      <c r="T28" s="30"/>
      <c r="U28" s="26" t="s">
        <v>835</v>
      </c>
      <c r="V28" s="31"/>
    </row>
    <row r="29">
      <c r="A29" s="23" t="s">
        <v>18</v>
      </c>
      <c r="B29" s="35" t="s">
        <v>836</v>
      </c>
      <c r="C29" s="24" t="s">
        <v>18</v>
      </c>
      <c r="D29" s="24" t="s">
        <v>837</v>
      </c>
      <c r="E29" s="25"/>
      <c r="F29" s="23" t="s">
        <v>18</v>
      </c>
      <c r="G29" s="26" t="s">
        <v>838</v>
      </c>
      <c r="H29" s="26" t="s">
        <v>839</v>
      </c>
      <c r="I29" s="26">
        <v>2022.0</v>
      </c>
      <c r="J29" s="26" t="s">
        <v>840</v>
      </c>
      <c r="K29" s="27" t="s">
        <v>841</v>
      </c>
      <c r="L29" s="26" t="s">
        <v>842</v>
      </c>
      <c r="M29" s="26" t="str">
        <f t="shared" si="1"/>
        <v>Title: Artificial Intelligence and Digital Transformation: Analyzing Future Trends</v>
      </c>
      <c r="N29" s="29" t="str">
        <f t="shared" si="2"/>
        <v>Abstract: In recent decades, technological advances have exponentially accelerated the search for digital transformation. The use of technologies based on Artificial Intelligence (AI) is essential to achieve these goals. In this work, we investigate the future trends in the field. We conducted a systematic review and analyzed their content with a methodology based on Future-Oriented Technology Analysis (FTA) techniques. We have identified 30 future events related to digital transformation and AI and their respective feasible years. Our findings are categorized into industry fields: business process management, construction industry, digital economy, human resources, healthcare, industry, social innovation, tourism, and education. Our work allows decision-makers to draw up strategies, map the paths to be taken, and better prepare for their future needs, using AI as a tool for value aggregation.</v>
      </c>
      <c r="O29" s="26"/>
      <c r="P29" s="26" t="s">
        <v>843</v>
      </c>
      <c r="Q29" s="26" t="str">
        <f t="shared" si="3"/>
        <v>title: Artificial Intelligence and Digital Transformation: Analyzing Future Trends</v>
      </c>
      <c r="R29" s="26" t="s">
        <v>844</v>
      </c>
      <c r="S29" s="26"/>
      <c r="T29" s="30"/>
      <c r="U29" s="26" t="s">
        <v>845</v>
      </c>
      <c r="V29" s="31"/>
    </row>
    <row r="30">
      <c r="A30" s="23" t="s">
        <v>18</v>
      </c>
      <c r="B30" s="35" t="s">
        <v>846</v>
      </c>
      <c r="C30" s="24" t="s">
        <v>18</v>
      </c>
      <c r="D30" s="24" t="s">
        <v>847</v>
      </c>
      <c r="E30" s="25"/>
      <c r="F30" s="23" t="s">
        <v>18</v>
      </c>
      <c r="G30" s="26" t="s">
        <v>848</v>
      </c>
      <c r="H30" s="26" t="s">
        <v>849</v>
      </c>
      <c r="I30" s="26">
        <v>2022.0</v>
      </c>
      <c r="J30" s="26" t="s">
        <v>850</v>
      </c>
      <c r="K30" s="27" t="s">
        <v>851</v>
      </c>
      <c r="L30" s="28">
        <v>46143.0</v>
      </c>
      <c r="M30" s="26" t="str">
        <f t="shared" si="1"/>
        <v>Title: Business Process Automation in Retail</v>
      </c>
      <c r="N30" s="29" t="str">
        <f t="shared" si="2"/>
        <v>Abstract: Digital transformation nowadays is stated as a driving force for competitive business. It is widely mentioned in many industries as a key factor to meet the ambition of being an innovative company. Although a lack of understanding the essence of the technology, its value and functional benefits can result in missed expectation and losses of time and monetary investments. Despite various use cases and success stories, implementation of the technology into organization business processes requires strong understanding how a particular technology can deliver business expected values. The paper summarizes authors' research on automation implementation in retail business. The goal is to explore what activities should the company perform to successfully implement process automation in Retail sector. Although there are frameworks available describing process automation implementation, there is limited research available specifically for the retail industry. The paper discusses elements of a conceptual framework for process automation considering retail specific, also considered within the paper.</v>
      </c>
      <c r="O30" s="26"/>
      <c r="P30" s="26" t="s">
        <v>852</v>
      </c>
      <c r="Q30" s="26" t="str">
        <f t="shared" si="3"/>
        <v>title: Business Process Automation in Retail</v>
      </c>
      <c r="R30" s="26" t="s">
        <v>853</v>
      </c>
      <c r="S30" s="26"/>
      <c r="T30" s="30"/>
      <c r="U30" s="26" t="s">
        <v>854</v>
      </c>
      <c r="V30" s="31"/>
    </row>
    <row r="31">
      <c r="A31" s="23" t="s">
        <v>20</v>
      </c>
      <c r="B31" s="35" t="s">
        <v>855</v>
      </c>
      <c r="C31" s="24" t="s">
        <v>20</v>
      </c>
      <c r="D31" s="24" t="s">
        <v>856</v>
      </c>
      <c r="E31" s="25"/>
      <c r="F31" s="23" t="s">
        <v>20</v>
      </c>
      <c r="G31" s="26" t="s">
        <v>857</v>
      </c>
      <c r="H31" s="26" t="s">
        <v>858</v>
      </c>
      <c r="I31" s="26">
        <v>2025.0</v>
      </c>
      <c r="J31" s="26" t="s">
        <v>859</v>
      </c>
      <c r="K31" s="27" t="s">
        <v>860</v>
      </c>
      <c r="L31" s="28">
        <v>46174.0</v>
      </c>
      <c r="M31" s="26" t="str">
        <f t="shared" si="1"/>
        <v>Title: Digital Transformation in Higher Education: Enhancing Processes with Capabilities Mapping and Automation</v>
      </c>
      <c r="N31" s="29" t="str">
        <f t="shared" si="2"/>
        <v>Abstract: The study focuses on the need to take steps towards the digital transformation of the financial area of the Universidad Técnica Particular de Loja (UTPL), where traditional methods are inefficient. The main objective is to develop and implement an automated system that improves efficiency and transparency in financial administration. The methodology employed includes the analysis of existing business processes, using business capability maps as an analysis mechanism, and the design of a technological solution based on process-based management (BPM) with BPMN notation, using Bizagi to model and automate workflows. In addition, a document repository in Alfresco (ECM) is integrated to centralize document management. This integration facilitates digital transformation by aligning processes, applications and data in a coherent system. The results show an improvement in the management of queries and the recording of financial processes, with an efficient document repository. In conclusion, the implementation of a process management and control system, based on BPMN and ECM, optimizes workflows, improves efficiency in information management and contributes to better customer service in the financial area processes, demonstrating the value of digital transformation in this sector.</v>
      </c>
      <c r="O31" s="26"/>
      <c r="P31" s="26" t="s">
        <v>861</v>
      </c>
      <c r="Q31" s="26" t="str">
        <f t="shared" si="3"/>
        <v>title: Digital Transformation in Higher Education: Enhancing Processes with Capabilities Mapping and Automation</v>
      </c>
      <c r="R31" s="26" t="s">
        <v>862</v>
      </c>
      <c r="S31" s="26"/>
      <c r="T31" s="30"/>
      <c r="U31" s="32"/>
      <c r="V31" s="33"/>
    </row>
    <row r="32">
      <c r="A32" s="23" t="s">
        <v>18</v>
      </c>
      <c r="B32" s="35" t="s">
        <v>863</v>
      </c>
      <c r="C32" s="24" t="s">
        <v>18</v>
      </c>
      <c r="D32" s="24" t="s">
        <v>864</v>
      </c>
      <c r="E32" s="25"/>
      <c r="F32" s="23" t="s">
        <v>18</v>
      </c>
      <c r="G32" s="26" t="s">
        <v>865</v>
      </c>
      <c r="H32" s="26" t="s">
        <v>866</v>
      </c>
      <c r="I32" s="26">
        <v>2021.0</v>
      </c>
      <c r="J32" s="26" t="s">
        <v>867</v>
      </c>
      <c r="K32" s="27" t="s">
        <v>868</v>
      </c>
      <c r="L32" s="28">
        <v>46143.0</v>
      </c>
      <c r="M32" s="26" t="str">
        <f t="shared" si="1"/>
        <v>Title: Role of Digital Technology Transformation in Computer Education: Emerging Needs and Challenges</v>
      </c>
      <c r="N32" s="29" t="str">
        <f t="shared" si="2"/>
        <v>Abstract: At present era, digital technology plays an important role in computer education because of its important role in various segmentations, due to lack of support and application of digital technology, education may not success in to an eye catchable performance. In short, the primary goals of this research paper are to offer a fresh take on the application of digital technology in the context of transformational changes and to provide ground-breaking insight for the important researchers, scientists, teachers, and readers who are curious about the future of computer education. We the researchers have focused on a valuable and up-to-date literature review of the aforesaid research title. We have tried to our level best to justify the aforesaid research title in to a valuable and meaningful research work for the future researchers. In this paper, a thorough summary of the literature on how digital technology contributes to computer education is provided. However, this paper aims to identify many important emerging issues in education technology and major obstacles hinder broad successful implementation in the area of computer education, even though “technology in almost every element of education” are widely used. This study also found similar results, however here the paper is concentrated on the additional difficulties that were discovered due to the advent of the digital revolution to improve the empowered use of digital technology on education across all sectors, digital transmission must be applied to achieve this.</v>
      </c>
      <c r="O32" s="26"/>
      <c r="P32" s="26" t="s">
        <v>869</v>
      </c>
      <c r="Q32" s="26" t="str">
        <f t="shared" si="3"/>
        <v>title: Role of Digital Technology Transformation in Computer Education: Emerging Needs and Challenges</v>
      </c>
      <c r="R32" s="26" t="s">
        <v>870</v>
      </c>
      <c r="S32" s="26"/>
      <c r="T32" s="30"/>
      <c r="U32" s="32"/>
      <c r="V32" s="33"/>
    </row>
    <row r="33">
      <c r="A33" s="23" t="s">
        <v>20</v>
      </c>
      <c r="B33" s="35" t="s">
        <v>871</v>
      </c>
      <c r="C33" s="24" t="s">
        <v>18</v>
      </c>
      <c r="D33" s="24" t="s">
        <v>872</v>
      </c>
      <c r="E33" s="25"/>
      <c r="F33" s="23" t="s">
        <v>18</v>
      </c>
      <c r="G33" s="26" t="s">
        <v>873</v>
      </c>
      <c r="H33" s="26" t="s">
        <v>874</v>
      </c>
      <c r="I33" s="26">
        <v>2021.0</v>
      </c>
      <c r="J33" s="26" t="s">
        <v>875</v>
      </c>
      <c r="K33" s="27" t="s">
        <v>876</v>
      </c>
      <c r="L33" s="28">
        <v>46302.0</v>
      </c>
      <c r="M33" s="26" t="str">
        <f t="shared" si="1"/>
        <v>Title: Methods of Digital Transformation of Management Systems</v>
      </c>
      <c r="N33" s="29" t="str">
        <f t="shared" si="2"/>
        <v>Abstract: Introduction of digital technologies in the business models of companies is a trend of the current decade, every day the demand for digital technologies for business in the market is growing. A deep reorganization of business processes with the widespread use of digital tools for their execution, which leads to a significant increase in the effectiveness of the organization's process model for the entire product/service life cycle — is a necessary condition for ensuring competitiveness in the global market. Implementation of a management system based on well-known tools such as ERP, CRM, BPM, EDM etc. they do not fully allow you to build a proactive vertical management of the enterprise. The article considers both individual approaches and methods of digital transformation of the organization's management tools, and the general methodology for building a comprehensive digital management system that meets the requirements of international standards in the field of management systems.</v>
      </c>
      <c r="O33" s="26"/>
      <c r="P33" s="26" t="s">
        <v>877</v>
      </c>
      <c r="Q33" s="26" t="str">
        <f t="shared" si="3"/>
        <v>title: Methods of Digital Transformation of Management Systems</v>
      </c>
      <c r="R33" s="26" t="s">
        <v>878</v>
      </c>
      <c r="S33" s="26"/>
      <c r="T33" s="30"/>
      <c r="U33" s="32"/>
      <c r="V33" s="33"/>
    </row>
    <row r="34">
      <c r="A34" s="23" t="s">
        <v>20</v>
      </c>
      <c r="B34" s="35" t="s">
        <v>879</v>
      </c>
      <c r="C34" s="24" t="s">
        <v>20</v>
      </c>
      <c r="D34" s="24" t="s">
        <v>880</v>
      </c>
      <c r="E34" s="25"/>
      <c r="F34" s="23" t="s">
        <v>20</v>
      </c>
      <c r="G34" s="26" t="s">
        <v>881</v>
      </c>
      <c r="H34" s="26" t="s">
        <v>882</v>
      </c>
      <c r="I34" s="26">
        <v>2025.0</v>
      </c>
      <c r="J34" s="26" t="s">
        <v>883</v>
      </c>
      <c r="K34" s="27" t="s">
        <v>884</v>
      </c>
      <c r="L34" s="26" t="s">
        <v>885</v>
      </c>
      <c r="M34" s="26" t="str">
        <f t="shared" si="1"/>
        <v>Title: Towards a Description of the Lifecycle of Digital Transformation Projects – Empirical Insights</v>
      </c>
      <c r="N34" s="29" t="str">
        <f t="shared" si="2"/>
        <v>Abstract: Digital transformation projects (DTP) enable new kinds of either inter- or intra-organizational collaboration on the foundation of digital technologies such as the Internet of Things/ industry 4.0 and bring about organizational change. The speed of innovation; the interconnectedness of technologies; a diverse stakeholder environment; dependencies with other business activities; activities of business process management and change management all turn the management of DTP into a challenging endeavour. This is particularly true for their budgeting that does not seem to match descriptions of project management lifecycle models from recognized international project management standards. Based on this observation, a secondary analysis of interview data from two series of qualitative interviews was performed. In this article we scrutinize the applicability of popular lifecycle models to DTP. Therewith, this research contributes to a better understanding of DTPs’ lifecycles and builds a foundation for the development of a methodology for their management.</v>
      </c>
      <c r="O34" s="26"/>
      <c r="P34" s="26" t="s">
        <v>886</v>
      </c>
      <c r="Q34" s="26" t="str">
        <f t="shared" si="3"/>
        <v>title: Towards a Description of the Lifecycle of Digital Transformation Projects – Empirical Insights</v>
      </c>
      <c r="R34" s="26" t="s">
        <v>887</v>
      </c>
      <c r="S34" s="26"/>
      <c r="T34" s="30"/>
      <c r="U34" s="26" t="s">
        <v>888</v>
      </c>
      <c r="V34" s="31"/>
    </row>
    <row r="35">
      <c r="A35" s="23" t="s">
        <v>18</v>
      </c>
      <c r="B35" s="24" t="s">
        <v>889</v>
      </c>
      <c r="C35" s="24" t="s">
        <v>18</v>
      </c>
      <c r="D35" s="24" t="s">
        <v>890</v>
      </c>
      <c r="E35" s="25"/>
      <c r="F35" s="23" t="s">
        <v>18</v>
      </c>
      <c r="G35" s="26" t="s">
        <v>891</v>
      </c>
      <c r="H35" s="26" t="s">
        <v>648</v>
      </c>
      <c r="I35" s="26">
        <v>2022.0</v>
      </c>
      <c r="J35" s="26" t="s">
        <v>892</v>
      </c>
      <c r="K35" s="27" t="s">
        <v>893</v>
      </c>
      <c r="L35" s="26" t="s">
        <v>894</v>
      </c>
      <c r="M35" s="26" t="str">
        <f t="shared" si="1"/>
        <v>Title: Enabling the Gab Between RPA and Process Mining: User Interface Interactions Recorder</v>
      </c>
      <c r="N35" s="29" t="str">
        <f t="shared" si="2"/>
        <v>Abstract: Robotic process automation (RPA) is a rapid-emerging technology for process automation that is using software robots to replicate high-volume, manual, repeatable, routine, rule-based, and unmotivating human tasks. The goal is not to replace human workers but to allow them focus more on difficult tasks by delegating their tedious routine tasks to a digital force. RPA tools demonstrated powerful cost-saving and other performances. Nevertheless, one of the main challenges of implementing RPA is the identification of the suitable tasks for automation. Process mining is as an emerging technology for process discovery and enhancement based on event log data. Since RPA operates on the user interface level; process mining techniques can play a huge role in deciding the tasks that can be automated. However, process mining requires an event log as input to be used. This paper presents a tool responsible for recording the interactions with user interfaces and generating a UI log that can be used by process mining techniques for deciding the tasks that can be automated with RPA.</v>
      </c>
      <c r="O35" s="26"/>
      <c r="P35" s="26" t="s">
        <v>895</v>
      </c>
      <c r="Q35" s="26" t="str">
        <f t="shared" si="3"/>
        <v>title: Enabling the Gab Between RPA and Process Mining: User Interface Interactions Recorder</v>
      </c>
      <c r="R35" s="26" t="s">
        <v>896</v>
      </c>
      <c r="S35" s="26"/>
      <c r="T35" s="30"/>
      <c r="U35" s="26" t="s">
        <v>654</v>
      </c>
      <c r="V35" s="31"/>
    </row>
    <row r="36">
      <c r="A36" s="23" t="s">
        <v>18</v>
      </c>
      <c r="B36" s="24" t="s">
        <v>897</v>
      </c>
      <c r="C36" s="24" t="s">
        <v>18</v>
      </c>
      <c r="D36" s="24" t="s">
        <v>898</v>
      </c>
      <c r="E36" s="25"/>
      <c r="F36" s="23" t="s">
        <v>18</v>
      </c>
      <c r="G36" s="26" t="s">
        <v>899</v>
      </c>
      <c r="H36" s="26" t="s">
        <v>900</v>
      </c>
      <c r="I36" s="26">
        <v>2024.0</v>
      </c>
      <c r="J36" s="26" t="s">
        <v>901</v>
      </c>
      <c r="K36" s="27" t="s">
        <v>902</v>
      </c>
      <c r="L36" s="28">
        <v>46143.0</v>
      </c>
      <c r="M36" s="26" t="str">
        <f t="shared" si="1"/>
        <v>Title: Artificial Intelligence in the Innovation Management Systems</v>
      </c>
      <c r="N36" s="29" t="str">
        <f t="shared" si="2"/>
        <v>Abstract: In this paper the management of innovation processes and projects is studied, which is the basis for analyzing of factors affecting the complexity of the management process, and the existing methods of its optimization based on technologies and technological tools for innovation management are considered. The analysis of the prospects for the implementation artificial intelligence in the programs currently used in companies, positive and negative sides and conditions for effective use are identified. Also, according to the results of the research, recommendations for the development of software to optimize the management of innovation processes and projects using artificial intelligence are formulated.</v>
      </c>
      <c r="O36" s="26"/>
      <c r="P36" s="26" t="s">
        <v>903</v>
      </c>
      <c r="Q36" s="26" t="str">
        <f t="shared" si="3"/>
        <v>title: Artificial Intelligence in the Innovation Management Systems</v>
      </c>
      <c r="R36" s="26" t="s">
        <v>904</v>
      </c>
      <c r="S36" s="26"/>
      <c r="T36" s="30"/>
      <c r="U36" s="26" t="s">
        <v>905</v>
      </c>
      <c r="V36" s="31"/>
    </row>
    <row r="37">
      <c r="A37" s="23" t="s">
        <v>18</v>
      </c>
      <c r="B37" s="24" t="s">
        <v>906</v>
      </c>
      <c r="C37" s="24" t="s">
        <v>18</v>
      </c>
      <c r="D37" s="24" t="s">
        <v>907</v>
      </c>
      <c r="E37" s="25"/>
      <c r="F37" s="23" t="s">
        <v>18</v>
      </c>
      <c r="G37" s="26" t="s">
        <v>908</v>
      </c>
      <c r="H37" s="26" t="s">
        <v>909</v>
      </c>
      <c r="I37" s="26">
        <v>2021.0</v>
      </c>
      <c r="J37" s="26" t="s">
        <v>910</v>
      </c>
      <c r="K37" s="27" t="s">
        <v>911</v>
      </c>
      <c r="L37" s="28">
        <v>46174.0</v>
      </c>
      <c r="M37" s="26" t="str">
        <f t="shared" si="1"/>
        <v>Title: Self-managed Organization: A Role of Business Process Management</v>
      </c>
      <c r="N37" s="29" t="str">
        <f t="shared" si="2"/>
        <v>Abstract: Among with process automation and digitalization trends, which requires a strong structural and process-oriented approach, new paradigm of self-managed organization become a mainstream cultivating the value of decentralization of decision power. With different titles as Management 3.0, holacracy, teal organization or reinventing organization, the same idea is spread – a transition from typical hierarchical management pyramid to the flat organization of self-organized teams with given authorities for decision making. Ongoing discussions are both supporting and criticizing. Most of them are focused on organizational changes, mind-set, and methods to assist transition. Keeping attention to the social component of the new management paradigm in organizational ecosystem, an attention to its technical side is missed. It includes business process and information system governance. The aim of the paper is to start a discourse and consider if self-managed organization benefit from a systematic approach of process management, as well as consider risks what can bring to business process continuity.</v>
      </c>
      <c r="O37" s="26"/>
      <c r="P37" s="26" t="s">
        <v>912</v>
      </c>
      <c r="Q37" s="26" t="str">
        <f t="shared" si="3"/>
        <v>title: Self-managed Organization: A Role of Business Process Management</v>
      </c>
      <c r="R37" s="26" t="s">
        <v>913</v>
      </c>
      <c r="S37" s="26"/>
      <c r="T37" s="30"/>
      <c r="U37" s="32"/>
      <c r="V37" s="33"/>
    </row>
    <row r="38">
      <c r="A38" s="23" t="s">
        <v>18</v>
      </c>
      <c r="B38" s="24" t="s">
        <v>914</v>
      </c>
      <c r="C38" s="24" t="s">
        <v>18</v>
      </c>
      <c r="D38" s="24" t="s">
        <v>915</v>
      </c>
      <c r="E38" s="25"/>
      <c r="F38" s="23" t="s">
        <v>18</v>
      </c>
      <c r="G38" s="26" t="s">
        <v>916</v>
      </c>
      <c r="H38" s="26" t="s">
        <v>917</v>
      </c>
      <c r="I38" s="26">
        <v>2022.0</v>
      </c>
      <c r="J38" s="26" t="s">
        <v>918</v>
      </c>
      <c r="K38" s="27" t="s">
        <v>919</v>
      </c>
      <c r="L38" s="36">
        <v>46143.0</v>
      </c>
      <c r="M38" s="26" t="str">
        <f t="shared" si="1"/>
        <v>Title: Robotic Process Automation in Smart System Platform: A Review</v>
      </c>
      <c r="N38" s="29" t="str">
        <f t="shared" si="2"/>
        <v>Abstract: Robotic Process Automation (RPA) is routine rule-based process automation to reduce costs and increase efficiency. In recent years, RPA becomes an interesting thing for researchers. This paper presents a literature study on RPA the focuses on discussing the definition, tools, benefits, business area domains, and various problems that arise in RPA research. In the end, the research challenges in the RPA field were discussed.</v>
      </c>
      <c r="O38" s="26"/>
      <c r="P38" s="26" t="s">
        <v>920</v>
      </c>
      <c r="Q38" s="26" t="str">
        <f t="shared" si="3"/>
        <v>title: Robotic Process Automation in Smart System Platform: A Review</v>
      </c>
      <c r="R38" s="26" t="s">
        <v>921</v>
      </c>
      <c r="S38" s="26"/>
      <c r="T38" s="30"/>
      <c r="U38" s="30"/>
      <c r="V38" s="34"/>
    </row>
    <row r="39">
      <c r="A39" s="23" t="s">
        <v>20</v>
      </c>
      <c r="B39" s="24" t="s">
        <v>922</v>
      </c>
      <c r="C39" s="24" t="s">
        <v>18</v>
      </c>
      <c r="D39" s="24" t="s">
        <v>923</v>
      </c>
      <c r="E39" s="25"/>
      <c r="F39" s="23" t="s">
        <v>20</v>
      </c>
      <c r="G39" s="26" t="s">
        <v>924</v>
      </c>
      <c r="H39" s="26" t="s">
        <v>925</v>
      </c>
      <c r="I39" s="26">
        <v>2023.0</v>
      </c>
      <c r="J39" s="26" t="s">
        <v>926</v>
      </c>
      <c r="K39" s="27" t="s">
        <v>927</v>
      </c>
      <c r="L39" s="28">
        <v>46174.0</v>
      </c>
      <c r="M39" s="26" t="str">
        <f t="shared" si="1"/>
        <v>Title: Approaching Quality 4.0: The Digital Process Management as a Competitive Advantage</v>
      </c>
      <c r="N39" s="29" t="str">
        <f t="shared" si="2"/>
        <v>Abstract: A new quality management strategy known as "Quality 4.0" makes use of Industry 4.0 technology, integration, and digitalization. While green business process management is recognized as a best practice management principle to support organizations in maintaining production efficiency from a process perspective to gain competitive advantage. The key ideas of green business process management are reviewed and examined in this study along with its impact on competitive advantage with a mediating role of quality 4.0. The quantitative nature of the study examines how Quality 4.0 is now perceived in various sources with an empirical evidence collected from food manufacturing industry Dubai UAE. 66 food manufacturing companies were targeted to gather data from managerial and production departments. 216 respondent’s data utilized for analysis. The study model was hypothesized that was measured using convergent validity, reliability, VIF and hypothesis testing to encounter the mediating effect of quality 4.0. The findings suggest a significant impact of green business process management on competitive advantage with mediating role of quality 4.0. As a result, the findings contribute to improve the knowledge of manufacturers, industrialists, and researchers concerned to explore GBPM and Quality 4.0. Moreover, implementing Quality 4.0 can provide several benefits that can help businesses gain a competitive advantage, including improved quality, increased efficiency, enhanced innovation, better decision-making, and a differentiated market position.</v>
      </c>
      <c r="O39" s="26"/>
      <c r="P39" s="26" t="s">
        <v>928</v>
      </c>
      <c r="Q39" s="26" t="str">
        <f t="shared" si="3"/>
        <v>title: Approaching Quality 4.0: The Digital Process Management as a Competitive Advantage</v>
      </c>
      <c r="R39" s="26" t="s">
        <v>929</v>
      </c>
      <c r="S39" s="26"/>
      <c r="T39" s="30"/>
      <c r="U39" s="32"/>
      <c r="V39" s="33"/>
    </row>
    <row r="40">
      <c r="A40" s="23" t="s">
        <v>18</v>
      </c>
      <c r="B40" s="24" t="s">
        <v>930</v>
      </c>
      <c r="C40" s="24" t="s">
        <v>18</v>
      </c>
      <c r="D40" s="24" t="s">
        <v>931</v>
      </c>
      <c r="E40" s="25"/>
      <c r="F40" s="23" t="s">
        <v>18</v>
      </c>
      <c r="G40" s="26" t="s">
        <v>932</v>
      </c>
      <c r="H40" s="26" t="s">
        <v>933</v>
      </c>
      <c r="I40" s="26">
        <v>2022.0</v>
      </c>
      <c r="J40" s="26" t="s">
        <v>934</v>
      </c>
      <c r="K40" s="27" t="s">
        <v>935</v>
      </c>
      <c r="L40" s="26" t="s">
        <v>936</v>
      </c>
      <c r="M40" s="26" t="str">
        <f t="shared" si="1"/>
        <v>Title: ROH-BOT: An IoT Wearable and Inclusive Health Device for Remote Patient Monitoring With Different Alarm Systems</v>
      </c>
      <c r="N40" s="29" t="str">
        <f t="shared" si="2"/>
        <v>Abstract: For the last two years, the world has been fighting an invisible enemy: COVID-19 (coronavirus). The spreading of this virus caused an unprecedented pandemic, bringing out some critical health system issues due to overcrowded hospitals and undersized medical personnel compared to the number of infected. Indeed, in this context, health facilities have proven inadequate in treating COVID-19 patients who were in quarantine at home, leading to overcrowded hospitals. An efficient home monitoring system would have reserved hospital beds for patients in severe conditions while, at the same time, doctors would have followed up on patients who had mild disease symptoms remotely. Unfortunately, the development of telemedicine was not enough; devices were not user-friendly and had insufficient memory to guarantee daily data storage. ROH-BOT is an IoT device that allows real-time contact with the doctor, tracking the patient’s vital values, and registers the critical parameters that characterize the specific disease. It also allows quick contact with a trusted third person due to its association with a Telegram bot. Moreover, thanks to its user-friendly characteristics, ROH-BOT increases the growing digitalization in the medical field and the democratization of medical technology. In this way, ROH-BOT aims to solve the difficulties related to home monitoring relieved during the pandemic.</v>
      </c>
      <c r="O40" s="26"/>
      <c r="P40" s="26" t="s">
        <v>937</v>
      </c>
      <c r="Q40" s="26" t="str">
        <f t="shared" si="3"/>
        <v>title: ROH-BOT: An IoT Wearable and Inclusive Health Device for Remote Patient Monitoring With Different Alarm Systems</v>
      </c>
      <c r="R40" s="26" t="s">
        <v>938</v>
      </c>
      <c r="S40" s="26"/>
      <c r="T40" s="30"/>
      <c r="U40" s="26" t="s">
        <v>939</v>
      </c>
      <c r="V40" s="31"/>
    </row>
    <row r="41">
      <c r="A41" s="23" t="s">
        <v>20</v>
      </c>
      <c r="B41" s="24" t="s">
        <v>940</v>
      </c>
      <c r="C41" s="24" t="s">
        <v>20</v>
      </c>
      <c r="D41" s="24" t="s">
        <v>941</v>
      </c>
      <c r="E41" s="25"/>
      <c r="F41" s="23" t="s">
        <v>20</v>
      </c>
      <c r="G41" s="26" t="s">
        <v>942</v>
      </c>
      <c r="H41" s="26" t="s">
        <v>943</v>
      </c>
      <c r="I41" s="26">
        <v>2025.0</v>
      </c>
      <c r="J41" s="26" t="s">
        <v>944</v>
      </c>
      <c r="K41" s="27" t="s">
        <v>945</v>
      </c>
      <c r="L41" s="28">
        <v>46204.0</v>
      </c>
      <c r="M41" s="26" t="str">
        <f t="shared" si="1"/>
        <v>Title: Machine Learning Driven Enterprise Business Intelligence Refactoring and Dynamic Adaptation</v>
      </c>
      <c r="N41" s="29" t="str">
        <f t="shared" si="2"/>
        <v>Abstract: With the vigorous development of artificial intelligence technology, enterprises are facing the challenge of intelligent upgrading in business management. The research aims to use artificial intelligence to solve these problems and achieve intelligent restructuring and dynamic adaptation of enterprise business. The research constructs a three-dimensional BPM framework based on machine learning, covering value network collaboration, business object layering, and dynamic process lifecycle dimensions, respectively achieving cross subject collaboration optimization, fine management of business objects, and dynamic process closure. The research results show that compared with advanced models such as intelligent business process optimization integration models, the proposed model reduces classification errors by about 30%, root mean square errors by about 28%, and recall rates by about 20%. The effect is outstanding in different enterprise scenarios, such as a 43.90% increase in inventory turnover rate in large manufacturing enterprises and a 56.31% monthly reduction in equipment downtime in electronic product manufacturing enterprises. The research uses artificial intelligence to achieve deep transformation of enterprise business processes, providing effective ways for enterprises to improve operational efficiency, reduce costs, and enhance market competitiveness.</v>
      </c>
      <c r="O41" s="26"/>
      <c r="P41" s="26" t="s">
        <v>946</v>
      </c>
      <c r="Q41" s="26" t="str">
        <f t="shared" si="3"/>
        <v>title: Machine Learning Driven Enterprise Business Intelligence Refactoring and Dynamic Adaptation</v>
      </c>
      <c r="R41" s="26" t="s">
        <v>947</v>
      </c>
      <c r="S41" s="26"/>
      <c r="T41" s="30"/>
      <c r="U41" s="26" t="s">
        <v>948</v>
      </c>
      <c r="V41" s="31"/>
    </row>
    <row r="42">
      <c r="A42" s="23" t="s">
        <v>18</v>
      </c>
      <c r="B42" s="24" t="s">
        <v>949</v>
      </c>
      <c r="C42" s="24" t="s">
        <v>18</v>
      </c>
      <c r="D42" s="24" t="s">
        <v>950</v>
      </c>
      <c r="E42" s="25"/>
      <c r="F42" s="23" t="s">
        <v>18</v>
      </c>
      <c r="G42" s="26" t="s">
        <v>951</v>
      </c>
      <c r="H42" s="26" t="s">
        <v>952</v>
      </c>
      <c r="I42" s="26">
        <v>2022.0</v>
      </c>
      <c r="J42" s="26" t="s">
        <v>953</v>
      </c>
      <c r="K42" s="27" t="s">
        <v>954</v>
      </c>
      <c r="L42" s="26" t="s">
        <v>955</v>
      </c>
      <c r="M42" s="26" t="str">
        <f t="shared" si="1"/>
        <v>Title: Overview of Business Hyper-automation</v>
      </c>
      <c r="N42" s="29" t="str">
        <f t="shared" si="2"/>
        <v>Abstract: Business hyper-automation has emerged as a new topic with the advancement of AI, machine learning, process automation, sensing technology, blockchain, etc. It starts attracting industry interest as well, as many IT giants are establishing the market of business hyper-automation. By organically combining these technologies, business hyper-automation promises us flexible service delivery, intelligent business scheduling, resilience to unexpected changes, and significant reduction of workforce need. Around this novel concept, we are to discuss the motivation of business hyper-automation and typical technologies employed by it. An outlook to related research topics and the future of hyper-automation is conducted in the end.</v>
      </c>
      <c r="O42" s="26"/>
      <c r="P42" s="26" t="s">
        <v>956</v>
      </c>
      <c r="Q42" s="26" t="str">
        <f t="shared" si="3"/>
        <v>title: Overview of Business Hyper-automation</v>
      </c>
      <c r="R42" s="26" t="s">
        <v>957</v>
      </c>
      <c r="S42" s="26"/>
      <c r="T42" s="30"/>
      <c r="U42" s="32"/>
      <c r="V42" s="33"/>
    </row>
    <row r="43">
      <c r="A43" s="23" t="s">
        <v>20</v>
      </c>
      <c r="B43" s="24" t="s">
        <v>958</v>
      </c>
      <c r="C43" s="24" t="s">
        <v>20</v>
      </c>
      <c r="D43" s="24" t="s">
        <v>959</v>
      </c>
      <c r="E43" s="25"/>
      <c r="F43" s="23" t="s">
        <v>20</v>
      </c>
      <c r="G43" s="26" t="s">
        <v>960</v>
      </c>
      <c r="H43" s="26" t="s">
        <v>961</v>
      </c>
      <c r="I43" s="26">
        <v>2025.0</v>
      </c>
      <c r="J43" s="26" t="s">
        <v>962</v>
      </c>
      <c r="K43" s="27" t="s">
        <v>963</v>
      </c>
      <c r="L43" s="26" t="s">
        <v>964</v>
      </c>
      <c r="M43" s="26" t="str">
        <f t="shared" si="1"/>
        <v>Title: Research on Integration Technology of Information Platform for School-enterprise Cooperation in Electric Power Enterprises Based on SOA Architecture</v>
      </c>
      <c r="N43" s="29" t="str">
        <f t="shared" si="2"/>
        <v>Abstract: This paper studies the integration technology of information platform for school-enterprise cooperation in power enterprises based on service-oriented architecture (SOA), aiming at solving the problem of "information island" encountered by power enterprises in the process of digital transformation and improving the efficiency and quality of school-enterprise cooperation. Firstly, this paper analyzes the current situation and challenges of information construction in power enterprises, points out the limitations of traditional information system architecture, and puts forward the advantages of SOA architecture in promoting cross-organizational data exchange and service invocation. Then, the paper introduces in detail the overall architecture design of the information platform for school-enterprise cooperation in electric power enterprises based on SOA, including service providing layer, service bus layer, service consuming layer and service management layer, and expounds the functions and implementation of key components such as service registration center, enterprise service bus (ESB), service adapter, service monitoring and governance platform and security component. In the technical realization part, the paper describes the process of service definition and modeling, service development and encapsulation, service registration and discovery, and service communication and invocation, and discusses the strategy of service monitoring and management. In addition, the paper also discusses the role of Web Services technology, ESB tools and BPM tools in supporting the design and implementation of SOA architecture. Finally, through a case study, the application effect of SOA architecture in the actual school-enterprise cooperation information platform is demonstrated, which proves its effectiveness in promoting data sharing and business collaboration, and improving cooperation efficiency and quality. The research results show that the integration technology of information platform for school-enterprise cooperation in power enterprises based on SOA architecture can provide new ideas and methods for the informatization construction of power enterprises, which has important theoretical value and practical significance.</v>
      </c>
      <c r="O43" s="26"/>
      <c r="P43" s="26" t="s">
        <v>965</v>
      </c>
      <c r="Q43" s="26" t="str">
        <f t="shared" si="3"/>
        <v>title: Research on Integration Technology of Information Platform for School-enterprise Cooperation in Electric Power Enterprises Based on SOA Architecture</v>
      </c>
      <c r="R43" s="26" t="s">
        <v>966</v>
      </c>
      <c r="S43" s="26"/>
      <c r="T43" s="30"/>
      <c r="U43" s="30"/>
      <c r="V43" s="34"/>
    </row>
    <row r="44">
      <c r="A44" s="23" t="s">
        <v>18</v>
      </c>
      <c r="B44" s="24" t="s">
        <v>967</v>
      </c>
      <c r="C44" s="24" t="s">
        <v>18</v>
      </c>
      <c r="D44" s="24" t="s">
        <v>968</v>
      </c>
      <c r="E44" s="25"/>
      <c r="F44" s="23" t="s">
        <v>18</v>
      </c>
      <c r="G44" s="26" t="s">
        <v>969</v>
      </c>
      <c r="H44" s="26" t="s">
        <v>970</v>
      </c>
      <c r="I44" s="26">
        <v>2024.0</v>
      </c>
      <c r="J44" s="26" t="s">
        <v>971</v>
      </c>
      <c r="K44" s="27" t="s">
        <v>972</v>
      </c>
      <c r="L44" s="26" t="s">
        <v>973</v>
      </c>
      <c r="M44" s="26" t="str">
        <f t="shared" si="1"/>
        <v>Title: Strategic Diagnostics of Business Processes of Enterprises using Information Technologies in the Context of Modern Challenges</v>
      </c>
      <c r="N44" s="29" t="str">
        <f t="shared" si="2"/>
        <v>Abstract: Strategic diagnosis of business processes using information technologies allows enterprises to determine the effectiveness of business processes, improve existing or abandon inefficient business processes, increase the automation of enterprise management, develop strategies aimed at ensuring competitiveness in the face of modern challenges. This study presents a model for assessing the efficiency of business processes, which allows for a comprehensive assessment of the key indicators of the enterprise, as well as to determine the level of their efficiency and individual components that can be used when making management decisions regarding the analysis, prevention and prevention of real and potential threats and risks. The model was tested at five transport enterprises, which confirms the significant advantages of the developed model.</v>
      </c>
      <c r="O44" s="26"/>
      <c r="P44" s="26" t="s">
        <v>974</v>
      </c>
      <c r="Q44" s="26" t="str">
        <f t="shared" si="3"/>
        <v>title: Strategic Diagnostics of Business Processes of Enterprises using Information Technologies in the Context of Modern Challenges</v>
      </c>
      <c r="R44" s="26" t="s">
        <v>975</v>
      </c>
      <c r="S44" s="26"/>
      <c r="T44" s="30"/>
      <c r="U44" s="26" t="s">
        <v>976</v>
      </c>
      <c r="V44" s="31"/>
    </row>
    <row r="45">
      <c r="A45" s="23" t="s">
        <v>18</v>
      </c>
      <c r="B45" s="24" t="s">
        <v>977</v>
      </c>
      <c r="C45" s="24" t="s">
        <v>18</v>
      </c>
      <c r="D45" s="24" t="s">
        <v>978</v>
      </c>
      <c r="E45" s="25"/>
      <c r="F45" s="23" t="s">
        <v>18</v>
      </c>
      <c r="G45" s="26" t="s">
        <v>979</v>
      </c>
      <c r="H45" s="26" t="s">
        <v>980</v>
      </c>
      <c r="I45" s="26">
        <v>2025.0</v>
      </c>
      <c r="J45" s="26" t="s">
        <v>981</v>
      </c>
      <c r="K45" s="27" t="s">
        <v>982</v>
      </c>
      <c r="L45" s="28">
        <v>46174.0</v>
      </c>
      <c r="M45" s="26" t="str">
        <f t="shared" si="1"/>
        <v>Title: The Role of IS/IT Strategies in Driving Business Transformation and Achieving Organizational Objectives: A Systematic Literature Review</v>
      </c>
      <c r="N45" s="29" t="str">
        <f t="shared" si="2"/>
        <v>Abstract: This paper explores the critical role of Information Systems and Information Technology (IS/IT) strategies in driving business transformation and achieving organizational objectives. By employing a systematic literature review guided by the PRISMA framework, 26 scholarly papers were analysed to identify key methodologies, frameworks, and emerging trends. The findings highlight the importance of hybrid and industry-specific approaches for strategic alignment, the integration of advanced technologies to foster innovation and operational efficiency, and the alignment of critical success factors (CSFs) and key performance indicators (KPIs) with organizational objectives to enhance monitoring and adaptability. Furthermore, the study underscores the dynamic interplay of internal and external business factors in strategy formulation and the growing significance of ethical and sustainable practices in future IS/IT strategies. The discussion offers actionable insights for organizations navigating complex technological landscapes, emphasizing flexibility, holistic planning, and sustainability as core components of modern IS/IT strategies. These findings provide a roadmap for organizations aiming to align IS/IT strategies with evolving demands and societal expectations while maintaining a competitive edge in the digital age.</v>
      </c>
      <c r="O45" s="26"/>
      <c r="P45" s="26" t="s">
        <v>983</v>
      </c>
      <c r="Q45" s="26" t="str">
        <f t="shared" si="3"/>
        <v>title: The Role of IS/IT Strategies in Driving Business Transformation and Achieving Organizational Objectives: A Systematic Literature Review</v>
      </c>
      <c r="R45" s="26" t="s">
        <v>984</v>
      </c>
      <c r="S45" s="26"/>
      <c r="T45" s="30"/>
      <c r="U45" s="32"/>
      <c r="V45" s="33"/>
    </row>
    <row r="46">
      <c r="A46" s="23" t="s">
        <v>18</v>
      </c>
      <c r="B46" s="24" t="s">
        <v>985</v>
      </c>
      <c r="C46" s="24" t="s">
        <v>18</v>
      </c>
      <c r="D46" s="24" t="s">
        <v>986</v>
      </c>
      <c r="E46" s="25"/>
      <c r="F46" s="23" t="s">
        <v>18</v>
      </c>
      <c r="G46" s="26" t="s">
        <v>987</v>
      </c>
      <c r="H46" s="26" t="s">
        <v>988</v>
      </c>
      <c r="I46" s="26">
        <v>2023.0</v>
      </c>
      <c r="J46" s="26" t="s">
        <v>989</v>
      </c>
      <c r="K46" s="27" t="s">
        <v>990</v>
      </c>
      <c r="L46" s="28">
        <v>46296.0</v>
      </c>
      <c r="M46" s="26" t="str">
        <f t="shared" si="1"/>
        <v>Title: Digitalization in the Construction Industry: The Case of Documentation and Invoicing in Tunneling</v>
      </c>
      <c r="N46" s="29" t="str">
        <f t="shared" si="2"/>
        <v>Abstract: The digitalization of Architecture, Engineering, &amp; Construction (AEC), specifically the tunneling sector, often lags behind other sectors. Today's invoicing process of tunneling projects frequently involves many manual and paper-based tasks, which are error-prone and time-consuming. Accordingly, replacing this with a fully digital process, from the tunnel face to the project owner, bears high economic potential. This article proposes an integrated digital documentation system for tunnel construction management and invoicing. A month-long case study with data from a real-life construction site is conducted to test the system's suitability. The managed data are exported to commonly used enterprise resource planning (ERP) systems for invoicing and compared to actual invoicing data. The case study has shown that the proposed approach is practical and helped streamline and improve the construction documentation processes in conventional tunnel construction. The proposed solution represents an incremental contribution to the digital transformation of the AEC sector.</v>
      </c>
      <c r="O46" s="26"/>
      <c r="P46" s="26" t="s">
        <v>991</v>
      </c>
      <c r="Q46" s="26" t="str">
        <f t="shared" si="3"/>
        <v>title: Digitalization in the Construction Industry: The Case of Documentation and Invoicing in Tunneling</v>
      </c>
      <c r="R46" s="26" t="s">
        <v>992</v>
      </c>
      <c r="S46" s="26"/>
      <c r="T46" s="30"/>
      <c r="U46" s="26" t="s">
        <v>993</v>
      </c>
      <c r="V46" s="31"/>
    </row>
    <row r="47">
      <c r="A47" s="23" t="s">
        <v>20</v>
      </c>
      <c r="B47" s="24" t="s">
        <v>994</v>
      </c>
      <c r="C47" s="24" t="s">
        <v>20</v>
      </c>
      <c r="D47" s="24" t="s">
        <v>995</v>
      </c>
      <c r="E47" s="25"/>
      <c r="F47" s="23" t="s">
        <v>20</v>
      </c>
      <c r="G47" s="26" t="s">
        <v>996</v>
      </c>
      <c r="H47" s="26" t="s">
        <v>648</v>
      </c>
      <c r="I47" s="26">
        <v>2026.0</v>
      </c>
      <c r="J47" s="26" t="s">
        <v>997</v>
      </c>
      <c r="K47" s="27" t="s">
        <v>998</v>
      </c>
      <c r="L47" s="26" t="s">
        <v>999</v>
      </c>
      <c r="M47" s="26" t="str">
        <f t="shared" si="1"/>
        <v>Title: Design and Implementation of Industrial Internet of Things for Legacy Field Devices: A Case Study</v>
      </c>
      <c r="N47" s="29" t="str">
        <f t="shared" si="2"/>
        <v>Abstract: The fourth industrial revolution signals a worldwide effort to exploit novel information and communication technologies, such as the internet-of-things (IoT), in the provision of strategic benefits to manufacturing organizations. However, not all industry participants are structurally compatible with these new technologies. Specifically, manufacturers relying on legacy field devices often face difficulties in adopting the IoT paradigm due to limited interoperability, restricted data availability, and complex system integration. This incompatibility creates a barrier of entry that mainly hinders small and medium enterprises in their pursuit of competitive advantage in the contemporary markets. In response to this issue, we propose a transformation workflow to convert legacy devices into industrial internet of things (IIoT) assets. The workflow is based on the Business Process Management Life-Cycle model, as well as the PDCA iterative design. A case study is conducted to demonstrate the workflow’s use in a real manufacturing organization in Brazil.</v>
      </c>
      <c r="O47" s="26"/>
      <c r="P47" s="26" t="s">
        <v>1000</v>
      </c>
      <c r="Q47" s="26" t="str">
        <f t="shared" si="3"/>
        <v>title: Design and Implementation of Industrial Internet of Things for Legacy Field Devices: A Case Study</v>
      </c>
      <c r="R47" s="26" t="s">
        <v>1001</v>
      </c>
      <c r="S47" s="26"/>
      <c r="T47" s="30"/>
      <c r="U47" s="26" t="s">
        <v>654</v>
      </c>
      <c r="V47" s="31"/>
    </row>
    <row r="48">
      <c r="A48" s="23" t="s">
        <v>18</v>
      </c>
      <c r="B48" s="24" t="s">
        <v>1002</v>
      </c>
      <c r="C48" s="24" t="s">
        <v>18</v>
      </c>
      <c r="D48" s="24" t="s">
        <v>1003</v>
      </c>
      <c r="E48" s="25"/>
      <c r="F48" s="23" t="s">
        <v>18</v>
      </c>
      <c r="G48" s="26" t="s">
        <v>1004</v>
      </c>
      <c r="H48" s="26" t="s">
        <v>1005</v>
      </c>
      <c r="I48" s="26">
        <v>2022.0</v>
      </c>
      <c r="J48" s="26" t="s">
        <v>1006</v>
      </c>
      <c r="K48" s="27" t="s">
        <v>1007</v>
      </c>
      <c r="L48" s="28">
        <v>46143.0</v>
      </c>
      <c r="M48" s="26" t="str">
        <f t="shared" si="1"/>
        <v>Title: E-Health Monitoring System Application using OLED and Pulse Sensor</v>
      </c>
      <c r="N48" s="29" t="str">
        <f t="shared" si="2"/>
        <v>Abstract: A heartbeat monitoring system application integrated with Blynk Apps, OLED, and pulse sensors is proposed in this paper. Counting the heartbeat in beats per minute (BPM) in a manual way would be time-consuming, especially for a large group of patients and when in an emergency condition. The proposed heartbeat monitoring system is designed to reduce the effort and improve the performance of the current heartbeat monitoring system. The system can capture the pulse rate and use the application to track down every heartbeat condition, with the aid of an IoT system and sensors. The hardware-based Internet of Things (IoT) platform is termed ‘Blynk’ which is basically an amalgamation of machine learning, analytics, private device management, and white-labeled mobile applications. The microcontroller used system in this project would beESP8266 NodeMCU with a built-in Wi-Fi module. The proposed e-health monitoring system can be used for high-intensity workout competitions and training purposes to capture the participants of the heartbeat condition to avoid unprofessional acts that can endanger one's health. Furthermore, the proposed attendance system can save time from queueing up at the clinic or hospital to check heartbeat conditions and wait for consultation, patients can directly use the monitoring system at home and the apps to capture the results.</v>
      </c>
      <c r="O48" s="26"/>
      <c r="P48" s="26" t="s">
        <v>1008</v>
      </c>
      <c r="Q48" s="26" t="str">
        <f t="shared" si="3"/>
        <v>title: E-Health Monitoring System Application using OLED and Pulse Sensor</v>
      </c>
      <c r="R48" s="26" t="s">
        <v>1009</v>
      </c>
      <c r="S48" s="26"/>
      <c r="T48" s="30"/>
      <c r="U48" s="32"/>
      <c r="V48" s="33"/>
    </row>
    <row r="49">
      <c r="A49" s="23" t="s">
        <v>18</v>
      </c>
      <c r="B49" s="24" t="s">
        <v>1010</v>
      </c>
      <c r="C49" s="24" t="s">
        <v>18</v>
      </c>
      <c r="D49" s="24" t="s">
        <v>1011</v>
      </c>
      <c r="E49" s="25"/>
      <c r="F49" s="23" t="s">
        <v>20</v>
      </c>
      <c r="G49" s="26" t="s">
        <v>1012</v>
      </c>
      <c r="H49" s="26" t="s">
        <v>1013</v>
      </c>
      <c r="I49" s="26">
        <v>2022.0</v>
      </c>
      <c r="J49" s="26" t="s">
        <v>1014</v>
      </c>
      <c r="K49" s="27" t="s">
        <v>1015</v>
      </c>
      <c r="L49" s="26" t="s">
        <v>1016</v>
      </c>
      <c r="M49" s="26" t="str">
        <f t="shared" si="1"/>
        <v>Title: Case study of digital innovation process improvement, using BPMN, case-based reasoning, and text mining</v>
      </c>
      <c r="N49" s="29" t="str">
        <f t="shared" si="2"/>
        <v>Abstract: Managers of digital products frequently receive feature requests from customers, end users, C-suite executives, and other company officials. They need to collect, process, and implement such requests to implement the most valuable features. Moreover, it is often difficult to decide which requests should be applied. The product backlog prioritization strategy is a well-known method widely utilized to enhance this process. However, it is time-consuming because of the large amount of data and is also subject to the human factor. Moreover, the current literature lacks models allowing automated recommendations to help speed up feature request processing, especially for digital startups with a lack of resources. In this paper, we used BPMN to illustrate a case study of redesigning an innovation process in a digital startup. Furthermore, based on the To-Be Process model, we created an approach to recommend new features using case-based reasoning and text mining.</v>
      </c>
      <c r="O49" s="26"/>
      <c r="P49" s="26" t="s">
        <v>1017</v>
      </c>
      <c r="Q49" s="26" t="str">
        <f t="shared" si="3"/>
        <v>title: Case study of digital innovation process improvement, using BPMN, case-based reasoning, and text mining</v>
      </c>
      <c r="R49" s="26" t="s">
        <v>1018</v>
      </c>
      <c r="S49" s="26"/>
      <c r="T49" s="30"/>
      <c r="U49" s="30"/>
      <c r="V49" s="34"/>
    </row>
    <row r="50">
      <c r="A50" s="23" t="s">
        <v>18</v>
      </c>
      <c r="B50" s="24" t="s">
        <v>1019</v>
      </c>
      <c r="C50" s="24" t="s">
        <v>18</v>
      </c>
      <c r="D50" s="24" t="s">
        <v>1020</v>
      </c>
      <c r="E50" s="25"/>
      <c r="F50" s="23" t="s">
        <v>18</v>
      </c>
      <c r="G50" s="26" t="s">
        <v>1021</v>
      </c>
      <c r="H50" s="26" t="s">
        <v>1022</v>
      </c>
      <c r="I50" s="26">
        <v>2023.0</v>
      </c>
      <c r="J50" s="26" t="s">
        <v>1023</v>
      </c>
      <c r="K50" s="27" t="s">
        <v>1024</v>
      </c>
      <c r="L50" s="26" t="s">
        <v>1025</v>
      </c>
      <c r="M50" s="26" t="str">
        <f t="shared" si="1"/>
        <v>Title: Banking Industry's Transformation with Aid of AI Technology</v>
      </c>
      <c r="N50" s="29" t="str">
        <f t="shared" si="2"/>
        <v>Abstract: The banking landscape is being significantly influenced by digitalization. AI becomes more deeply integrated into the industry, the banking industry must position itself to respond to the shifting business landscape. Traditional banking is transformed into digital banking when AI's distinctive characteristics are integrated into the banking industry. This article presents our viewpoint on the part artificial intelligence technology plays in assuring the transformation of the financial industry. As a result, we are able to draw the conclusion that the integration of AI into banking will result in growth, efficiency, and increased user convenience. Therefore, it will enable banks to innovate more quickly in the future, compete with digital natives in building deeper relationships with scaled customers, and achieve sustainable increases in valuations and profits in this new age. They will be better able to incorporate AI into their operations due to their increased focus on digital technologies and willingness to change.</v>
      </c>
      <c r="O50" s="26"/>
      <c r="P50" s="26" t="s">
        <v>1026</v>
      </c>
      <c r="Q50" s="26" t="str">
        <f t="shared" si="3"/>
        <v>title: Banking Industry's Transformation with Aid of AI Technology</v>
      </c>
      <c r="R50" s="26" t="s">
        <v>1027</v>
      </c>
      <c r="S50" s="26"/>
      <c r="T50" s="30"/>
      <c r="U50" s="30"/>
      <c r="V50" s="34"/>
    </row>
    <row r="51">
      <c r="A51" s="23" t="s">
        <v>18</v>
      </c>
      <c r="B51" s="24" t="s">
        <v>1028</v>
      </c>
      <c r="C51" s="24" t="s">
        <v>18</v>
      </c>
      <c r="D51" s="24" t="s">
        <v>1029</v>
      </c>
      <c r="E51" s="25"/>
      <c r="F51" s="23" t="s">
        <v>18</v>
      </c>
      <c r="G51" s="26" t="s">
        <v>1030</v>
      </c>
      <c r="H51" s="26" t="s">
        <v>1031</v>
      </c>
      <c r="I51" s="26">
        <v>2025.0</v>
      </c>
      <c r="J51" s="26" t="s">
        <v>1032</v>
      </c>
      <c r="K51" s="27" t="s">
        <v>1033</v>
      </c>
      <c r="L51" s="28">
        <v>46204.0</v>
      </c>
      <c r="M51" s="26" t="str">
        <f t="shared" si="1"/>
        <v>Title: Emerging Technologies Integration in Cloud Computing, AI, and SAP S/4 HANA Rise Cloud for the Oil and Gas Energy Sector</v>
      </c>
      <c r="N51" s="29" t="str">
        <f t="shared" si="2"/>
        <v>Abstract: The combination of the new technologies, including Cloud Computing, Artificial Intelligence (AI) and SAP S/4 HANA Rise Cloud, has extensive potential in changing the way oil and gas energy industry is being operated. This paper discusses how these technologies can be used to solve industry related issues such as inefficiencies in the operation, high maintenance expenses and inability to analyze real-time information. Cloud computing allows data storage to be scalable, secure and cost-effective, whereas AI offers the enhanced features in the process of predictive maintenance, optimization and decision-making. Implementation of SAP s/4 HANA rise clouds will improve the business management system, which is more compatible among enterprise applications. A combination of these technologies does not only help to optimize the use of resources but can also reflect an increase in safety standards and sustainable relationship with the environment, which would have many benefits in the field. By incorporating this integration, the oil and gas sector has greater functionality in achieving efficiency, innovation, and sustainability in its operation.</v>
      </c>
      <c r="O51" s="26"/>
      <c r="P51" s="26" t="s">
        <v>1034</v>
      </c>
      <c r="Q51" s="26" t="str">
        <f t="shared" si="3"/>
        <v>title: Emerging Technologies Integration in Cloud Computing, AI, and SAP S/4 HANA Rise Cloud for the Oil and Gas Energy Sector</v>
      </c>
      <c r="R51" s="26" t="s">
        <v>1035</v>
      </c>
      <c r="S51" s="26"/>
      <c r="T51" s="30"/>
      <c r="U51" s="32"/>
      <c r="V51" s="33"/>
    </row>
    <row r="52">
      <c r="A52" s="23" t="s">
        <v>18</v>
      </c>
      <c r="B52" s="24" t="s">
        <v>1036</v>
      </c>
      <c r="C52" s="24" t="s">
        <v>18</v>
      </c>
      <c r="D52" s="24" t="s">
        <v>1037</v>
      </c>
      <c r="E52" s="25"/>
      <c r="F52" s="23" t="s">
        <v>18</v>
      </c>
      <c r="G52" s="26" t="s">
        <v>1038</v>
      </c>
      <c r="H52" s="26" t="s">
        <v>1039</v>
      </c>
      <c r="I52" s="26">
        <v>2024.0</v>
      </c>
      <c r="J52" s="26" t="s">
        <v>1040</v>
      </c>
      <c r="K52" s="27" t="s">
        <v>1041</v>
      </c>
      <c r="L52" s="36">
        <v>46204.0</v>
      </c>
      <c r="M52" s="26" t="str">
        <f t="shared" si="1"/>
        <v>Title: Contextual Relationships Among the Barriers to Implement Data Analytics in Industrial Automation: An ISM and MICMAC Analysis</v>
      </c>
      <c r="N52" s="29" t="str">
        <f t="shared" si="2"/>
        <v>Abstract: Industry 4.0 spearheads the transformation of industrial processes by harnessing data analytics to fuel intelligent automation, ultimately leading to operational streamlining, productivity gains, and a competitive edge. However, roadblocks emerge in the form of organizational resistance, technological limitations, knowledge gaps and financial constraints. This study leverages Interpretive Structural Modeling (ISM) and MICMAC analysis to explore the challenges and recommendations for successful implementation of data analytics in industrial automation. Key drivers such as increased efficiency, improved decision-making, and reduced costs were identified. Conversely, goal misalignment, data management issues, resistance to change and financial limitations pose significant barriers. To overcome these barriers and ensure successful implementation, companies should involve stakeholders to focus on identifying the problem statement correctly, data collection, data quality and management, and ensure the data analytics solution integrates with existing processes and workflows. Additionally, companies should avoid common pitfalls like neglecting employee training, underestimating stakeholder alignment, and rushing into large-scale deployments without pilot projects. To ensure effectiveness, companies must realistically assess their financial resources and prioritize investments considering long-term benefits and return on investment (ROI). By embracing these recommendations, organizations can unlock the full potential of data analytics in industrial automation, minimizing risks and maximizing benefits.</v>
      </c>
      <c r="O52" s="26"/>
      <c r="P52" s="26" t="s">
        <v>1042</v>
      </c>
      <c r="Q52" s="26" t="str">
        <f t="shared" si="3"/>
        <v>title: Contextual Relationships Among the Barriers to Implement Data Analytics in Industrial Automation: An ISM and MICMAC Analysis</v>
      </c>
      <c r="R52" s="26" t="s">
        <v>1043</v>
      </c>
      <c r="S52" s="26"/>
      <c r="T52" s="30"/>
      <c r="U52" s="26" t="s">
        <v>1044</v>
      </c>
      <c r="V52" s="31"/>
    </row>
    <row r="53">
      <c r="A53" s="23" t="s">
        <v>18</v>
      </c>
      <c r="B53" s="24" t="s">
        <v>1045</v>
      </c>
      <c r="C53" s="24" t="s">
        <v>18</v>
      </c>
      <c r="D53" s="24" t="s">
        <v>1046</v>
      </c>
      <c r="E53" s="25"/>
      <c r="F53" s="23" t="s">
        <v>18</v>
      </c>
      <c r="G53" s="26" t="s">
        <v>1047</v>
      </c>
      <c r="H53" s="26" t="s">
        <v>1048</v>
      </c>
      <c r="I53" s="26">
        <v>2023.0</v>
      </c>
      <c r="J53" s="26" t="s">
        <v>1049</v>
      </c>
      <c r="K53" s="27" t="s">
        <v>1050</v>
      </c>
      <c r="L53" s="28">
        <v>46235.0</v>
      </c>
      <c r="M53" s="26" t="str">
        <f t="shared" si="1"/>
        <v>Title: The Potential of Low-Code Development in the Manufacturing Industry</v>
      </c>
      <c r="N53" s="29" t="str">
        <f t="shared" si="2"/>
        <v>Abstract: Low-Code (Software) Development (LCD or LCSD) promises to reduce time-to-market, lower development costs, and make software development accessible to domain experts without software development training. By raising the level of abstraction beyond code through visual programming and model-driven development, a Low-Code Development Platform (LCDP) provides the tools to create software using the low-code approach. LCDPs typically support specific application types and domains such as web applications, mobile applications, data analytics platforms and dashboards. While some LCDPs exist for control systems in the manufacturing industry, this domain is not yet fully supported. In this paper, we present a multiple-case study based on five interviews to explore the role LCDPs can play in industrial automation. In particular, we investigate which use cases are considered relevant for LCDPs and what the actual requirements for such platforms are from an industrial perspective. Our results show that many different manufacturing use cases could be implemented by or already benefit from LCDPs. However, successful future LCDPs must meet certain industry-specific requirements.</v>
      </c>
      <c r="O53" s="26"/>
      <c r="P53" s="26" t="s">
        <v>1051</v>
      </c>
      <c r="Q53" s="26" t="str">
        <f t="shared" si="3"/>
        <v>title: The Potential of Low-Code Development in the Manufacturing Industry</v>
      </c>
      <c r="R53" s="26" t="s">
        <v>1052</v>
      </c>
      <c r="S53" s="26"/>
      <c r="T53" s="30"/>
      <c r="U53" s="26" t="s">
        <v>1053</v>
      </c>
      <c r="V53" s="31"/>
    </row>
    <row r="54">
      <c r="A54" s="23" t="s">
        <v>18</v>
      </c>
      <c r="B54" s="24" t="s">
        <v>1054</v>
      </c>
      <c r="C54" s="24" t="s">
        <v>18</v>
      </c>
      <c r="D54" s="24" t="s">
        <v>1055</v>
      </c>
      <c r="E54" s="25"/>
      <c r="F54" s="23" t="s">
        <v>18</v>
      </c>
      <c r="G54" s="26" t="s">
        <v>1056</v>
      </c>
      <c r="H54" s="26" t="s">
        <v>1057</v>
      </c>
      <c r="I54" s="26">
        <v>2023.0</v>
      </c>
      <c r="J54" s="26" t="s">
        <v>1058</v>
      </c>
      <c r="K54" s="27" t="s">
        <v>1059</v>
      </c>
      <c r="L54" s="28">
        <v>46204.0</v>
      </c>
      <c r="M54" s="26" t="str">
        <f t="shared" si="1"/>
        <v>Title: Information Security Challenges in the Digitalisation of the Austrian Food Industry: Assessment of Food Suppliers and Implications</v>
      </c>
      <c r="N54" s="29" t="str">
        <f t="shared" si="2"/>
        <v>Abstract: In 2021, a prominent Austria dairy producer suffered from an IT attack and was completely paralysed. Without clearly defined mitigation measures in place, major disruptions were caused alongside the whole supply chain, including logistics service providers, governmental food safety bodies, as well as retailers (i.e., supermarkets and convenience stores). In this paper, we ask the question how digitisation and digital transformation impact IT security, especially when considering the complex company ecosystems of food production and food supply chains in Austria. The problem statement stems from a gap in knowledge of key differences in approaches towards IT security, resilience, risk management and especially business interfaces between food suppliers, supermarkets, distributors, logistics and other service providers. In order to answer related research questions, firstly, the authors conduct literature research, and highlight common guidelines and standardisation as well as look at state-based recommendations for critical infrastructure. In a second step, the paper describes a quantitative and qualitative survey with Austrian food companies (producers and retailers) which is described in detail in the paper. A description of recommended measures for the industry, further steps, as well as an outlook conclude the paper. (Abstract)</v>
      </c>
      <c r="O54" s="26"/>
      <c r="P54" s="26" t="s">
        <v>1060</v>
      </c>
      <c r="Q54" s="26" t="str">
        <f t="shared" si="3"/>
        <v>title: Information Security Challenges in the Digitalisation of the Austrian Food Industry: Assessment of Food Suppliers and Implications</v>
      </c>
      <c r="R54" s="26" t="s">
        <v>1061</v>
      </c>
      <c r="S54" s="26"/>
      <c r="T54" s="30"/>
      <c r="U54" s="26" t="s">
        <v>1062</v>
      </c>
      <c r="V54" s="31"/>
    </row>
    <row r="55">
      <c r="A55" s="23" t="s">
        <v>18</v>
      </c>
      <c r="B55" s="24" t="s">
        <v>1063</v>
      </c>
      <c r="C55" s="24" t="s">
        <v>18</v>
      </c>
      <c r="D55" s="24" t="s">
        <v>1064</v>
      </c>
      <c r="E55" s="25"/>
      <c r="F55" s="23" t="s">
        <v>18</v>
      </c>
      <c r="G55" s="26" t="s">
        <v>1065</v>
      </c>
      <c r="H55" s="26" t="s">
        <v>1066</v>
      </c>
      <c r="I55" s="26">
        <v>2025.0</v>
      </c>
      <c r="J55" s="26" t="s">
        <v>1067</v>
      </c>
      <c r="K55" s="27" t="s">
        <v>1068</v>
      </c>
      <c r="L55" s="26" t="s">
        <v>1069</v>
      </c>
      <c r="M55" s="26" t="str">
        <f t="shared" si="1"/>
        <v>Title: Implementation of RPA for Automated Access Management in Information Systems in a Financial Company</v>
      </c>
      <c r="N55" s="29" t="str">
        <f t="shared" si="2"/>
        <v>Abstract: Robotic process automation (RPA) has become a very important tool to optimize repetitive tasks and improve operational efficiency in various industries. The Peruvian financial sector has been characterized by a high dependence on information systems and strict regulatory standards; manual access management processes represent an operational challenge. In this article, we present the design and implementation of an RPA system aimed at the automated management of access to various information systems of a financial company. The solution's main objective is to reduce the waiting time of employees to access the necessary systems, allowing them to start their activities immediately and without interruptions. For this, we will use a methodology that includes mapping the systems involved, designing the robot's workflow, and integrating with credential management tools to ensure security. For this, different RPA tools have been analyzed, both open source and commercial, selecting the most appropriate one based on the characteristics of the business environment. The results show a significant reduction in processing times, improvements in the internal user experience, and greater operational efficiency. This study contributes to the literature on applied RPA in the financial sector, highlighting its benefits and challenges in a critical and highly regulated environment.</v>
      </c>
      <c r="O55" s="26"/>
      <c r="P55" s="26" t="s">
        <v>1070</v>
      </c>
      <c r="Q55" s="26" t="str">
        <f t="shared" si="3"/>
        <v>title: Implementation of RPA for Automated Access Management in Information Systems in a Financial Company</v>
      </c>
      <c r="R55" s="26" t="s">
        <v>1071</v>
      </c>
      <c r="S55" s="26"/>
      <c r="T55" s="30"/>
      <c r="U55" s="30"/>
      <c r="V55" s="34"/>
    </row>
    <row r="56">
      <c r="A56" s="23" t="s">
        <v>18</v>
      </c>
      <c r="B56" s="24" t="s">
        <v>1072</v>
      </c>
      <c r="C56" s="24" t="s">
        <v>18</v>
      </c>
      <c r="D56" s="24" t="s">
        <v>1073</v>
      </c>
      <c r="E56" s="25"/>
      <c r="F56" s="23" t="s">
        <v>18</v>
      </c>
      <c r="G56" s="26" t="s">
        <v>1074</v>
      </c>
      <c r="H56" s="26" t="s">
        <v>1075</v>
      </c>
      <c r="I56" s="26">
        <v>2023.0</v>
      </c>
      <c r="J56" s="26" t="s">
        <v>1076</v>
      </c>
      <c r="K56" s="27" t="s">
        <v>1077</v>
      </c>
      <c r="L56" s="28">
        <v>46235.0</v>
      </c>
      <c r="M56" s="26" t="str">
        <f t="shared" si="1"/>
        <v>Title: Simulation Tool for Learning Action-Oriented Process Mining</v>
      </c>
      <c r="N56" s="29" t="str">
        <f t="shared" si="2"/>
        <v>Abstract: Process mining enables companies to reduce costs by identifying bottlenecks, improving processes, or automation potentials, for example. Digital business process data, which can be extracted from information systems and afterward arranged in so-called event logs, allows the visualization and analysis of business processes. Several teaching materials for process mining are offered to learners and teacher. However, the existing data for learning and teaching process mining is static and does not change with specific user interactions, such as the release of invoices in other information systems. This work contributes to a more realistic teaching approach by providing a simulation tool to continuously create business process data reacting to user actions. First, the application scope of process mining projects in the industry is determined to collect use cases of action-oriented process mining from practice. Then, a prototypical implementation is presented that allows the continuous simulation of business process data that allows specific user interventions. A didactic framework is described to apply the simulation tool in the teaching of process mining. Finally, the simulation tool is discussed and evaluated by four experts from practice and academia.</v>
      </c>
      <c r="O56" s="26"/>
      <c r="P56" s="26" t="s">
        <v>1078</v>
      </c>
      <c r="Q56" s="26" t="str">
        <f t="shared" si="3"/>
        <v>title: Simulation Tool for Learning Action-Oriented Process Mining</v>
      </c>
      <c r="R56" s="26" t="s">
        <v>1079</v>
      </c>
      <c r="S56" s="26"/>
      <c r="T56" s="30"/>
      <c r="U56" s="26" t="s">
        <v>672</v>
      </c>
      <c r="V56" s="31"/>
    </row>
    <row r="57">
      <c r="A57" s="23" t="s">
        <v>18</v>
      </c>
      <c r="B57" s="24" t="s">
        <v>1080</v>
      </c>
      <c r="C57" s="24" t="s">
        <v>18</v>
      </c>
      <c r="D57" s="24" t="s">
        <v>1081</v>
      </c>
      <c r="E57" s="25"/>
      <c r="F57" s="23" t="s">
        <v>18</v>
      </c>
      <c r="G57" s="26" t="s">
        <v>1082</v>
      </c>
      <c r="H57" s="26" t="s">
        <v>1083</v>
      </c>
      <c r="I57" s="26">
        <v>2021.0</v>
      </c>
      <c r="J57" s="26" t="s">
        <v>1084</v>
      </c>
      <c r="K57" s="27" t="s">
        <v>1085</v>
      </c>
      <c r="L57" s="26" t="s">
        <v>1086</v>
      </c>
      <c r="M57" s="26" t="str">
        <f t="shared" si="1"/>
        <v>Title: Teaching the Digital Transformation of Business Processes: Design of a Simulation Game of Business Process Change</v>
      </c>
      <c r="N57" s="29" t="str">
        <f t="shared" si="2"/>
        <v>Abstract: The impact of digital transformation (DT) on the business processes within the context of education is an issue that should be addressed when preparing the future workforce. It is necessary to emphasize the effects of digital technologies on business processes so that students can come prepared for their future working places. Simulation games are proven to be a valid method of teaching these concepts. On the other hand, topics like sustainability or environmental friendliness are also gaining more attention during last years. These factors are even considered among the DT drivers. However, the existing games, aimed at teaching DT, often bypass these concepts with their attention. Our paper aims at closing this gap by extending a game that simulates the manufacturing process of a bike producer, undergoing servitization, by integrating, sustainability, regionality, and ecological factor into its simulation model. By taking the role of the process manager, players guide their company through various process steps in several rounds and compete against other teams. At the end of each round teams are compared based on their financial success, with balancing out the ecological factor being an essential part of the strategy. Evaluation of our game shows that this approach contributes to a better understanding of both effective process management under DT as well as sustainability, regionality, and environmental friendliness concepts by the target audience.</v>
      </c>
      <c r="O57" s="26"/>
      <c r="P57" s="26" t="s">
        <v>1087</v>
      </c>
      <c r="Q57" s="26" t="str">
        <f t="shared" si="3"/>
        <v>title: Teaching the Digital Transformation of Business Processes: Design of a Simulation Game of Business Process Change</v>
      </c>
      <c r="R57" s="26" t="s">
        <v>1088</v>
      </c>
      <c r="S57" s="26"/>
      <c r="T57" s="30"/>
      <c r="U57" s="26" t="s">
        <v>672</v>
      </c>
      <c r="V57" s="31"/>
    </row>
    <row r="58">
      <c r="A58" s="23" t="s">
        <v>18</v>
      </c>
      <c r="B58" s="24" t="s">
        <v>1089</v>
      </c>
      <c r="C58" s="24" t="s">
        <v>18</v>
      </c>
      <c r="D58" s="24" t="s">
        <v>1090</v>
      </c>
      <c r="E58" s="25"/>
      <c r="F58" s="23" t="s">
        <v>20</v>
      </c>
      <c r="G58" s="26" t="s">
        <v>1091</v>
      </c>
      <c r="H58" s="26" t="s">
        <v>1092</v>
      </c>
      <c r="I58" s="26">
        <v>2022.0</v>
      </c>
      <c r="J58" s="26" t="s">
        <v>1093</v>
      </c>
      <c r="K58" s="27" t="s">
        <v>1094</v>
      </c>
      <c r="L58" s="28">
        <v>46174.0</v>
      </c>
      <c r="M58" s="26" t="str">
        <f t="shared" si="1"/>
        <v>Title: A Strategic Model and Framework for Intelligent Process Automation</v>
      </c>
      <c r="N58" s="29" t="str">
        <f t="shared" si="2"/>
        <v>Abstract: Digital transformation has been growing inside companies and impacting the economy and society. Operations are one of the nine business dimensions where this transformation can be accelerated. This study answers the research goal of building a strategic model and framework for intelligent process automation implementation, to accelerate companies’ digital transition. The significant value and contribution of the proposed artifacts were proved by its demonstration and assessment.</v>
      </c>
      <c r="O58" s="26"/>
      <c r="P58" s="26" t="s">
        <v>1095</v>
      </c>
      <c r="Q58" s="26" t="str">
        <f t="shared" si="3"/>
        <v>title: A Strategic Model and Framework for Intelligent Process Automation</v>
      </c>
      <c r="R58" s="26" t="s">
        <v>1096</v>
      </c>
      <c r="S58" s="26"/>
      <c r="T58" s="30"/>
      <c r="U58" s="26" t="s">
        <v>608</v>
      </c>
      <c r="V58" s="31"/>
    </row>
    <row r="59">
      <c r="A59" s="23" t="s">
        <v>18</v>
      </c>
      <c r="B59" s="24" t="s">
        <v>1097</v>
      </c>
      <c r="C59" s="24" t="s">
        <v>18</v>
      </c>
      <c r="D59" s="24" t="s">
        <v>1098</v>
      </c>
      <c r="E59" s="25"/>
      <c r="F59" s="23" t="s">
        <v>18</v>
      </c>
      <c r="G59" s="26" t="s">
        <v>1099</v>
      </c>
      <c r="H59" s="26" t="s">
        <v>1039</v>
      </c>
      <c r="I59" s="26">
        <v>2024.0</v>
      </c>
      <c r="J59" s="26" t="s">
        <v>1100</v>
      </c>
      <c r="K59" s="27" t="s">
        <v>1101</v>
      </c>
      <c r="L59" s="28">
        <v>46204.0</v>
      </c>
      <c r="M59" s="26" t="str">
        <f t="shared" si="1"/>
        <v>Title: Exploring Barriers to Implementing Industry 4.0 in Engineering Management: A Theoretical Investigation</v>
      </c>
      <c r="N59" s="29" t="str">
        <f t="shared" si="2"/>
        <v>Abstract: This paper examines the transformative potential of Industry 4.0 within the field of engineering management, exploring its promise to revolutionize traditional manufacturing and engineering practices. By analyzing the evolution of industrial revolutions from 1.0 to 4.0, it highlights the significance of technological advancements in shaping the industrial landscape. Through this historical context, the paper critically examines the complexities and challenges inherent in the adoption of Industry 4.0, drawing parallels between past and present industrial transformations. Leveraging various technological advancements such as automation, data analytics, IoT, and virtual reality, Industry 4.0 aims to address operational inefficiencies and foster innovation. Additionally, the paper investigates potential solutions that Industry 4.0 offers to prevalent challenges in engineering management. However, the implementation of Industry 4.0 is not without challenges, including technological, data-related, human resource, security, financial, manufacturing system, standardization, communication, strategy, and environmental difficulties. Addressing these challenges requires collaboration between industry practitioners and academic scholars to develop effective strategies and solutions. In conclusion, while Industry 4.0 holds promise for revolutionizing engineering management practices, overcoming implementation challenges is crucial for realizing its full potential and ensuring sustained organizational success in today's dynamic industrial landscape.</v>
      </c>
      <c r="O59" s="26"/>
      <c r="P59" s="26" t="s">
        <v>1102</v>
      </c>
      <c r="Q59" s="26" t="str">
        <f t="shared" si="3"/>
        <v>title: Exploring Barriers to Implementing Industry 4.0 in Engineering Management: A Theoretical Investigation</v>
      </c>
      <c r="R59" s="26" t="s">
        <v>1103</v>
      </c>
      <c r="S59" s="26"/>
      <c r="T59" s="30"/>
      <c r="U59" s="26" t="s">
        <v>1044</v>
      </c>
      <c r="V59" s="31"/>
    </row>
    <row r="60">
      <c r="A60" s="23" t="s">
        <v>18</v>
      </c>
      <c r="B60" s="24" t="s">
        <v>1104</v>
      </c>
      <c r="C60" s="24" t="s">
        <v>18</v>
      </c>
      <c r="D60" s="24" t="s">
        <v>1105</v>
      </c>
      <c r="E60" s="25"/>
      <c r="F60" s="23" t="s">
        <v>18</v>
      </c>
      <c r="G60" s="26" t="s">
        <v>1106</v>
      </c>
      <c r="H60" s="26" t="s">
        <v>1107</v>
      </c>
      <c r="I60" s="26">
        <v>2021.0</v>
      </c>
      <c r="J60" s="26" t="s">
        <v>1108</v>
      </c>
      <c r="K60" s="27" t="s">
        <v>1109</v>
      </c>
      <c r="L60" s="26" t="s">
        <v>1110</v>
      </c>
      <c r="M60" s="26" t="str">
        <f t="shared" si="1"/>
        <v>Title: Innovative services and processes in university environment, processes of education supported by SMART technologies</v>
      </c>
      <c r="N60" s="29" t="str">
        <f t="shared" si="2"/>
        <v>Abstract: Many science and education organizations are undergoing a digital transformation. They focus on the implementation of products and services that are commonly available in a commercial environment. The aim of these changes is external pressures from companies - customers of products as well as the requirements of clients. These are organizations that are interested in the services of such institutions. There are naturally scientific and educational organizations that are not making progress in the process of digital transformation. They have not solved this task for a long time and thus they get into a complicated situation. Although germs of shift arise in these institutes, they encounter resistance from their employees. The digitization process is slowing down or not happening at all. Such an approach blocks the development of institutions and puts them in a complicated situation in the supply chain. Science education organizations form an ecosystem in which, in addition to key, core business processes, there are other, supportive processes. Without these processes, it is not possible to ensure the proper functioning of the institution. From the level and quality of their settings, ie the focus on the client - student or. employee can be observed readiness to deal with critical situations. In our paper, we looked at the processes and portfolio of services, both critical and supportive, that could be effectively electricized. By this term we mean a state where it is possible to monitor increased productivity as well as the quality of work. The deployment of appropriate electronic components makes it possible to increase the “will” of decision-making, which brings another dimension of the provided services.</v>
      </c>
      <c r="O60" s="26"/>
      <c r="P60" s="26" t="s">
        <v>1111</v>
      </c>
      <c r="Q60" s="26" t="str">
        <f t="shared" si="3"/>
        <v>title: Innovative services and processes in university environment, processes of education supported by SMART technologies</v>
      </c>
      <c r="R60" s="26" t="s">
        <v>1112</v>
      </c>
      <c r="S60" s="26"/>
      <c r="T60" s="30"/>
      <c r="U60" s="32"/>
      <c r="V60" s="33"/>
    </row>
    <row r="61">
      <c r="A61" s="23" t="s">
        <v>20</v>
      </c>
      <c r="B61" s="24" t="s">
        <v>1113</v>
      </c>
      <c r="C61" s="24" t="s">
        <v>20</v>
      </c>
      <c r="D61" s="24" t="s">
        <v>1114</v>
      </c>
      <c r="E61" s="25"/>
      <c r="F61" s="23" t="s">
        <v>20</v>
      </c>
      <c r="G61" s="26" t="s">
        <v>1115</v>
      </c>
      <c r="H61" s="26" t="s">
        <v>1116</v>
      </c>
      <c r="I61" s="26">
        <v>2021.0</v>
      </c>
      <c r="J61" s="26" t="s">
        <v>1117</v>
      </c>
      <c r="K61" s="27" t="s">
        <v>1118</v>
      </c>
      <c r="L61" s="26" t="s">
        <v>1119</v>
      </c>
      <c r="M61" s="26" t="str">
        <f t="shared" si="1"/>
        <v>Title: The Impact of COVID-19 on Digital Enterprise Management</v>
      </c>
      <c r="N61" s="29" t="str">
        <f t="shared" si="2"/>
        <v>Abstract: This study reported in this article aimed to examine changes in enterprise management under the COVID-19 pandemic and develop a universal mechanism for managing digital transformation. Its methodological basis was represented by a terminological analysis of the concepts of automation, digitalization, and digital transformation. Their close consideration enabled forming of a conceptual scheme of business digitalization. In sum, the study process unveiled that full-fledged and fruitful digital transformation can be achieved through restructuring a company's business process management system. By comparing the outcomes of using digital platform-based business models, the most promising one was selected to be used in the COVID-19-affected environment. Its practical application was studied in Azerbaijan, Russia, and Switzerland using the Network Readiness Index. The analysis made it possible to form business development strategies for each country reviewed and develop a universal mechanism of digital transformation management on enterprises by means of optimization and modeling. The obtained findings suggest that in pandemic settings, digital enterprise management is concentrated on survival, self-learning, and cooperation without intermediaries through innovation and transformation of business processes. The created strategies can be used to adopt digital technologies and attract investment. Further research can be directed at detailing the proposed mechanism.</v>
      </c>
      <c r="O61" s="26"/>
      <c r="P61" s="26" t="s">
        <v>1120</v>
      </c>
      <c r="Q61" s="26" t="str">
        <f t="shared" si="3"/>
        <v>title: The Impact of COVID-19 on Digital Enterprise Management</v>
      </c>
      <c r="R61" s="26" t="s">
        <v>1121</v>
      </c>
      <c r="S61" s="26"/>
      <c r="T61" s="30"/>
      <c r="U61" s="26" t="s">
        <v>1122</v>
      </c>
      <c r="V61" s="31"/>
    </row>
    <row r="62">
      <c r="A62" s="23" t="s">
        <v>18</v>
      </c>
      <c r="B62" s="24" t="s">
        <v>1123</v>
      </c>
      <c r="C62" s="24" t="s">
        <v>18</v>
      </c>
      <c r="D62" s="24" t="s">
        <v>1124</v>
      </c>
      <c r="E62" s="25"/>
      <c r="F62" s="23" t="s">
        <v>18</v>
      </c>
      <c r="G62" s="26" t="s">
        <v>1125</v>
      </c>
      <c r="H62" s="26" t="s">
        <v>1126</v>
      </c>
      <c r="I62" s="26">
        <v>2025.0</v>
      </c>
      <c r="J62" s="26" t="s">
        <v>1127</v>
      </c>
      <c r="K62" s="27" t="s">
        <v>1128</v>
      </c>
      <c r="L62" s="28">
        <v>46174.0</v>
      </c>
      <c r="M62" s="26" t="str">
        <f t="shared" si="1"/>
        <v>Title: CPOT: Toolkit to Optimize Processes and Increase Efficiency</v>
      </c>
      <c r="N62" s="29" t="str">
        <f t="shared" si="2"/>
        <v>Abstract: Everyday, public and private sectors face escalating pressure to demonstrate efficiency, accountability, and responsiveness in service delivery. The increasing complexity of modern challenges over the last decade has significantly heightened the demand for enhanced governmental and business practices. Consequently, organizations in both competitive private sectors and public service domains are consistently compelled to optimize resource utilization, minimize operational waste, and adapt swiftly to dynamic internal and external environmental changes. This trend is further amplified by a global shift toward digital transformation and data-driven policymaking, underscoring the escalating relevance of quantitative approaches in governance. This strong challenge firmly establishes process optimization as a fundamental element for strategic planning and operational execution. Process optimization is formally defined as a systematic, analytical methodology encompassing the identification, analysis, design, and continuous refinement of existing operational processes. Its primary objective is to achieve specific organizational aims, including improved accuracy, speed, quality, and adaptability. Historically, an ongoing issue across diverse organizational structures has been the perpetuation of suboptimal processes. These inefficiencies commonly manifest as redundant steps, critical bottlenecks, misallocated resources, and an acceptable lack of transparency and accountability within operational frameworks. In this paper, we introduce a novel tool incorporating advanced functionalities designed to significantly expand the range of options available to decision-makers and stakeholders.</v>
      </c>
      <c r="O62" s="26"/>
      <c r="P62" s="26" t="s">
        <v>1129</v>
      </c>
      <c r="Q62" s="26" t="str">
        <f t="shared" si="3"/>
        <v>title: CPOT: Toolkit to Optimize Processes and Increase Efficiency</v>
      </c>
      <c r="R62" s="26" t="s">
        <v>1130</v>
      </c>
      <c r="S62" s="26"/>
      <c r="T62" s="30"/>
      <c r="U62" s="26" t="s">
        <v>1131</v>
      </c>
      <c r="V62" s="31"/>
    </row>
    <row r="63">
      <c r="A63" s="23" t="s">
        <v>18</v>
      </c>
      <c r="B63" s="24" t="s">
        <v>1132</v>
      </c>
      <c r="C63" s="24" t="s">
        <v>18</v>
      </c>
      <c r="D63" s="24" t="s">
        <v>1133</v>
      </c>
      <c r="E63" s="25"/>
      <c r="F63" s="23" t="s">
        <v>18</v>
      </c>
      <c r="G63" s="26" t="s">
        <v>1134</v>
      </c>
      <c r="H63" s="26" t="s">
        <v>1092</v>
      </c>
      <c r="I63" s="26">
        <v>2022.0</v>
      </c>
      <c r="J63" s="26" t="s">
        <v>1135</v>
      </c>
      <c r="K63" s="27" t="s">
        <v>1136</v>
      </c>
      <c r="L63" s="28">
        <v>46113.0</v>
      </c>
      <c r="M63" s="26" t="str">
        <f t="shared" si="1"/>
        <v>Title: A Maturity Model Proposal with Readiness Level Assessment for Organizational Processes Improvement</v>
      </c>
      <c r="N63" s="29" t="str">
        <f t="shared" si="2"/>
        <v>Abstract: The improvement of organizational processes typically relies on opportunities identified by a prior assessment procedure. For example, process digitalization improvement in organizations requires prior knowledge of its digital maturity, thus operating as a starting point for the adoption of a validated and systematized methodology. This work presents a proposal of a maturity model with a readiness level assessment that takes advantage of competencies development, to promote cross-analyses of social and technical conditions within an organization. The adopted methodology is based on a pilot study developed in a hospital located in northern Portugal, being driven by a literature review regarding Maturity Models and Process Engineering. The proposed model will be validated in future applied research projects with companies also located in northern Portugal from the automotive, heavy metalworking, chemical-industrial, and logistics sectors.</v>
      </c>
      <c r="O63" s="26"/>
      <c r="P63" s="26" t="s">
        <v>1137</v>
      </c>
      <c r="Q63" s="26" t="str">
        <f t="shared" si="3"/>
        <v>title: A Maturity Model Proposal with Readiness Level Assessment for Organizational Processes Improvement</v>
      </c>
      <c r="R63" s="26" t="s">
        <v>1138</v>
      </c>
      <c r="S63" s="26"/>
      <c r="T63" s="30"/>
      <c r="U63" s="26" t="s">
        <v>608</v>
      </c>
      <c r="V63" s="31"/>
    </row>
    <row r="64">
      <c r="A64" s="23" t="s">
        <v>18</v>
      </c>
      <c r="B64" s="24" t="s">
        <v>1139</v>
      </c>
      <c r="C64" s="24" t="s">
        <v>18</v>
      </c>
      <c r="D64" s="24" t="s">
        <v>1140</v>
      </c>
      <c r="E64" s="25"/>
      <c r="F64" s="23" t="s">
        <v>18</v>
      </c>
      <c r="G64" s="26" t="s">
        <v>1141</v>
      </c>
      <c r="H64" s="26" t="s">
        <v>1142</v>
      </c>
      <c r="I64" s="26">
        <v>2023.0</v>
      </c>
      <c r="J64" s="26" t="s">
        <v>1143</v>
      </c>
      <c r="K64" s="27" t="s">
        <v>1144</v>
      </c>
      <c r="L64" s="26" t="s">
        <v>1145</v>
      </c>
      <c r="M64" s="26" t="str">
        <f t="shared" si="1"/>
        <v>Title: Digital Twin for Automated Industrial Optimization: Intelligent Machine Selection via Process Modelling</v>
      </c>
      <c r="N64" s="29" t="str">
        <f t="shared" si="2"/>
        <v>Abstract: Digital Twin (DT) is an emerging paradigm that enables a virtual model to effectively represent a physical process. In this paper, we present the adoption of the DT scheme by an offset printing company towards industrial optimization. The considered DT model is a virtual representation that serves as the digital copy of the physical printing process within an industrial unit. A virtual model for selecting the optimal machine line was developed to ensure cost-efficient printing. The machine line selection process was modeled as a decision process and then analyzed through simulations in a safe and cost-efficient digital environment, provided by the DT. Moreover, Machine Learning (ML) models were exploited to extract knowledge for the machine selection task, taking full advantage of the DT experiment. Based on real data and selection policies of a printing enterprise, the results revealed an improvement during the selection process, followed by a 5% cost reduction on the examined dataset.</v>
      </c>
      <c r="O64" s="26"/>
      <c r="P64" s="26" t="s">
        <v>1146</v>
      </c>
      <c r="Q64" s="26" t="str">
        <f t="shared" si="3"/>
        <v>title: Digital Twin for Automated Industrial Optimization: Intelligent Machine Selection via Process Modelling</v>
      </c>
      <c r="R64" s="26" t="s">
        <v>1147</v>
      </c>
      <c r="S64" s="26"/>
      <c r="T64" s="30"/>
      <c r="U64" s="26" t="s">
        <v>1148</v>
      </c>
      <c r="V64" s="31"/>
    </row>
    <row r="65">
      <c r="A65" s="23" t="s">
        <v>18</v>
      </c>
      <c r="B65" s="24" t="s">
        <v>1149</v>
      </c>
      <c r="C65" s="24" t="s">
        <v>18</v>
      </c>
      <c r="D65" s="24" t="s">
        <v>1150</v>
      </c>
      <c r="E65" s="25"/>
      <c r="F65" s="23" t="s">
        <v>18</v>
      </c>
      <c r="G65" s="26" t="s">
        <v>1151</v>
      </c>
      <c r="H65" s="26" t="s">
        <v>1152</v>
      </c>
      <c r="I65" s="26">
        <v>2025.0</v>
      </c>
      <c r="J65" s="26" t="s">
        <v>1153</v>
      </c>
      <c r="K65" s="27" t="s">
        <v>1154</v>
      </c>
      <c r="L65" s="28">
        <v>46174.0</v>
      </c>
      <c r="M65" s="26" t="str">
        <f t="shared" si="1"/>
        <v>Title: Mathematical Justification for the Development of a Web Platform for Beauty Salon Operations</v>
      </c>
      <c r="N65" s="29" t="str">
        <f t="shared" si="2"/>
        <v>Abstract: This study focuses on the mathematical justification for developing a web platform to automate beauty salon operations, using "Jasmin Hair Studio" as a case study. The research explores the application of optimization methods for employee scheduling, machine learning algorithms for analyzing customer preferences, and economic-mathematical models for forecasting the financial efficiency of implementing a digital system. The proposed conceptual model encompasses automated appointment scheduling, personnel management, customer feedback analysis using NLP, and the implementation of marketing strategies. Deploying this web platform will enhance service quality, optimize business processes, and minimize human error. This work represents a significant contribution to the digital transformation of the beauty industry and the advancement of intelligent service management systems.</v>
      </c>
      <c r="O65" s="26"/>
      <c r="P65" s="26" t="s">
        <v>1155</v>
      </c>
      <c r="Q65" s="26" t="str">
        <f t="shared" si="3"/>
        <v>title: Mathematical Justification for the Development of a Web Platform for Beauty Salon Operations</v>
      </c>
      <c r="R65" s="26" t="s">
        <v>1156</v>
      </c>
      <c r="S65" s="26"/>
      <c r="T65" s="30"/>
      <c r="U65" s="30"/>
      <c r="V65" s="34"/>
    </row>
    <row r="66">
      <c r="A66" s="23" t="s">
        <v>18</v>
      </c>
      <c r="B66" s="24" t="s">
        <v>1157</v>
      </c>
      <c r="C66" s="24" t="s">
        <v>18</v>
      </c>
      <c r="D66" s="24" t="s">
        <v>1158</v>
      </c>
      <c r="E66" s="25"/>
      <c r="F66" s="23" t="s">
        <v>20</v>
      </c>
      <c r="G66" s="26" t="s">
        <v>1159</v>
      </c>
      <c r="H66" s="26" t="s">
        <v>648</v>
      </c>
      <c r="I66" s="26">
        <v>2021.0</v>
      </c>
      <c r="J66" s="26" t="s">
        <v>1160</v>
      </c>
      <c r="K66" s="27" t="s">
        <v>1161</v>
      </c>
      <c r="L66" s="26" t="s">
        <v>1162</v>
      </c>
      <c r="M66" s="26" t="str">
        <f t="shared" si="1"/>
        <v>Title: Trust Mining: Analyzing Trust in Collaborative Business Processes</v>
      </c>
      <c r="N66" s="29" t="str">
        <f t="shared" si="2"/>
        <v>Abstract: The ongoing digital transformation and internationalization of business processes cause a shift towards a more collaborative nature of processes. In such collaborations, different organizations execute separate parts of the process autonomously. This fragmentation leads to uncertainty regarding the correct execution of activities, the proper workflow, and data in the process flow. If organizations engage in business together, trust is needed. Therefore, we propose Trust Mining as an analytical approach to better understand uncertainties and the potential trust issues that arise from them. Trust Mining takes a business process model as an input and analyzes uncertainties and relationships. In the end, an evaluation regarding the trust requirements of specific stakeholders is given. Furthermore, we present a prototypical implementation and illustrate how Trust Mining can be used in trust-aware process (re-)design.</v>
      </c>
      <c r="O66" s="26"/>
      <c r="P66" s="26" t="s">
        <v>1163</v>
      </c>
      <c r="Q66" s="26" t="str">
        <f t="shared" si="3"/>
        <v>title: Trust Mining: Analyzing Trust in Collaborative Business Processes</v>
      </c>
      <c r="R66" s="26" t="s">
        <v>1164</v>
      </c>
      <c r="S66" s="26"/>
      <c r="T66" s="30"/>
      <c r="U66" s="26" t="s">
        <v>654</v>
      </c>
      <c r="V66" s="31"/>
    </row>
    <row r="67">
      <c r="A67" s="23" t="s">
        <v>20</v>
      </c>
      <c r="B67" s="24" t="s">
        <v>1165</v>
      </c>
      <c r="C67" s="24" t="s">
        <v>18</v>
      </c>
      <c r="D67" s="24" t="s">
        <v>1166</v>
      </c>
      <c r="E67" s="25"/>
      <c r="F67" s="23" t="s">
        <v>18</v>
      </c>
      <c r="G67" s="26" t="s">
        <v>1167</v>
      </c>
      <c r="H67" s="26" t="s">
        <v>1168</v>
      </c>
      <c r="I67" s="26">
        <v>2021.0</v>
      </c>
      <c r="J67" s="26" t="s">
        <v>1169</v>
      </c>
      <c r="K67" s="27" t="s">
        <v>1170</v>
      </c>
      <c r="L67" s="26" t="s">
        <v>1171</v>
      </c>
      <c r="M67" s="26" t="str">
        <f t="shared" si="1"/>
        <v>Title: Using Fractal Enterprise Model in Technology-Driven Organisational Change Projects: A Case of a Water Utility Company</v>
      </c>
      <c r="N67" s="29" t="str">
        <f t="shared" si="2"/>
        <v>Abstract: Managing organisational change is becoming increasingly important in an ever-changing world. A novel “lightweight” enterprise modelling technique called Fractal Enterprise Model (FEM) can be helpful in this effort. This technique is formally established, but the range of application areas for it is not yet fully explored. This paper aims to fill the gap, at least partially. This goal is being achieved by using FEM in an industrial project in which a water utility company wants to digitalise its business operations and external communication. The paper follows the Action Design Research paradigm, which combines theory generation with solving organisational problems. The project was structured along a generic Business Analysis process and contained elements from a number of fields, such as requirements engineering, information systems engineering, enterprise architecture management, and business process management. The paper describes 11 different generic problems that were solved with the help of FEM, the project-specific constraints and how FEM was applied in the process. As the same person carried out both the research and the practical work, the usefulness of FEM is examined via reflecting on the experience and generalising the knowledge. FEM supported the business analysis activities by enabling quick and systematic information gathering and comprehensible communication with various internal stakeholders. These insights can be used as a guideline for future practitioners planning to use FEM and for conducting further research regarding the applicability of FEM.</v>
      </c>
      <c r="O67" s="26"/>
      <c r="P67" s="26" t="s">
        <v>1172</v>
      </c>
      <c r="Q67" s="26" t="str">
        <f t="shared" si="3"/>
        <v>title: Using Fractal Enterprise Model in Technology-Driven Organisational Change Projects: A Case of a Water Utility Company</v>
      </c>
      <c r="R67" s="26" t="s">
        <v>1173</v>
      </c>
      <c r="S67" s="26"/>
      <c r="T67" s="30"/>
      <c r="U67" s="26" t="s">
        <v>993</v>
      </c>
      <c r="V67" s="31"/>
    </row>
    <row r="68">
      <c r="A68" s="23" t="s">
        <v>18</v>
      </c>
      <c r="B68" s="24" t="s">
        <v>1174</v>
      </c>
      <c r="C68" s="24" t="s">
        <v>18</v>
      </c>
      <c r="D68" s="24" t="s">
        <v>1175</v>
      </c>
      <c r="E68" s="25"/>
      <c r="F68" s="23" t="s">
        <v>18</v>
      </c>
      <c r="G68" s="26" t="s">
        <v>1176</v>
      </c>
      <c r="H68" s="26" t="s">
        <v>1177</v>
      </c>
      <c r="I68" s="26">
        <v>2025.0</v>
      </c>
      <c r="J68" s="26" t="s">
        <v>1178</v>
      </c>
      <c r="K68" s="27" t="s">
        <v>1179</v>
      </c>
      <c r="L68" s="28">
        <v>46204.0</v>
      </c>
      <c r="M68" s="26" t="str">
        <f t="shared" si="1"/>
        <v>Title: Improving Organisational Interoperability for e-Governance: A Semantic Model</v>
      </c>
      <c r="N68" s="29" t="str">
        <f t="shared" si="2"/>
        <v>Abstract: Interoperability between government agencies is critical for effective e-governance, enabling seamless communication, efficient service delivery and better use of resources. Despite Estonia's leadership in digital governance, challenges such as wasted resources and inconsistent technology governance practices persist, limiting scalability and value creation for society. To address these challenges, Estonia's three ministries have developed a strategic framework for technology governance in 2023, tailored to the specific needs of the post- COVID era, while also responding to the global and local challenges of the changing world. This paper focuses on and elaborates the second output of the Estonian Framework: Semantic &amp; Organisational Interoperability Model - a fundamental cornerstone and success prerequisite for collaborative value creation for society and improved efficiency.</v>
      </c>
      <c r="O68" s="26"/>
      <c r="P68" s="26" t="s">
        <v>1180</v>
      </c>
      <c r="Q68" s="26" t="str">
        <f t="shared" si="3"/>
        <v>title: Improving Organisational Interoperability for e-Governance: A Semantic Model</v>
      </c>
      <c r="R68" s="26" t="s">
        <v>1181</v>
      </c>
      <c r="S68" s="26"/>
      <c r="T68" s="30"/>
      <c r="U68" s="30"/>
      <c r="V68" s="34"/>
    </row>
    <row r="69">
      <c r="A69" s="23" t="s">
        <v>18</v>
      </c>
      <c r="B69" s="24" t="s">
        <v>1182</v>
      </c>
      <c r="C69" s="24" t="s">
        <v>18</v>
      </c>
      <c r="D69" s="24" t="s">
        <v>1183</v>
      </c>
      <c r="E69" s="25"/>
      <c r="F69" s="23" t="s">
        <v>18</v>
      </c>
      <c r="G69" s="26" t="s">
        <v>1184</v>
      </c>
      <c r="H69" s="26" t="s">
        <v>621</v>
      </c>
      <c r="I69" s="26">
        <v>2024.0</v>
      </c>
      <c r="J69" s="26" t="s">
        <v>1185</v>
      </c>
      <c r="K69" s="27" t="s">
        <v>1186</v>
      </c>
      <c r="L69" s="26" t="s">
        <v>1187</v>
      </c>
      <c r="M69" s="26" t="str">
        <f t="shared" si="1"/>
        <v>Title: Designing a Process-Oriented Digital Twin for Industrial Testing Laboratories</v>
      </c>
      <c r="N69" s="29" t="str">
        <f t="shared" si="2"/>
        <v>Abstract: Digital twins have gained significant attention in recent years as a means to represent physical objects digitally. It is now applied for planning, monitoring, and decision-making across various domains. While extensively leveraged in manufacturing, digital twins also present promising opportunities in other process-intensive sectors, such as the testing, inspection, and calibration industries. Industrial testing laboratories face challenges such as cost pressures and efficiency demands, operating within a complex socio-technical and highly regulated environment. Current digital solutions, such as laboratory information management systems, fall short of providing a comprehensive data and process management perspective and do not fully comply with the ISO/IEC 17025 standard, which ensures trust in laboratory operations and results. This article aims to address these gaps by proposing a set of design principles and a software architecture for a process-oriented digital lab twin developed through a design science research approach. The artifact is evaluated through expert interviews, a prototypical implementation, and a field study in an industrial laboratory setting. The findings offer valuable insights for designing digital twins in laboratory process management, guiding future research and practical applications.</v>
      </c>
      <c r="O69" s="26"/>
      <c r="P69" s="26" t="s">
        <v>1188</v>
      </c>
      <c r="Q69" s="26" t="str">
        <f t="shared" si="3"/>
        <v>title: Designing a Process-Oriented Digital Twin for Industrial Testing Laboratories</v>
      </c>
      <c r="R69" s="26" t="s">
        <v>1189</v>
      </c>
      <c r="S69" s="26"/>
      <c r="T69" s="30"/>
      <c r="U69" s="26" t="s">
        <v>627</v>
      </c>
      <c r="V69" s="31"/>
    </row>
    <row r="70">
      <c r="A70" s="23" t="s">
        <v>18</v>
      </c>
      <c r="B70" s="24" t="s">
        <v>1190</v>
      </c>
      <c r="C70" s="24" t="s">
        <v>18</v>
      </c>
      <c r="D70" s="24" t="s">
        <v>1191</v>
      </c>
      <c r="E70" s="25"/>
      <c r="F70" s="23" t="s">
        <v>18</v>
      </c>
      <c r="G70" s="26" t="s">
        <v>1192</v>
      </c>
      <c r="H70" s="26" t="s">
        <v>1193</v>
      </c>
      <c r="I70" s="26">
        <v>2025.0</v>
      </c>
      <c r="J70" s="26" t="s">
        <v>1194</v>
      </c>
      <c r="K70" s="27" t="s">
        <v>1195</v>
      </c>
      <c r="L70" s="26" t="s">
        <v>1196</v>
      </c>
      <c r="M70" s="26" t="str">
        <f t="shared" si="1"/>
        <v>Title: Optimizing Pega Healthcare Solutions with Hyperscalers: A Scalable Cloud-First Approach to Digital Transformation</v>
      </c>
      <c r="N70" s="29" t="str">
        <f t="shared" si="2"/>
        <v>Abstract: In the age of digital transformation, every industry is looking for ways to modernize its applications and infrastructure to achieve optimization. The healthcare industry, which handles sensitive data of individuals and is the second largest in the world and in the USA in terms of GDP, plays a key role in this transformation journey. Low-code and no-code (LCNC) platforms are enabling the healthcare industry to embark on this transformation journey, spend less, innovate faster, and remain competitive in an ever-evolving technology landscape. In this research article, the authors introduce a unique low-code/nocode platform called Pega PRPC and highlight its significance to the USA's healthcare industry. While this platform is vital to the healthcare industry, it is transforming to keep up with the Information Technology (IT) and Artificial Intelligence (AI) revolution. Authors are exploring the deployment-specific changes being introduced into the PRPC platform, the challenges these pose to healthcare companies, and a few mandatory options to address this. They are also examining strategies to utilize this as an opportunity to optimize their implementation. This paper examines the impact of deprecating legacy Pega VM-based deployments and evaluates client-managed versus Pega-managed cloud migration models in healthcare enterprises, using a comparative case study analysis of multi-cloud, hybrid-cloud, and poly-cloud architectures. Leveraging hyperscalers and edge computing is crucial, as the IT and healthcare industries are moving in this direction to modernize, improve performance, and enhance scalability.</v>
      </c>
      <c r="O70" s="26"/>
      <c r="P70" s="26" t="s">
        <v>1197</v>
      </c>
      <c r="Q70" s="26" t="str">
        <f t="shared" si="3"/>
        <v>title: Optimizing Pega Healthcare Solutions with Hyperscalers: A Scalable Cloud-First Approach to Digital Transformation</v>
      </c>
      <c r="R70" s="26" t="s">
        <v>1198</v>
      </c>
      <c r="S70" s="26"/>
      <c r="T70" s="30"/>
      <c r="U70" s="32"/>
      <c r="V70" s="33"/>
    </row>
    <row r="71">
      <c r="A71" s="23" t="s">
        <v>18</v>
      </c>
      <c r="B71" s="24" t="s">
        <v>1199</v>
      </c>
      <c r="C71" s="24" t="s">
        <v>18</v>
      </c>
      <c r="D71" s="24" t="s">
        <v>1200</v>
      </c>
      <c r="E71" s="25"/>
      <c r="F71" s="23" t="s">
        <v>18</v>
      </c>
      <c r="G71" s="26" t="s">
        <v>1201</v>
      </c>
      <c r="H71" s="26" t="s">
        <v>1202</v>
      </c>
      <c r="I71" s="26">
        <v>2025.0</v>
      </c>
      <c r="J71" s="26" t="s">
        <v>1203</v>
      </c>
      <c r="K71" s="27" t="s">
        <v>1204</v>
      </c>
      <c r="L71" s="26" t="s">
        <v>1205</v>
      </c>
      <c r="M71" s="26" t="str">
        <f t="shared" si="1"/>
        <v>Title: Challenges and Strategies for Interoperability as a Basis for Sustainable Health Policies: A Systematic Review</v>
      </c>
      <c r="N71" s="29" t="str">
        <f t="shared" si="2"/>
        <v>Abstract: Introduction: This study aims to identify the main barriers and strategies to strengthen systemic interoperability in public health services and to support the development of sustainable policies. Methods: A systematic literature review was conducted based on PRISMA 2020 guidelines. Searches were performed in Scopus, Web of Science, MEDLINE/PubMed, and the Brazilian Digital Library of Theses and Dissertations (BDTD), focusing on openaccess studies published between 2014 and 2025. Eligibility criteria included full-text studies addressing interoperability, public health, and process management. Data were analyzed qualitatively and thematically categorized. Results: Of the 61 records, 18 met the inclusion criteria. The challenges identified were grouped into technical, organizational, governance, and data related. The proposed strategies included the adoption of international standards, semantic web technologies, federated platforms, investment in training and infrastructure, process management approaches, and patient-centered care models. Overcoming interoperability barriers requires a combination of technological solutions, robust governance, strategic planning, and organizational process redesign. The Brazilian context still faces structural and political challenges that hinder large-scale implementation. Conclusion: Advancing interoperability demands a sociotechnical approach aligned with long-term public policy. It involves investing in infrastructure, digital maturity, regulatory frameworks, and organizational change, recognizing interoperability as a strategic pillar for achieving a resilient and equitable health system.</v>
      </c>
      <c r="O71" s="26"/>
      <c r="P71" s="26" t="s">
        <v>1206</v>
      </c>
      <c r="Q71" s="26" t="str">
        <f t="shared" si="3"/>
        <v>title: Challenges and Strategies for Interoperability as a Basis for Sustainable Health Policies: A Systematic Review</v>
      </c>
      <c r="R71" s="26" t="s">
        <v>1207</v>
      </c>
      <c r="S71" s="26"/>
      <c r="T71" s="30"/>
      <c r="U71" s="26" t="s">
        <v>1208</v>
      </c>
      <c r="V71" s="31"/>
    </row>
    <row r="72">
      <c r="A72" s="23" t="s">
        <v>18</v>
      </c>
      <c r="B72" s="24" t="s">
        <v>1209</v>
      </c>
      <c r="C72" s="24" t="s">
        <v>18</v>
      </c>
      <c r="D72" s="24" t="s">
        <v>1210</v>
      </c>
      <c r="E72" s="25"/>
      <c r="F72" s="23" t="s">
        <v>18</v>
      </c>
      <c r="G72" s="26" t="s">
        <v>1211</v>
      </c>
      <c r="H72" s="26" t="s">
        <v>1212</v>
      </c>
      <c r="I72" s="26">
        <v>2025.0</v>
      </c>
      <c r="J72" s="26" t="s">
        <v>1213</v>
      </c>
      <c r="K72" s="27" t="s">
        <v>1214</v>
      </c>
      <c r="L72" s="28">
        <v>46174.0</v>
      </c>
      <c r="M72" s="26" t="str">
        <f t="shared" si="1"/>
        <v>Title: Optimizing Press Release Distribution: A Phased Automation Approach Using GQM for Enhanced Efficiency and Scalability in Dubai</v>
      </c>
      <c r="N72" s="29" t="str">
        <f t="shared" si="2"/>
        <v>Abstract: This paper presents a structured approach to optimizing press release distribution using the Goal-Question-Metric (GQM) framework. By leveraging automation tools and process optimization techniques, the proposed methodology enhances efficiency, reduces manual effort, and improves media coverage tracking. Given the highly competitive and fast-paced media landscape in Dubai, optimizing press release workflows is strategically important for maintaining visibility and brand relevance. Prior to automation, the total cycle time for processing a press release was 37.5 hours, or 4.7 workdays. By implementing automation in phases, the total cycle time is reduced to 9.75 hours, or approximately 1.2 workdays, representing a 74% reduction. The study incorporates both qualitative and quantitative analyses to identify process gaps and risk areas, leading to actionable recommendations for business process improvement. The phased implementation strategy prioritizes quick wins while ensuring scalability, reducing bottlenecks, and improving operational efficiency, positioning Market Buzz International for long-term digital transformation.</v>
      </c>
      <c r="O72" s="26"/>
      <c r="P72" s="26" t="s">
        <v>1215</v>
      </c>
      <c r="Q72" s="26" t="str">
        <f t="shared" si="3"/>
        <v>title: Optimizing Press Release Distribution: A Phased Automation Approach Using GQM for Enhanced Efficiency and Scalability in Dubai</v>
      </c>
      <c r="R72" s="26" t="s">
        <v>1216</v>
      </c>
      <c r="S72" s="26"/>
      <c r="T72" s="30"/>
      <c r="U72" s="32"/>
      <c r="V72" s="33"/>
    </row>
    <row r="73">
      <c r="A73" s="23" t="s">
        <v>18</v>
      </c>
      <c r="B73" s="24" t="s">
        <v>1217</v>
      </c>
      <c r="C73" s="24" t="s">
        <v>18</v>
      </c>
      <c r="D73" s="24" t="s">
        <v>1218</v>
      </c>
      <c r="E73" s="25"/>
      <c r="F73" s="23" t="s">
        <v>18</v>
      </c>
      <c r="G73" s="26" t="s">
        <v>1219</v>
      </c>
      <c r="H73" s="26" t="s">
        <v>1202</v>
      </c>
      <c r="I73" s="26">
        <v>2025.0</v>
      </c>
      <c r="J73" s="26" t="s">
        <v>1220</v>
      </c>
      <c r="K73" s="27" t="s">
        <v>1221</v>
      </c>
      <c r="L73" s="26" t="s">
        <v>1222</v>
      </c>
      <c r="M73" s="26" t="str">
        <f t="shared" si="1"/>
        <v>Title: Process Management in Healthcare: Bibliometric Study</v>
      </c>
      <c r="N73" s="29" t="str">
        <f t="shared" si="2"/>
        <v>Abstract: Introduction: Process mapping (PM) is used in the healthcare sector to visualize workflows, identify inefficiencies, bottlenecks and opportunities for improvement. This research aims to analyze the profile of scientific production on process mapping in the healthcare sector. Methods: A bibliometric review was conducted using data collected in May 2025 from Scopus and Web of Science. Data was processed with the Bibliometrix package in RStudio, while Microsoft Excel was employed to enhance visualization when necessary. Results and Discussion: From 2015 to 2025,5,707 unique articles were retrieved, of which 2,793 addressed different applications of PM, reflecting the thematic diversity of healthcare. Scientific output is concentrated in the United States (31%), with the University of Toronto as the most productive institution, whereas the most impactful authors are affiliated with Chinese institutions. Trend topic analysis revealed strong associations between terms such as health, processes, and process management, underscoring the connection between digital process analysis and healthcare delivery. Thematic mapping identified a motor cluster—including process modeling, process design, and procedures-indicating the influence of emerging technologies that require updated procedures and process reconfiguration. Conclusion: The bibliometric analysis highlights gaps such as the absence of standardized guidelines and the need for clearer standards for PM application. International collaboration remains limited and dispersed, presenting opportunities for stronger global scientific interaction in the future.</v>
      </c>
      <c r="O73" s="26"/>
      <c r="P73" s="26" t="s">
        <v>1223</v>
      </c>
      <c r="Q73" s="26" t="str">
        <f t="shared" si="3"/>
        <v>title: Process Management in Healthcare: Bibliometric Study</v>
      </c>
      <c r="R73" s="26" t="s">
        <v>1224</v>
      </c>
      <c r="S73" s="26"/>
      <c r="T73" s="30"/>
      <c r="U73" s="26" t="s">
        <v>1208</v>
      </c>
      <c r="V73" s="37" t="s">
        <v>1225</v>
      </c>
    </row>
    <row r="74">
      <c r="A74" s="23" t="s">
        <v>18</v>
      </c>
      <c r="B74" s="24" t="s">
        <v>1226</v>
      </c>
      <c r="C74" s="24" t="s">
        <v>18</v>
      </c>
      <c r="D74" s="24" t="s">
        <v>1227</v>
      </c>
      <c r="E74" s="25"/>
      <c r="F74" s="23" t="s">
        <v>18</v>
      </c>
      <c r="G74" s="26" t="s">
        <v>1228</v>
      </c>
      <c r="H74" s="26" t="s">
        <v>621</v>
      </c>
      <c r="I74" s="26">
        <v>2024.0</v>
      </c>
      <c r="J74" s="26" t="s">
        <v>1229</v>
      </c>
      <c r="K74" s="27" t="s">
        <v>1230</v>
      </c>
      <c r="L74" s="26" t="s">
        <v>1231</v>
      </c>
      <c r="M74" s="26" t="str">
        <f t="shared" si="1"/>
        <v>Title: How Does Value Cocreation Within Digital Platform Affect the Business Processes Digitization of Participating Enterprises? The Chained Mediating Role of Resource Patchwork and Digital Platform Capability</v>
      </c>
      <c r="N74" s="29" t="str">
        <f t="shared" si="2"/>
        <v>Abstract: Digital technologies have changed firms’ innovation logic and value creation mode, how organizations leverage the digital platform to promote value cocreation to promote digital transformation has become increasingly prominent. Based on the perspective of platform participants and the theory of resource orchestration, this article integrates resource and capability view to build a chain mediating model to explore the mechanism of value cocreation influencing participating enterprises’ business process digitization in the context of digital platforms. Then, we use multiple regression and bootstrapping methods with survey data from 247 Chinese manufacturing SMEs to empirically test the proposed model. Our analysis results indicate that 1) value cocreation has a significant positive impact on business process digitization; 2) resource patchwork and digital platform capability play a partial mediating role between value cocreation and business process digitization; 3) there is a chain mediating path of “value cocreation—resource patchwork—digital platform capability—business process digitization.” This study could provide a theoretical basis and practical guidance for organizations to achieve digitization by leveraging the digital platform to facilitate value cocreation.</v>
      </c>
      <c r="O74" s="26"/>
      <c r="P74" s="26" t="s">
        <v>1232</v>
      </c>
      <c r="Q74" s="26" t="str">
        <f t="shared" si="3"/>
        <v>title: How Does Value Cocreation Within Digital Platform Affect the Business Processes Digitization of Participating Enterprises? The Chained Mediating Role of Resource Patchwork and Digital Platform Capability</v>
      </c>
      <c r="R74" s="26" t="s">
        <v>1233</v>
      </c>
      <c r="S74" s="26"/>
      <c r="T74" s="30"/>
      <c r="U74" s="26" t="s">
        <v>627</v>
      </c>
      <c r="V74" s="31"/>
    </row>
    <row r="75">
      <c r="A75" s="23" t="s">
        <v>18</v>
      </c>
      <c r="B75" s="24" t="s">
        <v>1234</v>
      </c>
      <c r="C75" s="24" t="s">
        <v>18</v>
      </c>
      <c r="D75" s="24" t="s">
        <v>1235</v>
      </c>
      <c r="E75" s="25"/>
      <c r="F75" s="23" t="s">
        <v>18</v>
      </c>
      <c r="G75" s="26" t="s">
        <v>1236</v>
      </c>
      <c r="H75" s="26" t="s">
        <v>1237</v>
      </c>
      <c r="I75" s="26">
        <v>2021.0</v>
      </c>
      <c r="J75" s="26" t="s">
        <v>1238</v>
      </c>
      <c r="K75" s="27" t="s">
        <v>1239</v>
      </c>
      <c r="L75" s="28">
        <v>46174.0</v>
      </c>
      <c r="M75" s="26" t="str">
        <f t="shared" si="1"/>
        <v>Title: Time-driven Activity-based Costing Using Process Data Mining</v>
      </c>
      <c r="N75" s="29" t="str">
        <f t="shared" si="2"/>
        <v>Abstract: Volatility, uncertainty, complexity and ambiguity are the four aspects that describe today's world in general and the challenges of manufacturing companies in special. Increasing volatility requires fast innovation cycles whereas uncertainty and ambiguity prevent companies from knowing what customers really want. To anticipate eventually upcoming requirements, a vast amount of products and product variants is developed and offered to the market. Due to increasing complexity, the effort, i.e. costs, for product realization rises especially in indirect areas, which cannot be allocated correctly to the causing variants. On the one hand side, this is because of deficits of commonly used cost calculation systems. On the other hand side, it's because of the high effort for introducing and maintaining advanced costing systems, such as Process Cost Calculation or Time-driven Activity-based Costing and, as those are almost interview-based, their low accuracy and timeliness. Digitalization in all areas of manufacturing companies enables the collection of event data, which are already used e.g. by Process Mining. The aim of this paper is to use event data in order to enable a low-effort but increased accurate and timely Time-driven Activity-based Costing by using Process Data Mining. Therefore, the required event data as well as the corresponding data model is presented and it's described how to evaluate the data for Time-driven Activity-based Costing.</v>
      </c>
      <c r="O75" s="26"/>
      <c r="P75" s="26" t="s">
        <v>1240</v>
      </c>
      <c r="Q75" s="26" t="str">
        <f t="shared" si="3"/>
        <v>title: Time-driven Activity-based Costing Using Process Data Mining</v>
      </c>
      <c r="R75" s="26" t="s">
        <v>1241</v>
      </c>
      <c r="S75" s="26"/>
      <c r="T75" s="30"/>
      <c r="U75" s="32"/>
      <c r="V75" s="33"/>
    </row>
    <row r="76">
      <c r="A76" s="23" t="s">
        <v>18</v>
      </c>
      <c r="B76" s="24" t="s">
        <v>1242</v>
      </c>
      <c r="C76" s="24" t="s">
        <v>18</v>
      </c>
      <c r="D76" s="24" t="s">
        <v>1243</v>
      </c>
      <c r="E76" s="25"/>
      <c r="F76" s="23" t="s">
        <v>20</v>
      </c>
      <c r="G76" s="26" t="s">
        <v>1244</v>
      </c>
      <c r="H76" s="26" t="s">
        <v>1245</v>
      </c>
      <c r="I76" s="26">
        <v>2023.0</v>
      </c>
      <c r="J76" s="26" t="s">
        <v>1246</v>
      </c>
      <c r="K76" s="27" t="s">
        <v>1247</v>
      </c>
      <c r="L76" s="28">
        <v>46204.0</v>
      </c>
      <c r="M76" s="26" t="str">
        <f t="shared" si="1"/>
        <v>Title: Conceptualization and Configuration of a Generic SCM 4.0 Business Process Model Using BPMN Based on SCOR</v>
      </c>
      <c r="N76" s="29" t="str">
        <f t="shared" si="2"/>
        <v>Abstract: Systems modeling is a crucial step that comes before performance evaluation. Moreover, it allows us to better understand the company's flows, either to help in decision-making or to improve its Manufacturing Planning. In the context of Supply Chain Management 4.0 (SCM 4.0), we have chosen modeling tools that allow us to describe the main processes of the Supply Chain (SC), in order to define the needs in terms of performance evaluation, taking into account the static and dynamic specificities linked to the uncertainty of the environment and the digitalization. In fact, the static model describes structural characteristics whereas the dynamic model describes dynamic behavior. The modeling improvement process requires static and dynamic sub-models developed from identical concepts and whose coherence is ensured by interactions between the two models. In our research work, we propose a Business Process Model and Notation (BPMN) used to convert the natural language of SC processes into process diagrams with graphical elements. We use tasks and sub-processes are used to depict basic SC plans and functions. Sequence flows to connect activities and present the transitions and path of tasks and plans. We also use Gateways to control the convergence and divergence of paths in SC process diagrams. Message flows display information flows and material flows between SC entities as needed. Thus, we develop a static and dynamic model that represents the SC using a generic modeling approach based on Supply Chain Operations Reference (SCOR) and BPMN.</v>
      </c>
      <c r="O76" s="26"/>
      <c r="P76" s="26" t="s">
        <v>1248</v>
      </c>
      <c r="Q76" s="26" t="str">
        <f t="shared" si="3"/>
        <v>title: Conceptualization and Configuration of a Generic SCM 4.0 Business Process Model Using BPMN Based on SCOR</v>
      </c>
      <c r="R76" s="26" t="s">
        <v>1249</v>
      </c>
      <c r="S76" s="26"/>
      <c r="T76" s="30"/>
      <c r="U76" s="32"/>
      <c r="V76" s="33"/>
    </row>
    <row r="77">
      <c r="A77" s="23" t="s">
        <v>18</v>
      </c>
      <c r="B77" s="24" t="s">
        <v>1250</v>
      </c>
      <c r="C77" s="24" t="s">
        <v>20</v>
      </c>
      <c r="D77" s="24" t="s">
        <v>1251</v>
      </c>
      <c r="E77" s="25"/>
      <c r="F77" s="23" t="s">
        <v>20</v>
      </c>
      <c r="G77" s="26" t="s">
        <v>1252</v>
      </c>
      <c r="H77" s="26" t="s">
        <v>648</v>
      </c>
      <c r="I77" s="26">
        <v>2025.0</v>
      </c>
      <c r="J77" s="26" t="s">
        <v>1253</v>
      </c>
      <c r="K77" s="27" t="s">
        <v>1254</v>
      </c>
      <c r="L77" s="26" t="s">
        <v>1255</v>
      </c>
      <c r="M77" s="26" t="str">
        <f t="shared" si="1"/>
        <v>Title: Structured Extraction and BPMN Generation From Chinese Procedural Texts via Hybrid Attention-Based Domain Language Models</v>
      </c>
      <c r="N77" s="29" t="str">
        <f t="shared" si="2"/>
        <v>Abstract: Understanding and modeling workflows is crucial for advancing digital transformation and intelligent process management in the electric power industry. While recent progress in large language models (LLMs) has significantly enhanced natural language processing capabilities, data in the power sector presents unique challenges—including complex formatting, limited structured annotations, and extensive use of domain-specific terminology—that hinder the direct application of general-purpose LLMs. Moreover, conventional attention mechanisms often struggle with long procedural texts due to high computational overhead, excessive resource consumption, and unstable global semantic representations, further limiting their effectiveness in power workflow modeling tasks. To address these challenges, this paper proposes a domain-adapted LLM framework tailored for the standardization of electric power workflows and introduces a specialized model, Lumina BPM, designed for this task. The model incorporates a hybrid sparse self-attention mechanism that retains attention on initial tokens and dynamically selects the most relevant historical tokens based on query context. This design reduces the need to compute full-sequence dense attention matrices, thereby lowering computational costs while improving the model’s ability to capture critical information from lengthy and complex process descriptions. Experimental results show that Lumina BPM accurately transforms standardized procedural texts into executable piperflow statements and generates corresponding BPMN 2.0 diagrams. The proposed approach significantly improves both the accuracy and interpretability of workflow modeling, offering a practical pathway toward intelligent process standardization in critical infrastructure domains.</v>
      </c>
      <c r="O77" s="26"/>
      <c r="P77" s="26" t="s">
        <v>1256</v>
      </c>
      <c r="Q77" s="26" t="str">
        <f t="shared" si="3"/>
        <v>title: Structured Extraction and BPMN Generation From Chinese Procedural Texts via Hybrid Attention-Based Domain Language Models</v>
      </c>
      <c r="R77" s="26" t="s">
        <v>1257</v>
      </c>
      <c r="S77" s="26"/>
      <c r="T77" s="30"/>
      <c r="U77" s="26" t="s">
        <v>654</v>
      </c>
      <c r="V77" s="31"/>
    </row>
    <row r="78">
      <c r="A78" s="23" t="s">
        <v>18</v>
      </c>
      <c r="B78" s="24" t="s">
        <v>1258</v>
      </c>
      <c r="C78" s="24" t="s">
        <v>18</v>
      </c>
      <c r="D78" s="24" t="s">
        <v>1259</v>
      </c>
      <c r="E78" s="25"/>
      <c r="F78" s="23" t="s">
        <v>18</v>
      </c>
      <c r="G78" s="26" t="s">
        <v>1260</v>
      </c>
      <c r="H78" s="26" t="s">
        <v>648</v>
      </c>
      <c r="I78" s="26">
        <v>2023.0</v>
      </c>
      <c r="J78" s="26" t="s">
        <v>1261</v>
      </c>
      <c r="K78" s="27" t="s">
        <v>1262</v>
      </c>
      <c r="L78" s="26" t="s">
        <v>1263</v>
      </c>
      <c r="M78" s="26" t="str">
        <f t="shared" si="1"/>
        <v>Title: Improvement and Implementation of Sustainable Key Performance Indicators in Supply Chain Management: The Case of a Furniture Firm</v>
      </c>
      <c r="N78" s="29" t="str">
        <f t="shared" si="2"/>
        <v>Abstract: Businesses today recognize the importance of business performance management (BPM) as an effective business strategy and practical solution to a robust supply chain management process. At the same time, businesses seek to deepen their footprints in global markets, to actively use critical metrics, KPIs (Key Performance Indicators), in business performance management, to make performance management compatible with strategic goals, up-to-date and sustainable. KPIs are priority indicators determined to achieve the strategic objectives of the enterprise. Updating the KPIs used to measure, monitor and analyze business performance also has a critical place in performance management. This article presents a case study of a novel approach to real-time updating and monitoring KPIs integrated into supply chain management (SCM) software. The proposed approach bridges the gap between measuring and implementing business performance. The study analyzes and aligns the relationships of duplicate KPIs. It systematically carries out the KPI weights of the managers in line with the strategic goals and improves performance management by eliminating the weakness in the KPI change. It also provides a framework for sustainable performance management and discusses the case study with implications of KPIs that affect performance management success.</v>
      </c>
      <c r="O78" s="26"/>
      <c r="P78" s="26" t="s">
        <v>1264</v>
      </c>
      <c r="Q78" s="26" t="str">
        <f t="shared" si="3"/>
        <v>title: Improvement and Implementation of Sustainable Key Performance Indicators in Supply Chain Management: The Case of a Furniture Firm</v>
      </c>
      <c r="R78" s="26" t="s">
        <v>1265</v>
      </c>
      <c r="S78" s="26"/>
      <c r="T78" s="30"/>
      <c r="U78" s="26" t="s">
        <v>654</v>
      </c>
      <c r="V78" s="31"/>
    </row>
  </sheetData>
  <autoFilter ref="$A$1:$V$78"/>
  <conditionalFormatting sqref="A1:R78 T1:V78">
    <cfRule type="expression" dxfId="0" priority="1">
      <formula>COUNTIF($F1,"Conforme")</formula>
    </cfRule>
  </conditionalFormatting>
  <conditionalFormatting sqref="A1:R78 T1:V78">
    <cfRule type="expression" dxfId="1" priority="2">
      <formula>COUNTIF($F1,"Inconforme")</formula>
    </cfRule>
  </conditionalFormatting>
  <conditionalFormatting sqref="A1:F78">
    <cfRule type="expression" dxfId="2" priority="3">
      <formula>$C1= "Duvida"</formula>
    </cfRule>
  </conditionalFormatting>
  <dataValidations>
    <dataValidation type="list" allowBlank="1" showErrorMessage="1" sqref="A2:A78 C2:C78 E2:F78">
      <formula1>"Conforme,Inconforme - Artigos com conteúdo pago,Inconforme -Artigos duplicados ou similares,Inconforme - Artigos indisponíveis para download ou visualização;,Inconforme - Artigos que não estejam relacionados com as perguntas de pequisa,Inconforme - Artigo"&amp;"s secundários,Inconforme,Duvida"</formula1>
    </dataValidation>
  </dataValidations>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1"/>
    <hyperlink r:id="rId41" ref="K42"/>
    <hyperlink r:id="rId42" ref="K43"/>
    <hyperlink r:id="rId43" ref="K44"/>
    <hyperlink r:id="rId44" ref="K45"/>
    <hyperlink r:id="rId45" ref="K46"/>
    <hyperlink r:id="rId46" ref="K47"/>
    <hyperlink r:id="rId47" ref="K48"/>
    <hyperlink r:id="rId48" ref="K49"/>
    <hyperlink r:id="rId49" ref="K50"/>
    <hyperlink r:id="rId50" ref="K51"/>
    <hyperlink r:id="rId51" ref="K52"/>
    <hyperlink r:id="rId52" ref="K53"/>
    <hyperlink r:id="rId53" ref="K54"/>
    <hyperlink r:id="rId54" ref="K55"/>
    <hyperlink r:id="rId55" ref="K56"/>
    <hyperlink r:id="rId56" ref="K57"/>
    <hyperlink r:id="rId57" ref="K58"/>
    <hyperlink r:id="rId58" ref="K59"/>
    <hyperlink r:id="rId59" ref="K60"/>
    <hyperlink r:id="rId60" ref="K61"/>
    <hyperlink r:id="rId61" ref="K62"/>
    <hyperlink r:id="rId62" ref="K63"/>
    <hyperlink r:id="rId63" ref="K64"/>
    <hyperlink r:id="rId64" ref="K65"/>
    <hyperlink r:id="rId65" ref="K66"/>
    <hyperlink r:id="rId66" ref="K67"/>
    <hyperlink r:id="rId67" ref="K68"/>
    <hyperlink r:id="rId68" ref="K69"/>
    <hyperlink r:id="rId69" ref="K70"/>
    <hyperlink r:id="rId70" ref="K71"/>
    <hyperlink r:id="rId71" ref="K72"/>
    <hyperlink r:id="rId72" ref="K73"/>
    <hyperlink r:id="rId73" ref="V73"/>
    <hyperlink r:id="rId74" ref="K74"/>
    <hyperlink r:id="rId75" ref="K75"/>
    <hyperlink r:id="rId76" ref="K76"/>
    <hyperlink r:id="rId77" ref="K77"/>
    <hyperlink r:id="rId78" ref="K78"/>
  </hyperlinks>
  <drawing r:id="rId7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6.63"/>
    <col customWidth="1" min="6" max="6" width="23.0"/>
    <col customWidth="1" min="9" max="9" width="6.25"/>
    <col customWidth="1" min="10" max="10" width="17.25"/>
    <col customWidth="1" min="12" max="12" width="23.25"/>
    <col customWidth="1" min="13" max="13" width="28.63"/>
    <col customWidth="1" min="14" max="14" width="79.63"/>
    <col customWidth="1" min="15" max="15" width="28.63"/>
  </cols>
  <sheetData>
    <row r="1">
      <c r="A1" s="2" t="s">
        <v>1</v>
      </c>
      <c r="B1" s="2" t="s">
        <v>1</v>
      </c>
      <c r="C1" s="2" t="s">
        <v>3</v>
      </c>
      <c r="D1" s="2" t="s">
        <v>3</v>
      </c>
      <c r="E1" s="2" t="s">
        <v>5</v>
      </c>
      <c r="F1" s="2" t="s">
        <v>1266</v>
      </c>
      <c r="G1" s="4" t="s">
        <v>7</v>
      </c>
      <c r="H1" s="4" t="s">
        <v>9</v>
      </c>
      <c r="I1" s="4" t="s">
        <v>8</v>
      </c>
      <c r="J1" s="38" t="s">
        <v>10</v>
      </c>
      <c r="K1" s="4" t="s">
        <v>11</v>
      </c>
      <c r="L1" s="4" t="s">
        <v>12</v>
      </c>
      <c r="M1" s="38" t="s">
        <v>598</v>
      </c>
      <c r="N1" s="39" t="s">
        <v>1267</v>
      </c>
      <c r="O1" s="4" t="s">
        <v>13</v>
      </c>
      <c r="P1" s="4" t="s">
        <v>14</v>
      </c>
      <c r="Q1" s="6"/>
      <c r="R1" s="6"/>
      <c r="S1" s="6"/>
      <c r="T1" s="6"/>
      <c r="U1" s="6"/>
      <c r="V1" s="6"/>
      <c r="W1" s="6"/>
      <c r="X1" s="6"/>
      <c r="Y1" s="6"/>
      <c r="Z1" s="6"/>
    </row>
    <row r="2">
      <c r="A2" s="2" t="s">
        <v>18</v>
      </c>
      <c r="B2" s="2" t="s">
        <v>1268</v>
      </c>
      <c r="C2" s="2" t="s">
        <v>18</v>
      </c>
      <c r="D2" s="2" t="s">
        <v>1269</v>
      </c>
      <c r="E2" s="2"/>
      <c r="F2" s="2" t="s">
        <v>18</v>
      </c>
      <c r="G2" s="9" t="s">
        <v>1270</v>
      </c>
      <c r="H2" s="9"/>
      <c r="I2" s="9">
        <v>2021.0</v>
      </c>
      <c r="J2" s="40" t="s">
        <v>1271</v>
      </c>
      <c r="K2" s="10" t="s">
        <v>1272</v>
      </c>
      <c r="L2" s="9">
        <v>107405.0</v>
      </c>
      <c r="M2" s="40" t="str">
        <f t="shared" ref="M2:M61" si="1">"Title: " &amp; J2</f>
        <v>Title: A comparative study on the crack development in rock-like specimens containing unfilled and filled flaws</v>
      </c>
      <c r="N2" s="41" t="str">
        <f t="shared" ref="N2:N61" si="2">"Abstract: " &amp; O2</f>
        <v>Abstract: Rock masses consist of various discontinuities that significantly affect the crack development patterns which dominates the ultimate failure of geostructures. The interaction of the pre-existing flaws with each other and with the newly formed cracks is complicated and demands a comprehensive investigation. This paper couples the 3D printing technology with the digital image correlation (DIC) and the bonded particle model (BPM) to study failure of rock-like specimens with pre-existing flaws. Systematic flaws configurations are considered including single, coplanar, partially overlapped and fully overlapped arrangements. The flaws are considered to be unfilled and filled with a weak material. The DIC strain and BPM displacement vectors analysis indicate the strong effects of the filling material on the deformation behaviour of the 3D printed specimens. The failure pattern of the single filled flaws is transformation from compressive failure (0°) to shear failure (15°–60°) and to tensile failure (75°–90°). However, in the coplanar flaws failure is transformation from compressive (0°) to mixed-mode compressive shear (15°-30°), then to shear (45°), to mixed-mode tensile-shear (60°–75°) and then to pure tensile (90°). However, the partially coplanar filled flaws all (except 0° which is compressive failure) exhibit mixed-mode failure in the order of compressive-shear (15°–30°) and transformation to the tensile-shear (45°–90°). BPM displacement vectors revealed five crack types in the specimens by the analysis of the relative movement of the vectors in some critical locations such as flaws tips, rock bridge and coalescence zone. Moreover, a new coalescence type was identified in the 15° flaw (either unfilled or filed) which is named Type X and is a mixed-mode shear tensile crack with a coplanar secondary shear crack. Furthermore, it is observed that the peak load of the filled specimens are much higher than that of the unfilled ones because the filling material requires extra energy to fracture and thus the filled specimens can carry larger load before fail.</v>
      </c>
      <c r="O2" s="9" t="s">
        <v>1273</v>
      </c>
      <c r="P2" s="9" t="s">
        <v>1274</v>
      </c>
      <c r="Q2" s="6"/>
      <c r="R2" s="6"/>
      <c r="S2" s="6"/>
      <c r="T2" s="6"/>
      <c r="U2" s="6"/>
      <c r="V2" s="6"/>
      <c r="W2" s="6"/>
      <c r="X2" s="6"/>
      <c r="Y2" s="6"/>
      <c r="Z2" s="6"/>
    </row>
    <row r="3">
      <c r="A3" s="2" t="s">
        <v>20</v>
      </c>
      <c r="B3" s="2" t="s">
        <v>1275</v>
      </c>
      <c r="C3" s="2" t="s">
        <v>20</v>
      </c>
      <c r="D3" s="2" t="s">
        <v>1276</v>
      </c>
      <c r="E3" s="2"/>
      <c r="F3" s="2" t="s">
        <v>20</v>
      </c>
      <c r="G3" s="9" t="s">
        <v>1277</v>
      </c>
      <c r="H3" s="9" t="s">
        <v>23</v>
      </c>
      <c r="I3" s="9">
        <v>2021.0</v>
      </c>
      <c r="J3" s="40" t="s">
        <v>1278</v>
      </c>
      <c r="K3" s="10" t="s">
        <v>1279</v>
      </c>
      <c r="L3" s="9">
        <v>101639.0</v>
      </c>
      <c r="M3" s="40" t="str">
        <f t="shared" si="1"/>
        <v>Title: A knowledge-intensive adaptive business process management framework</v>
      </c>
      <c r="N3" s="41" t="str">
        <f t="shared" si="2"/>
        <v>Abstract: Business process management has been the driving force of optimization and operational efficiency for companies until now, but the digitalization era we have been experiencing requires businesses to be agile and responsive as well. In order to be a part of this digital transformation, delivering new levels of automation-fueled agility through digitalization of BPM itself is required. However, the automation of BPM cannot be achieved by solely focusing on process space and classical planning techniques. It requires a holistic approach that also captures the social aspects of the business environment, such as corporate strategies, organization policies, negotiations, and cooperation. For this purpose, we combine BPM, knowledge-intensive systems and intelligent agent technologies, and yield one consolidated intelligent business process management framework, namely agileBPM, that governs the entire BPM life-cycle. Accordingly, agileBPM proposes a modeling methodology to semantically capture the business interests, enterprise environment and process space in accordance with the agent-oriented software engineering paradigm. The proposed agent-based process execution environment provides cognitive capabilities (such as goal-driven planning, norm compliance, knowledge-driven actions, and dynamic cooperation) on top of the developed business models to support knowledge workers’ multi-criteria decision making tasks. The context awareness and exception handling capabilities of the proposed approach have been presented with experimental studies. Through comparative evaluations, it is shown that agileBPM is the most comprehensive knowledge-intensive process management solution.</v>
      </c>
      <c r="O3" s="9" t="s">
        <v>1280</v>
      </c>
      <c r="P3" s="42" t="s">
        <v>1281</v>
      </c>
      <c r="Q3" s="6"/>
      <c r="R3" s="6"/>
      <c r="S3" s="6"/>
      <c r="T3" s="6"/>
      <c r="U3" s="6"/>
      <c r="V3" s="6"/>
      <c r="W3" s="6"/>
      <c r="X3" s="6"/>
      <c r="Y3" s="6"/>
      <c r="Z3" s="6"/>
    </row>
    <row r="4">
      <c r="A4" s="2" t="s">
        <v>18</v>
      </c>
      <c r="B4" s="2" t="s">
        <v>1282</v>
      </c>
      <c r="C4" s="2" t="s">
        <v>18</v>
      </c>
      <c r="D4" s="2" t="s">
        <v>1283</v>
      </c>
      <c r="E4" s="2"/>
      <c r="F4" s="2" t="s">
        <v>18</v>
      </c>
      <c r="G4" s="9" t="s">
        <v>1284</v>
      </c>
      <c r="H4" s="9" t="s">
        <v>23</v>
      </c>
      <c r="I4" s="9">
        <v>2026.0</v>
      </c>
      <c r="J4" s="40" t="s">
        <v>1285</v>
      </c>
      <c r="K4" s="10" t="s">
        <v>1286</v>
      </c>
      <c r="L4" s="9">
        <v>106272.0</v>
      </c>
      <c r="M4" s="40" t="str">
        <f t="shared" si="1"/>
        <v>Title: A methodology for compliance of AI systems</v>
      </c>
      <c r="N4" s="41" t="str">
        <f t="shared" si="2"/>
        <v>Abstract: The Artificial Intelligence Act (AI Act) is a regulatory framework transforming the adoption of AI systems across Europe. It establishes requirements for AI systems intended for use within the EU, with non-compliant systems facing fines or exclusion from the EU market. In this paper, we present a theoretical approach for ensuring AI system compliance through Business Process Management (BPM) techniques. Our methodology has two key aspects: it outlines how to integrate BPM into processes involving AI systems, and it identifies the BPM methods required to develop AI systems that meet the AI Act’s standards. To illustrate the application of each step, we use a judicial case study, although the methodology itself is not limited to any specific field. The Artificial Intelligence Methodology (AIM) is designed to be flexible and applicable across various domains, supporting the development and use of AI systems to enhance business processes or to execute individual components or tasks within those processes. The methodology has been conceived to be accessible to legal practitioners. Developed in collaboration with computer scientists, it aims to ensure compliance while remaining usable by legal professionals without the need for prior technical expertise.</v>
      </c>
      <c r="O4" s="9" t="s">
        <v>1287</v>
      </c>
      <c r="P4" s="9" t="s">
        <v>1288</v>
      </c>
      <c r="Q4" s="6"/>
      <c r="R4" s="6"/>
      <c r="S4" s="6"/>
      <c r="T4" s="6"/>
      <c r="U4" s="6"/>
      <c r="V4" s="6"/>
      <c r="W4" s="6"/>
      <c r="X4" s="6"/>
      <c r="Y4" s="6"/>
      <c r="Z4" s="6"/>
    </row>
    <row r="5">
      <c r="A5" s="2" t="s">
        <v>20</v>
      </c>
      <c r="B5" s="2" t="s">
        <v>1289</v>
      </c>
      <c r="C5" s="2" t="s">
        <v>20</v>
      </c>
      <c r="D5" s="2" t="s">
        <v>1290</v>
      </c>
      <c r="E5" s="2"/>
      <c r="F5" s="2" t="s">
        <v>20</v>
      </c>
      <c r="G5" s="9" t="s">
        <v>1291</v>
      </c>
      <c r="H5" s="9" t="s">
        <v>23</v>
      </c>
      <c r="I5" s="9">
        <v>2023.0</v>
      </c>
      <c r="J5" s="40" t="s">
        <v>1292</v>
      </c>
      <c r="K5" s="10" t="s">
        <v>1293</v>
      </c>
      <c r="L5" s="9">
        <v>100473.0</v>
      </c>
      <c r="M5" s="40" t="str">
        <f t="shared" si="1"/>
        <v>Title: A multidimensional approach to the resource allocation problem (RAP) through the prism of industrial information integration (III)</v>
      </c>
      <c r="N5" s="41" t="str">
        <f t="shared" si="2"/>
        <v>Abstract: The problem of resource allocation has been studied by applying diversified models and methods. There are efficient approaches to solving this task based on mathematical modeling, experts’ assessment, optimization methods, and others. However, the development of the modern world emphasizes the need of applying a new paradigm to deal with traditional problems. Industrial Informational Integration (III) as a new subject claims a multidimensional approach to achieve the company's goals in a volatile, uncertain, complex, and ambiguous (VUCA) environment. Today managers have to make faster decisions and revise them as quickly as possible. With the rise of sustainability considerations and digital transformation, classical approaches to industrial management should be transformed. In this article, we assume III as a driving tool for increasing the accuracy of business process management (BPM) on the example of the resource allocation problem (RAP). Our research considers the dissonance problem of local optimum different from overall system target goals within a multi-project industrial environment. This paper seeks to bring the discussion forward by analyzing the existing approaches and designing the integrated methodological framework for the resource assignment process relevant to a centralized resource management system. We have a broad view of resource allocation to the applicants through the prism of information integration, including sustainable development, systems performance improvement, and strategic goals achievement. The research article integrates several management, planning, and control tools with resource allocation methods. In the first step, we investigated diversified approaches towards the RAP for the multi-project economic environment and then proposed revised solutions combined with advanced managerial techniques. To meet the requirements of digital transformation, some computer-based conceptual solutions for RAP are proposed. The purpose of the present study is to contribute to the research field by claiming that the RAP can be solved within the information-integrated framework containing alternatives and limitations of each method to achieve many combinations reflecting to particular system requirements and target goals. To this extent, the RAP relies on efficient integration opportunities within an industrial multi-project system enabling transparent strategic goals transfer, cooperation, and operational excellence with a high service level provided.</v>
      </c>
      <c r="O5" s="9" t="s">
        <v>1294</v>
      </c>
      <c r="P5" s="9" t="s">
        <v>1295</v>
      </c>
      <c r="Q5" s="6"/>
      <c r="R5" s="6"/>
      <c r="S5" s="6"/>
      <c r="T5" s="6"/>
      <c r="U5" s="6"/>
      <c r="V5" s="6"/>
      <c r="W5" s="6"/>
      <c r="X5" s="6"/>
      <c r="Y5" s="6"/>
      <c r="Z5" s="6"/>
    </row>
    <row r="6">
      <c r="A6" s="2" t="s">
        <v>18</v>
      </c>
      <c r="B6" s="2" t="s">
        <v>1296</v>
      </c>
      <c r="C6" s="2" t="s">
        <v>18</v>
      </c>
      <c r="D6" s="2" t="s">
        <v>1297</v>
      </c>
      <c r="E6" s="2"/>
      <c r="F6" s="2" t="s">
        <v>18</v>
      </c>
      <c r="G6" s="9" t="s">
        <v>1298</v>
      </c>
      <c r="H6" s="9" t="s">
        <v>23</v>
      </c>
      <c r="I6" s="9">
        <v>2022.0</v>
      </c>
      <c r="J6" s="40" t="s">
        <v>1299</v>
      </c>
      <c r="K6" s="10" t="s">
        <v>1300</v>
      </c>
      <c r="L6" s="9">
        <v>111211.0</v>
      </c>
      <c r="M6" s="40" t="str">
        <f t="shared" si="1"/>
        <v>Title: A non-invasive heart rate and blood pressure monitoring system using piezoelectric and photoplethysmographic sensors</v>
      </c>
      <c r="N6" s="41" t="str">
        <f t="shared" si="2"/>
        <v>Abstract: In this work, a non-invasive heart rate (HR) and blood pressure (BP) monitoring system using a lead zirconate titanate (PZT) piezoelectric and photoplethysmographic (PPG) sensor has, preliminarily, been investigated. A modified pulse transit time (MPTT) is applied to demodulate HR, systolic blood pressure (SBP), and diastolic blood pressure (DBP) from obtained BP waveforms. In addition, an engineering application software written by LabView programming is, also, developed for dynamic signal monitoring and processing of desired parameters. Consequently, HR and BP measurements on 15 volunteers are performed and validated against a reference digital sphygmomanometer. The results show equivalent HR from both sensors with a mean absolute difference (MAD) of 1.78 beats per minute. Meanwhile, MADs of SBP and DBP measurements are 2.62 and 1.36 mmHg, complying with AAMI-BHS accuracy of “Grade A”, respectively. Therefore, PZT and PPG-based monitoring system could lead to development of accurate, non-invasive, and low-cost HR and BP devices.</v>
      </c>
      <c r="O6" s="9" t="s">
        <v>1301</v>
      </c>
      <c r="P6" s="9" t="s">
        <v>1302</v>
      </c>
      <c r="Q6" s="6"/>
      <c r="R6" s="6"/>
      <c r="S6" s="6"/>
      <c r="T6" s="6"/>
      <c r="U6" s="6"/>
      <c r="V6" s="6"/>
      <c r="W6" s="6"/>
      <c r="X6" s="6"/>
      <c r="Y6" s="6"/>
      <c r="Z6" s="6"/>
    </row>
    <row r="7">
      <c r="A7" s="2" t="s">
        <v>20</v>
      </c>
      <c r="B7" s="2" t="s">
        <v>1303</v>
      </c>
      <c r="C7" s="2" t="s">
        <v>18</v>
      </c>
      <c r="D7" s="2" t="s">
        <v>1304</v>
      </c>
      <c r="E7" s="2"/>
      <c r="F7" s="2" t="s">
        <v>18</v>
      </c>
      <c r="G7" s="9" t="s">
        <v>1305</v>
      </c>
      <c r="H7" s="9" t="s">
        <v>23</v>
      </c>
      <c r="I7" s="9">
        <v>2021.0</v>
      </c>
      <c r="J7" s="40" t="s">
        <v>1306</v>
      </c>
      <c r="K7" s="10" t="s">
        <v>1307</v>
      </c>
      <c r="L7" s="9">
        <v>103413.0</v>
      </c>
      <c r="M7" s="40" t="str">
        <f t="shared" si="1"/>
        <v>Title: A quantitative and qualitative study of the link between business process management and digital innovation</v>
      </c>
      <c r="N7" s="41" t="str">
        <f t="shared" si="2"/>
        <v>Abstract: The information revolution leaves its mark on businesses, resulting in organizations looking for digital innovation (DI) to apply to their business processes and anticipate competitors. Since the interplay between business process management (BPM) and DI has been underdeveloped, this mixed-methods article investigates the strength and nature of the relationship. We supplement the findings of an international survey (stage 1) with explanations from an expert panel (stage 2) to generalize a positive yet moderate link because of manifold contextual factors affecting strategic decision-making. We extend the technology–organization–environment (TOE) framework and profile organizations along their digital process innovation (DPI) mastery in a readiness matrix.</v>
      </c>
      <c r="O7" s="9" t="s">
        <v>1308</v>
      </c>
      <c r="P7" s="9" t="s">
        <v>1309</v>
      </c>
      <c r="Q7" s="6"/>
      <c r="R7" s="6"/>
      <c r="S7" s="6"/>
      <c r="T7" s="6"/>
      <c r="U7" s="6"/>
      <c r="V7" s="6"/>
      <c r="W7" s="6"/>
      <c r="X7" s="6"/>
      <c r="Y7" s="6"/>
      <c r="Z7" s="6"/>
    </row>
    <row r="8">
      <c r="A8" s="2" t="s">
        <v>18</v>
      </c>
      <c r="B8" s="2" t="s">
        <v>1310</v>
      </c>
      <c r="C8" s="2" t="s">
        <v>18</v>
      </c>
      <c r="D8" s="2" t="s">
        <v>1311</v>
      </c>
      <c r="E8" s="2"/>
      <c r="F8" s="2" t="s">
        <v>18</v>
      </c>
      <c r="G8" s="9" t="s">
        <v>1312</v>
      </c>
      <c r="H8" s="9" t="s">
        <v>23</v>
      </c>
      <c r="I8" s="9">
        <v>2024.0</v>
      </c>
      <c r="J8" s="40" t="s">
        <v>1313</v>
      </c>
      <c r="K8" s="10" t="s">
        <v>1314</v>
      </c>
      <c r="L8" s="9" t="s">
        <v>1315</v>
      </c>
      <c r="M8" s="40" t="str">
        <f t="shared" si="1"/>
        <v>Title: Advertising in the digital era: Can AI evoke emotions like humans?</v>
      </c>
      <c r="N8" s="41" t="str">
        <f t="shared" si="2"/>
        <v>Abstract: Purpose This study investigates the variations in consumers’ affective responses to AI-generated versus human-generated content in a firm’s advertising copywriting, analysing emotional reactions to short-form promotional text across three affective dimensions—Pleasure, Arousal, and Dominance—from the PAD emotional model. Design/methodology/approach A Mann-Whitney analysis on SPSS 29 is conducted to assess group differences on a sample of 222 participants randomly assigned to one of two experimental conditions. The analysis evaluates group variances across emotional constructs alongside three control variables: AI Encounter, AI recognition and AI trust. Findings The results indicate no significant differences among groups regarding the main emotional dimensions, suggesting relevant implications for AI integration in business process automations. However, trust and familiarity with AI technology influence consumers’ responses differently across conditions. Originality/value This study sheds light on new business opportunities for enhancing creative communication processes with AI implementation, providing practitioners with relevant insights to improve advertising and copywriting by collaboratively using AI in crafting emotionally engaging advertisements for effective communication strategies.</v>
      </c>
      <c r="O8" s="9" t="s">
        <v>1316</v>
      </c>
      <c r="P8" s="9" t="s">
        <v>1317</v>
      </c>
      <c r="Q8" s="6"/>
      <c r="R8" s="6"/>
      <c r="S8" s="6"/>
      <c r="T8" s="6"/>
      <c r="U8" s="6"/>
      <c r="V8" s="6"/>
      <c r="W8" s="6"/>
      <c r="X8" s="6"/>
      <c r="Y8" s="6"/>
      <c r="Z8" s="6"/>
    </row>
    <row r="9">
      <c r="A9" s="2" t="s">
        <v>20</v>
      </c>
      <c r="B9" s="2" t="s">
        <v>1318</v>
      </c>
      <c r="C9" s="2" t="s">
        <v>20</v>
      </c>
      <c r="D9" s="2" t="s">
        <v>1319</v>
      </c>
      <c r="E9" s="2"/>
      <c r="F9" s="2" t="s">
        <v>20</v>
      </c>
      <c r="G9" s="9" t="s">
        <v>1320</v>
      </c>
      <c r="H9" s="9" t="s">
        <v>23</v>
      </c>
      <c r="I9" s="9">
        <v>2023.0</v>
      </c>
      <c r="J9" s="40" t="s">
        <v>1321</v>
      </c>
      <c r="K9" s="10" t="s">
        <v>1322</v>
      </c>
      <c r="L9" s="9">
        <v>102184.0</v>
      </c>
      <c r="M9" s="40" t="str">
        <f t="shared" si="1"/>
        <v>Title: An approach for analyzing business process execution complexity based on textual data and event log</v>
      </c>
      <c r="N9" s="41" t="str">
        <f t="shared" si="2"/>
        <v>Abstract: With the advent of digital transformation, organizations increasingly rely on various information systems to support their business processes (BPs). Recorded data, including textual data and event log, expand exponentially, complicating decision-making and posing new challenges for BP complexity analysis in Business Process Management (BPM). Herein, Process Mining (PM) serves to derive insights based on historic BP execution data, called event log. However, in PM, textual data is often neglected or limited to BP descriptions. Therefore, in this study, we propose a novel approach for analyzing BP execution complexity by combining textual data serving as an input at the BP start and event log. The approach is aimed at studying the connection between complexities obtained from these two data types. For textual data-based complexity, the approach employs a set of linguistic features. In our previous work, we have explored the design of linguistic features favorable for BP execution complexity prediction. Accordingly, we adapt and incorporate them into the proposed approach. Using these features, various machine learning techniques are applied to predict textual data-based complexity. Moreover, in this prediction, we show the adequacy of our linguistic features, which outperformed the linguistic features of a widely-used text analysis technique. To calculate event log-based complexity, the event log and relevant complexity metrics are used. Afterward, a correlation analysis of two complexities and an analysis of the significant differences in correlations are performed. The results serve to derive recommendations and insights for BP improvement. We apply the approach in the IT ticket handling process of the IT department of an academic institution. Our findings show that the suggested approach enables a comprehensive identification of BP redesign and improvement opportunities.</v>
      </c>
      <c r="O9" s="9" t="s">
        <v>1323</v>
      </c>
      <c r="P9" s="10" t="s">
        <v>1324</v>
      </c>
      <c r="Q9" s="6"/>
      <c r="R9" s="6"/>
      <c r="S9" s="6"/>
      <c r="T9" s="6"/>
      <c r="U9" s="6"/>
      <c r="V9" s="6"/>
      <c r="W9" s="6"/>
      <c r="X9" s="6"/>
      <c r="Y9" s="6"/>
      <c r="Z9" s="6"/>
    </row>
    <row r="10">
      <c r="A10" s="2" t="s">
        <v>18</v>
      </c>
      <c r="B10" s="2" t="s">
        <v>1325</v>
      </c>
      <c r="C10" s="2" t="s">
        <v>18</v>
      </c>
      <c r="D10" s="2" t="s">
        <v>1326</v>
      </c>
      <c r="E10" s="2"/>
      <c r="F10" s="2" t="s">
        <v>18</v>
      </c>
      <c r="G10" s="9" t="s">
        <v>1327</v>
      </c>
      <c r="H10" s="9" t="s">
        <v>23</v>
      </c>
      <c r="I10" s="9">
        <v>2024.0</v>
      </c>
      <c r="J10" s="40" t="s">
        <v>1328</v>
      </c>
      <c r="K10" s="10" t="s">
        <v>1329</v>
      </c>
      <c r="L10" s="12"/>
      <c r="M10" s="40" t="str">
        <f t="shared" si="1"/>
        <v>Title: An Evaluation of the Effect of App-Based Exercise Prescription Using Reinforcement Learning on Satisfaction and Exercise Intensity: Randomized Crossover Trial</v>
      </c>
      <c r="N10" s="41" t="str">
        <f t="shared" si="2"/>
        <v>Abstract: Background The increasing prevalence of sedentary lifestyles has prompted the development of innovative public health interventions, such as smartphone apps that deliver personalized exercise programs. The widespread availability of mobile technologies (eg, smartphone apps and wearable activity trackers) provides a cost-effective, scalable way to remotely deliver personalized exercise programs to users. Using machine learning (ML), specifically reinforcement learning (RL), may enhance user engagement and effectiveness of these programs by tailoring them to individual preferences and needs. Objective The primary aim was to investigate the impact of the Samsung-developed i80 BPM app, implementing ML for exercise prescription, on user satisfaction and exercise intensity among the general population. The secondary objective was to assess the effectiveness of ML-generated exercise programs for remote prescription of exercise to members of the public. Methods Participants were randomized to complete 3 exercise sessions per week for 12 weeks using the i80 BPM mobile app, crossing over weekly between intervention and control conditions. The intervention condition involved individualizing exercise sessions using RL, based on user preferences such as exercise difficulty, selection, and intensity, whereas under the control condition, exercise sessions were not individualized. Exercise intensity (measured by the 10-item Borg scale) and user satisfaction (measured by the 8-item version of the Physical Activity Enjoyment Scale) were recorded after the session. Results In total, 62 participants (27 male and 42 female participants; mean age 43, SD 13 years) completed 559 exercise sessions over 12 weeks (9 sessions per participant). Generalized estimating equations showed that participants were more likely to exercise at a higher intensity (intervention: mean intensity 5.82, 95% CI 5.59‐6.05 and control: mean intensity 5.19, 95% CI 4.97‐5.41) and report higher satisfaction (RL: mean satisfaction 4, 95% CI 3.9-4.1 and baseline: mean satisfaction 3.73, 95% CI 3.6-3.8) in the RL model condition. Conclusions The findings suggest that RL can effectively increase both the intensity with which people exercise and their enjoyment of the sessions, highlighting the potential of ML to enhance remote exercise interventions. This study underscores the benefits of personalized exercise prescriptions in increasing adherence and satisfaction, which are crucial for the long-term effectiveness of fitness programs. Further research is warranted to explore the long-term impacts and potential scalability of RL-enhanced exercise apps in diverse populations. This study contributes to the understanding of digital health interventions in exercise science, suggesting that personalized, app-based exercise prescriptions may be more effective than traditional, nonpersonalized methods. The integration of RL into exercise apps could significantly impact public health, particularly in enhancing engagement and reducing the global burden of physical inactivity. Trial Registration ClinicalTrials.gov NCT06653049; https://clinicaltrials.gov/study/NCT06653049</v>
      </c>
      <c r="O10" s="10" t="s">
        <v>1330</v>
      </c>
      <c r="P10" s="9" t="s">
        <v>1331</v>
      </c>
      <c r="Q10" s="6"/>
      <c r="R10" s="6"/>
      <c r="S10" s="6"/>
      <c r="T10" s="6"/>
      <c r="U10" s="6"/>
      <c r="V10" s="6"/>
      <c r="W10" s="6"/>
      <c r="X10" s="6"/>
      <c r="Y10" s="6"/>
      <c r="Z10" s="6"/>
    </row>
    <row r="11">
      <c r="A11" s="2" t="s">
        <v>18</v>
      </c>
      <c r="B11" s="2" t="s">
        <v>1332</v>
      </c>
      <c r="C11" s="2" t="s">
        <v>18</v>
      </c>
      <c r="D11" s="2" t="s">
        <v>1333</v>
      </c>
      <c r="E11" s="2"/>
      <c r="F11" s="2" t="s">
        <v>18</v>
      </c>
      <c r="G11" s="9" t="s">
        <v>1334</v>
      </c>
      <c r="H11" s="9" t="s">
        <v>23</v>
      </c>
      <c r="I11" s="9">
        <v>2022.0</v>
      </c>
      <c r="J11" s="40" t="s">
        <v>1335</v>
      </c>
      <c r="K11" s="10" t="s">
        <v>1336</v>
      </c>
      <c r="L11" s="12"/>
      <c r="M11" s="40" t="str">
        <f t="shared" si="1"/>
        <v>Title: Atrial Fibrillation Detection With an Analog Smartwatch: Prospective Clinical Study and Algorithm Validation</v>
      </c>
      <c r="N11" s="41" t="str">
        <f t="shared" si="2"/>
        <v>Abstract: Background Atrial fibrillation affects approximately 4% of the world’s population and is one of the major causes of stroke, heart failure, sudden death, and cardiovascular morbidity. It can be difficult to diagnose when asymptomatic or in the paroxysmal stage, and its natural history is not well understood. New wearables and connected devices offer an opportunity to improve on this situation. Objective We aimed to validate an algorithm for the automatic detection of atrial fibrillation from a single-lead electrocardiogram taken with a smartwatch. Methods Eligible patients were recruited from 4 sites in Paris, France. Electrocardiograms (12-lead reference and single lead) were captured simultaneously. The electrocardiograms were reviewed by independent, blinded board-certified cardiologists. The sensitivity and specificity of the algorithm to detect atrial fibrillation and normal sinus rhythm were calculated. The quality of single-lead electrocardiograms (visibility and polarity of waves, interval durations, heart rate) was assessed in comparison with the gold standard (12-lead electrocardiogram). Results A total of 262 patients (atrial fibrillation: n=100, age: mean 74.3 years, SD 12.3; normal sinus rhythm: n=113, age: 61.8 years, SD 14.3; other arrhythmia: n=45, 66.9 years, SD 15.2; unreadable electrocardiograms: n=4) were included in the final analysis; 6.9% (18/262) were classified as Noise by the algorithm. Excluding other arrhythmias and Noise, the sensitivity for atrial fibrillation detection was 0.963 (95% CI lower bound 0.894), and the specificity was 1.000 (95% CI lower bound 0.967). Visibility and polarity accuracies were similar (1-lead electrocardiogram: P waves: 96.9%, QRS complexes: 99.2%, T waves: 91.2%; 12-lead electrocardiogram: P waves: 100%, QRS complexes: 98.8%, T waves: 99.5%). P-wave visibility accuracy was 99% (99/100) for patients with atrial fibrillation and 95.7% (155/162) for patients with normal sinus rhythm, other arrhythmias, and unreadable electrocardiograms. The absolute values of the mean differences in PR duration and QRS width were &lt;3 ms, and more than 97% were &lt;40 ms. The mean difference between the heart rates from the 1-lead electrocardiogram calculated by the algorithm and those calculated by cardiologists was 0.55 bpm. Conclusions The algorithm demonstrated great diagnostic performance for atrial fibrillation detection. The smartwatch’s single-lead electrocardiogram also demonstrated good quality for physician use in daily routine care. Trial Registration ClinicalTrials.gov NCT04351386; http://clinicaltrials.gov/ct2/show/NCT04351386</v>
      </c>
      <c r="O11" s="10" t="s">
        <v>1337</v>
      </c>
      <c r="P11" s="9" t="s">
        <v>1338</v>
      </c>
      <c r="Q11" s="6"/>
      <c r="R11" s="6"/>
      <c r="S11" s="6"/>
      <c r="T11" s="6"/>
      <c r="U11" s="6"/>
      <c r="V11" s="6"/>
      <c r="W11" s="6"/>
      <c r="X11" s="6"/>
      <c r="Y11" s="6"/>
      <c r="Z11" s="6"/>
    </row>
    <row r="12">
      <c r="A12" s="2" t="s">
        <v>20</v>
      </c>
      <c r="B12" s="2" t="s">
        <v>1339</v>
      </c>
      <c r="C12" s="2" t="s">
        <v>20</v>
      </c>
      <c r="D12" s="2" t="s">
        <v>1340</v>
      </c>
      <c r="E12" s="2"/>
      <c r="F12" s="2" t="s">
        <v>20</v>
      </c>
      <c r="G12" s="9" t="s">
        <v>1341</v>
      </c>
      <c r="H12" s="9" t="s">
        <v>23</v>
      </c>
      <c r="I12" s="9">
        <v>2021.0</v>
      </c>
      <c r="J12" s="40" t="s">
        <v>1342</v>
      </c>
      <c r="K12" s="10" t="s">
        <v>1343</v>
      </c>
      <c r="L12" s="9" t="s">
        <v>1344</v>
      </c>
      <c r="M12" s="40" t="str">
        <f t="shared" si="1"/>
        <v>Title: BPM-systems in the Activity of the Transport Enterprise in Order to Ensure HR Security</v>
      </c>
      <c r="N12" s="41" t="str">
        <f t="shared" si="2"/>
        <v>Abstract: Digital transformation of any large enterprise is impossible without the introduction of BPM systems that provide effective management of internal processes and help maintain the required level of all aspects of the economic security of the enterprise, including personnel. The transport industry is no exception, moreover, the competent construction and control of the company’s internal processes using digital technologies will allow the industry to reach a new level and be competitive on the world stage. For effective implementation of the system, first of all, it is necessary to configure it to the needs of a particular organization, coordinating it with the mission and goals. The article considers the positive effect of the inclusion of BPM systems in the company’s activities, the basic principles of work and the consequences of using this digitalization element for the HR security of a transport company. Using methods of system analysis, generalization and a modeling method, general models of the main components of BPM systems that are possible for use in the transport industry are proposed.</v>
      </c>
      <c r="O12" s="9" t="s">
        <v>1345</v>
      </c>
      <c r="P12" s="9" t="s">
        <v>1346</v>
      </c>
      <c r="Q12" s="6"/>
      <c r="R12" s="6"/>
      <c r="S12" s="6"/>
      <c r="T12" s="6"/>
      <c r="U12" s="6"/>
      <c r="V12" s="6"/>
      <c r="W12" s="6"/>
      <c r="X12" s="6"/>
      <c r="Y12" s="6"/>
      <c r="Z12" s="6"/>
    </row>
    <row r="13">
      <c r="A13" s="2" t="s">
        <v>20</v>
      </c>
      <c r="B13" s="2" t="s">
        <v>1347</v>
      </c>
      <c r="C13" s="2" t="s">
        <v>18</v>
      </c>
      <c r="D13" s="2" t="s">
        <v>1348</v>
      </c>
      <c r="E13" s="2"/>
      <c r="F13" s="2" t="s">
        <v>20</v>
      </c>
      <c r="G13" s="9" t="s">
        <v>1349</v>
      </c>
      <c r="H13" s="9" t="s">
        <v>23</v>
      </c>
      <c r="I13" s="9">
        <v>2024.0</v>
      </c>
      <c r="J13" s="40" t="s">
        <v>1350</v>
      </c>
      <c r="K13" s="10" t="s">
        <v>1351</v>
      </c>
      <c r="L13" s="9" t="s">
        <v>1352</v>
      </c>
      <c r="M13" s="40" t="str">
        <f t="shared" si="1"/>
        <v>Title: Business process management and digitalization – a reciprocal relationship</v>
      </c>
      <c r="N13" s="41" t="str">
        <f t="shared" si="2"/>
        <v>Abstract: Purpose This study investigated the interplay between business process management (BPM) and digitalization in organizations and developed principles for designing their interaction. Design/methodology/approach This study was explorative and used a questionnaire-based survey that involved experts in BPM and digitalization who were actively engaged in these two domains in their organizations to come up with the design principles. The survey and the design principles were based on Rosemann and vom Brocke's (2010) six core elements of BPM. Findings Digitalization was seen as influencing how BPM is practiced in organizations by strengthening organizations’ focus on BPM, and conversely, BPM was perceived as beneficial for digitalization and digitalization outcomes. In addition, based on Rosemann and vom Brocke’s six core elements of BPM, we proposed six principles for designing the interplay of BPM and digitalization in organizations. Research limitations/implications Our empirical investigation was situated in a Norwegian context and included 104 respondents. While we have no reason to believe that our findings should not be valid and useful in other regions, this is a limitation in generalizing our findings, and a natural follow-up would be to investigate our research questions in other geographical areas. We are also aware of the potential response bias in our sample. Moreover, to outline the principles for designing the interactions of BPM and digitalization, we applied the six core elements of BPM by Rosemann and vom Brocke (2010) as our theoretical lens. We acknowledge that there are more issues related to the interplay of BPM and digitalization than we have dealt with in this study. Practical implications This study has several implications for organizations. First, managers may use our proposed design principles to decide how to integrate BPM and digitalization. Second, although this study showed that each discipline nurtures its own culture, building an organizational culture that combines values from each discipline can enable a process-oriented organization to innovate its operations and services with digital technology. Third, managers should align the responsibilities and tasks of process owners with the demands for the digitalization of business processes. Fourth, managers, when integrating BPM and digitalization, should take care not to impede the generative attributes of each discipline. Social implications Processes and digital technologies play important roles in society at all levels. BPM seeks to understand how processes unfold and explores how new practices may better serve individuals, organizations and society (vom Brocke et al., 2021), while digitalization is concerned with how various kinds of modern digital technologies may trigger organizational and social changes (Markus and Rowe, 2023; Suri and Jack, 2016). Originality/value This study is one of the first studies to investigate the interplay between BPM and digitalization – how digitalization affects BPM practices in organizations and how BPM influences digitalization outcomes. In addition, this study offers novel principles for designing the interaction between BPM and digitalization.</v>
      </c>
      <c r="O13" s="9" t="s">
        <v>1353</v>
      </c>
      <c r="P13" s="9" t="s">
        <v>1354</v>
      </c>
      <c r="Q13" s="6"/>
      <c r="R13" s="6"/>
      <c r="S13" s="6"/>
      <c r="T13" s="6"/>
      <c r="U13" s="6"/>
      <c r="V13" s="6"/>
      <c r="W13" s="6"/>
      <c r="X13" s="6"/>
      <c r="Y13" s="6"/>
      <c r="Z13" s="6"/>
    </row>
    <row r="14">
      <c r="A14" s="2" t="s">
        <v>20</v>
      </c>
      <c r="B14" s="2" t="s">
        <v>1355</v>
      </c>
      <c r="C14" s="2" t="s">
        <v>18</v>
      </c>
      <c r="D14" s="2" t="s">
        <v>1356</v>
      </c>
      <c r="E14" s="2"/>
      <c r="F14" s="2" t="s">
        <v>1357</v>
      </c>
      <c r="G14" s="9" t="s">
        <v>1358</v>
      </c>
      <c r="H14" s="9" t="s">
        <v>23</v>
      </c>
      <c r="I14" s="9">
        <v>2025.0</v>
      </c>
      <c r="J14" s="40" t="s">
        <v>1359</v>
      </c>
      <c r="K14" s="10" t="s">
        <v>1360</v>
      </c>
      <c r="L14" s="9" t="s">
        <v>1361</v>
      </c>
      <c r="M14" s="40" t="str">
        <f t="shared" si="1"/>
        <v>Title: Business process management as a continuous enabler for digital innovation – insights from top executives</v>
      </c>
      <c r="N14" s="41" t="str">
        <f t="shared" si="2"/>
        <v>Abstract: Purpose In light of the ever-increasing opportunities associated with new digital technologies, an emerging body of knowledge examines how and under what circumstances organizations leveraging business process management (BPM) can be receptive to and supportive of digital innovation-related opportunities. In this study, we ask: How can BPM be set up to enable digital innovation on a continuous basis? Design/methodology/approach We conduct an inductive study with top executives in Central Europe. Our multi-method research consists of a Delphi study and two rounds of follow-up interviews. Findings We theorize that BPM can enable digital innovation along four dimensions: organizational IT application portfolio, organizational structure, organizational culture and organizational capabilities. Based on this, we provide four conjectures on how BPM can enable digital innovation. Originality/value Our study adds to the emerging debate around the connection between BPM and digital innovation by specifying how organizations can implement digital innovation initiatives while maintaining efficient and effective workflows.</v>
      </c>
      <c r="O14" s="9" t="s">
        <v>1362</v>
      </c>
      <c r="P14" s="9" t="s">
        <v>1363</v>
      </c>
      <c r="Q14" s="6"/>
      <c r="R14" s="6"/>
      <c r="S14" s="6"/>
      <c r="T14" s="6"/>
      <c r="U14" s="6"/>
      <c r="V14" s="6"/>
      <c r="W14" s="6"/>
      <c r="X14" s="6"/>
      <c r="Y14" s="6"/>
      <c r="Z14" s="6"/>
    </row>
    <row r="15">
      <c r="A15" s="2" t="s">
        <v>20</v>
      </c>
      <c r="B15" s="2" t="s">
        <v>1364</v>
      </c>
      <c r="C15" s="2" t="s">
        <v>20</v>
      </c>
      <c r="D15" s="2" t="s">
        <v>1365</v>
      </c>
      <c r="E15" s="2"/>
      <c r="F15" s="2" t="s">
        <v>20</v>
      </c>
      <c r="G15" s="9" t="s">
        <v>1366</v>
      </c>
      <c r="H15" s="9" t="s">
        <v>23</v>
      </c>
      <c r="I15" s="9">
        <v>2025.0</v>
      </c>
      <c r="J15" s="40" t="s">
        <v>1367</v>
      </c>
      <c r="K15" s="10" t="s">
        <v>1368</v>
      </c>
      <c r="L15" s="9">
        <v>110936.0</v>
      </c>
      <c r="M15" s="40" t="str">
        <f t="shared" si="1"/>
        <v>Title: Circular value creation and business process management for twin transition: The case of an energy company</v>
      </c>
      <c r="N15" s="41" t="str">
        <f t="shared" si="2"/>
        <v>Abstract: The debate on circular economy has been recently enriched by the emergence of twin transition, as a cross-disciplinary emerging perspective encompassing both digital and green transformation. This is because of the complex nature of the transition, which involves expertise in technology (digital and green technologies), management challenges, and societal factors. Focusing on the business perspective, the twin transition presents companies with the task of generating sustainable value by restructuring their strategic, organizational, and operational frameworks through the adoption of digital and green technologies. Indeed, digital technologies are expected to contribute to the green transition and the circular economy configuration of firms based on data-driven decision-making processes. Despite the timeliness of this topic, a holistic understanding of the business implications and the meaning of the twin transition remains elusive, necessitating further theoretical and empirical contributions. To contribute to the advancement of the debate in this direction, the paper focuses attention on the changes occurring in Sistemi Energetici SpA, an Apulian energy company involved in a strategic and organizational twin transition consisting of the creation of the “Technological Hub for the Circular Economy and Renewable Sources”, an innovative centre for the development of both engineering services and manufacturing. The analysis of the case consisted of the application of Business Process Modeling and Notation (BPMN) standards to design the passage from ‘AS-IS’ to ‘TO-BE’ transition by highlighting the impact of digital technologies during the passage which implies an important change of the organizational and business model by the principles of circular economy. The idea of a new process model is fundamental to constructing the new workflow mechanisms managing all the company fluxes as a reverse engineering process. The impact of digital technologies is analyzed for both ‘AS IS’ and the ‘TO BE’ processes to formulate the new complex synergies of all the company’s sectors.</v>
      </c>
      <c r="O15" s="9" t="s">
        <v>1369</v>
      </c>
      <c r="P15" s="9" t="s">
        <v>1370</v>
      </c>
      <c r="Q15" s="6"/>
      <c r="R15" s="6"/>
      <c r="S15" s="6"/>
      <c r="T15" s="6"/>
      <c r="U15" s="6"/>
      <c r="V15" s="6"/>
      <c r="W15" s="6"/>
      <c r="X15" s="6"/>
      <c r="Y15" s="6"/>
      <c r="Z15" s="6"/>
    </row>
    <row r="16">
      <c r="A16" s="2" t="s">
        <v>20</v>
      </c>
      <c r="B16" s="2" t="s">
        <v>1371</v>
      </c>
      <c r="C16" s="2" t="s">
        <v>18</v>
      </c>
      <c r="D16" s="2" t="s">
        <v>1372</v>
      </c>
      <c r="E16" s="2"/>
      <c r="F16" s="2" t="s">
        <v>20</v>
      </c>
      <c r="G16" s="9" t="s">
        <v>1373</v>
      </c>
      <c r="H16" s="9" t="s">
        <v>23</v>
      </c>
      <c r="I16" s="9">
        <v>2022.0</v>
      </c>
      <c r="J16" s="40" t="s">
        <v>1374</v>
      </c>
      <c r="K16" s="10" t="s">
        <v>1375</v>
      </c>
      <c r="L16" s="9" t="s">
        <v>1376</v>
      </c>
      <c r="M16" s="40" t="str">
        <f t="shared" si="1"/>
        <v>Title: Data-driven business process management-based development of Industry 4.0 solutions</v>
      </c>
      <c r="N16" s="41" t="str">
        <f t="shared" si="2"/>
        <v>Abstract: Business process management (BPM) supports the management and transformation of organizational operations. This paper provides a structured guideline for improving data-based process development within the BPM life cycle. We show how Industry 4.0-induced tools and models can be integrated within the BPM life cycle to achieve more efficient process excellence and evidence-based decision-making. The paper demonstrates how standards of machine learning (CRISP-ML(Q)), BPM, and tools of design science research can support the redesign phases of Industry 4.0 development. The proposed methodology is carried out on an assembly company, where the proposed improvement steps are investigated by simulation and evaluated by relevant key performance indicators.</v>
      </c>
      <c r="O16" s="9" t="s">
        <v>1377</v>
      </c>
      <c r="P16" s="9" t="s">
        <v>1378</v>
      </c>
      <c r="Q16" s="6"/>
      <c r="R16" s="6"/>
      <c r="S16" s="6"/>
      <c r="T16" s="6"/>
      <c r="U16" s="6"/>
      <c r="V16" s="6"/>
      <c r="W16" s="6"/>
      <c r="X16" s="6"/>
      <c r="Y16" s="6"/>
      <c r="Z16" s="6"/>
    </row>
    <row r="17">
      <c r="A17" s="2" t="s">
        <v>18</v>
      </c>
      <c r="B17" s="2" t="s">
        <v>1379</v>
      </c>
      <c r="C17" s="2" t="s">
        <v>18</v>
      </c>
      <c r="D17" s="2" t="s">
        <v>1380</v>
      </c>
      <c r="E17" s="2"/>
      <c r="F17" s="2" t="s">
        <v>18</v>
      </c>
      <c r="G17" s="9" t="s">
        <v>1381</v>
      </c>
      <c r="H17" s="9" t="s">
        <v>23</v>
      </c>
      <c r="I17" s="9">
        <v>2024.0</v>
      </c>
      <c r="J17" s="40" t="s">
        <v>1382</v>
      </c>
      <c r="K17" s="10" t="s">
        <v>1383</v>
      </c>
      <c r="L17" s="9">
        <v>102593.0</v>
      </c>
      <c r="M17" s="40" t="str">
        <f t="shared" si="1"/>
        <v>Title: Designing resilient health services supported by digital technologies: A study of the blood transfusion process</v>
      </c>
      <c r="N17" s="41" t="str">
        <f t="shared" si="2"/>
        <v>Abstract: Although resilient performance (RP) in health services can be both enhanced and hindered by the use of digital technologies (DTs), little is known on how this influence occurs through design. This study introduces a framework for designing resilient health services supported by DTs, involving four steps: (i) define the motivation for the framework application, select the target system, and form a project team; (ii) modeling of the target system; (iii) identify problems and countermeasures, emphasizing the role of DTs supportive of RP; and (iv) implement countermeasures. The framework was tested in the blood transfusion process of a large tertiary hospital. Data collection for this test included participant and non-participant observations, interviews, and documentary analysis. Results shed light on the framework's utility and ease of use, also giving rise to propositions that guide the framework application. These propositions are related to using business process management notation to bridge the perspectives of DTs designers and human factors experts; supporting dynamic prioritization of orders; standardizing interactions between management information systems; using DTs to amplify rather than replace human skills; using DTs to buy time for deploying responses to variabilities; accounting for the perspectives of diverse stakeholders; and learning from applying the framework. Requirements of DTs supportive of RP were also derived from the propositions, offering guidance to designers.</v>
      </c>
      <c r="O17" s="9" t="s">
        <v>1384</v>
      </c>
      <c r="P17" s="9" t="s">
        <v>1385</v>
      </c>
      <c r="Q17" s="6"/>
      <c r="R17" s="6"/>
      <c r="S17" s="6"/>
      <c r="T17" s="6"/>
      <c r="U17" s="6"/>
      <c r="V17" s="6"/>
      <c r="W17" s="6"/>
      <c r="X17" s="6"/>
      <c r="Y17" s="6"/>
      <c r="Z17" s="6"/>
    </row>
    <row r="18">
      <c r="A18" s="2" t="s">
        <v>18</v>
      </c>
      <c r="B18" s="2" t="s">
        <v>1386</v>
      </c>
      <c r="C18" s="2" t="s">
        <v>18</v>
      </c>
      <c r="D18" s="2" t="s">
        <v>1387</v>
      </c>
      <c r="E18" s="2"/>
      <c r="F18" s="2" t="s">
        <v>18</v>
      </c>
      <c r="G18" s="9" t="s">
        <v>1388</v>
      </c>
      <c r="H18" s="9" t="s">
        <v>23</v>
      </c>
      <c r="I18" s="9">
        <v>2021.0</v>
      </c>
      <c r="J18" s="40" t="s">
        <v>1389</v>
      </c>
      <c r="K18" s="10" t="s">
        <v>1390</v>
      </c>
      <c r="L18" s="12"/>
      <c r="M18" s="40" t="str">
        <f t="shared" si="1"/>
        <v>Title: Detection of Clenbuterol-Induced Changes in Heart Rate Using At-Home Recorded Smartwatch Data: Randomized Controlled Trial</v>
      </c>
      <c r="N18" s="41" t="str">
        <f t="shared" si="2"/>
        <v>Abstract: Background Although electrocardiography is the gold standard for heart rate (HR) recording in clinical trials, the increasing availability of smartwatch-based HR monitors opens up possibilities for drug development studies. Smartwatches allow for inexpensive, unobtrusive, and continuous HR estimation for potential detection of treatment effects outside the clinic, during daily life. Objective The aim of this study is to evaluate the repeatability and sensitivity of smartwatch-based HR estimates collected during a randomized clinical trial. Methods The data were collected as part of a multiple-dose, investigator-blinded, randomized, placebo-controlled, parallel-group study of 12 patients with Parkinson disease. After a 6-day baseline period, 4 and 8 patients were treated for 7 days with an ascending dose of placebo and clenbuterol, respectively. Throughout the study, the smartwatch provided HR and sleep state estimates. The HR estimates were quantified as the 2.5th, 50th, and 97.5th percentiles within awake and asleep segments. Linear mixed models were used to calculate the following: (1) the intraclass correlation coefficient (ICC) of estimated sleep durations, (2) the ICC and minimum detectable effect (MDE) of the HR estimates, and (3) the effect sizes of the HR estimates. Results Sleep duration was moderately repeatable (ICC=0.64) and was not significantly affected by study day (P=.83), clenbuterol (P=.43), and study day by clenbuterol (P=.73). Clenbuterol-induced changes were detected in the asleep HR as of the first night (+3.79 beats per minute [bpm], P=.04) and in the awake HR as of the third day (+8.79 bpm, P=.001). The median HR while asleep had the highest repeatability (ICC=0.70). The MDE (N=12) was found to be smaller when patients were asleep (6.8 bpm to 11.7 bpm) than while awake (10.7 bpm to 22.1 bpm). Overall, the effect sizes for clenbuterol-induced changes were higher while asleep (0.49 to 2.75) than while awake (0.08 to 1.94). Conclusions We demonstrated the feasibility of using smartwatch-based HR estimates to detect clenbuterol-induced changes during clinical trials. The asleep HR estimates were most repeatable and sensitive to treatment effects. We conclude that smartwatch-based HR estimates obtained during daily living in a clinical trial can be used to detect and track treatment effects. Trial Registration Netherlands Trials Register NL8002; https://www.trialregister.nl/trial/8002</v>
      </c>
      <c r="O18" s="10" t="s">
        <v>1391</v>
      </c>
      <c r="P18" s="9" t="s">
        <v>1392</v>
      </c>
      <c r="Q18" s="6"/>
      <c r="R18" s="6"/>
      <c r="S18" s="6"/>
      <c r="T18" s="6"/>
      <c r="U18" s="6"/>
      <c r="V18" s="6"/>
      <c r="W18" s="6"/>
      <c r="X18" s="6"/>
      <c r="Y18" s="6"/>
      <c r="Z18" s="6"/>
    </row>
    <row r="19">
      <c r="A19" s="2" t="s">
        <v>20</v>
      </c>
      <c r="B19" s="2" t="s">
        <v>1393</v>
      </c>
      <c r="C19" s="2" t="s">
        <v>18</v>
      </c>
      <c r="D19" s="2" t="s">
        <v>1394</v>
      </c>
      <c r="E19" s="2"/>
      <c r="F19" s="2" t="s">
        <v>18</v>
      </c>
      <c r="G19" s="9" t="s">
        <v>1395</v>
      </c>
      <c r="H19" s="9" t="s">
        <v>23</v>
      </c>
      <c r="I19" s="9">
        <v>2024.0</v>
      </c>
      <c r="J19" s="40" t="s">
        <v>1396</v>
      </c>
      <c r="K19" s="10" t="s">
        <v>1397</v>
      </c>
      <c r="L19" s="9" t="s">
        <v>1398</v>
      </c>
      <c r="M19" s="40" t="str">
        <f t="shared" si="1"/>
        <v>Title: Digital innovation and automation of business processes using quick response code: advancing the means-end chain theory</v>
      </c>
      <c r="N19" s="41" t="str">
        <f t="shared" si="2"/>
        <v>Abstract: Purpose The purpose of the research is to investigate customer shopping behaviour for Italian market, extra virgin olive oil (EVOO) using the quick response (QR) code. The study uses means-end chain (MEC) theory to explore the connections between product attributes, personal values and consumer preferences. Design/methodology/approach The theory of means-end chain helps to uncover the underlying reasons why consumers choose specific products by examining the links between tangibles. There is a conceptual model developed with the help of MEC. The conceptual framework comprises product information and marketing communication, which constitute the sensory and non-sensory aspects of consumption behaviour, and it is empirically tested by CB-SEM technique. QR code usefulness and loyalty are treated as mediators to evaluate shopping behaviour to purchase EVOO. Findings The study has used MEC theory and has extended this theory. This study found that there is a profound impact of technology (QR code) on the buying behaviour of EVOO for the Italian customers. This study has also found that product information and product communication play a critical role towards shopping behaviour of Italian consumers regarding EVOO related products. Research limitations/implications Innovation and technology adoption, especially the use of QR codes in understanding product features, has been an attractive area for research exploration. This could include details about the product’s origin, production methods and nutritional information. Such technology and innovation can change the business process management landscape of food-product distribution process. Not many studies are available which examine customers’ interest and shopping behaviour using QR codes, especially in the context of EVOO. Thus, this research study has a profound impact on the Italian and other European market. Originality/value In the Italian market, EVOO is more than just a product, it is a symbol of tradition, quality and cultural heritage. EVOO is not just a condiment, it is an essential ingredient that contributes to the overall flavour of dishes. This study explores the usage of QR code for EVOO related products. This is a unique study as there are a very few research studies available in this area of business process management and technology usage related to EVOO products. Moreover, this research study adds values to the body of literature of business process management, technology usage, innovation and food technology. Thus, this study is unique and adds value to the existing literature.</v>
      </c>
      <c r="O19" s="9" t="s">
        <v>1399</v>
      </c>
      <c r="P19" s="9" t="s">
        <v>1400</v>
      </c>
      <c r="Q19" s="6"/>
      <c r="R19" s="6"/>
      <c r="S19" s="6"/>
      <c r="T19" s="6"/>
      <c r="U19" s="6"/>
      <c r="V19" s="6"/>
      <c r="W19" s="6"/>
      <c r="X19" s="6"/>
      <c r="Y19" s="6"/>
      <c r="Z19" s="6"/>
    </row>
    <row r="20">
      <c r="A20" s="2" t="s">
        <v>18</v>
      </c>
      <c r="B20" s="2" t="s">
        <v>1401</v>
      </c>
      <c r="C20" s="2" t="s">
        <v>18</v>
      </c>
      <c r="D20" s="2" t="s">
        <v>1402</v>
      </c>
      <c r="E20" s="2"/>
      <c r="F20" s="2" t="s">
        <v>18</v>
      </c>
      <c r="G20" s="9" t="s">
        <v>1403</v>
      </c>
      <c r="H20" s="9" t="s">
        <v>23</v>
      </c>
      <c r="I20" s="9">
        <v>2022.0</v>
      </c>
      <c r="J20" s="40" t="s">
        <v>1404</v>
      </c>
      <c r="K20" s="10" t="s">
        <v>1405</v>
      </c>
      <c r="L20" s="12"/>
      <c r="M20" s="40" t="str">
        <f t="shared" si="1"/>
        <v>Title: Digital Platform to Continuously Monitor Patients Using a Smartwatch: Preliminary Report</v>
      </c>
      <c r="N20" s="41" t="str">
        <f t="shared" si="2"/>
        <v>Abstract: Background Monitoring vital signs such as oximetry, blood pressure, and heart rate is important to follow the evolution of patients. Smartwatches are a revolution in medicine allowing the collection of such data in a continuous and organic way. However, it is still a challenge to make this information available to health care professionals to make decisions during clinical follow-up. Objective This study aims to build a digital solution that displays vital sign data from smartwatches, collected remotely, continuously, reliably, and from multiple users, with trigger warnings when abnormal results are identified. Methods This is a single-center prospective study following the guidelines “Evaluating digital health products” from the UK Health Security Agency. A digital platform with 3 different applications was created to capture and display data from the mobile phones of volunteers with smartwatches. We selected 80 volunteers who were followed for 24 weeks each, and the synchronization interval between the smartwatch and digital solution was recorded for each vital sign collected. Results In 14 weeks of project progress, we managed to recruit 80 volunteers, with 68 already registered in the digital solution. More than 2.8 million records have already been collected, without system downtime. Less than 5% of continuous heart rate measurements (bpm) were synchronized within 2 hours. However, approximately 70% were synchronized in less than 24 hours, and 90% were synchronized in less than 119 hours. Conclusions The digital solution is working properly in its role of displaying data collected from smartwatches. Vital sign values are being monitored by the research team as part of the monitoring of volunteers. Although the digital solution proved unsuitable for monitoring urgent events, it is more than suitable for use in outpatient clinical use. This digital solution, which is based on cloud technology, can be applied in the future for telemonitoring in regions lacking health care professionals. Accuracy and reliability studies still need to be performed at the end of the 24-week follow-up.</v>
      </c>
      <c r="O20" s="9" t="s">
        <v>1406</v>
      </c>
      <c r="P20" s="9" t="s">
        <v>1407</v>
      </c>
      <c r="Q20" s="6"/>
      <c r="R20" s="6"/>
      <c r="S20" s="6"/>
      <c r="T20" s="6"/>
      <c r="U20" s="6"/>
      <c r="V20" s="6"/>
      <c r="W20" s="6"/>
      <c r="X20" s="6"/>
      <c r="Y20" s="6"/>
      <c r="Z20" s="6"/>
    </row>
    <row r="21">
      <c r="A21" s="2" t="s">
        <v>20</v>
      </c>
      <c r="B21" s="2" t="s">
        <v>1408</v>
      </c>
      <c r="C21" s="2" t="s">
        <v>18</v>
      </c>
      <c r="D21" s="2" t="s">
        <v>1409</v>
      </c>
      <c r="E21" s="2"/>
      <c r="F21" s="2" t="s">
        <v>20</v>
      </c>
      <c r="G21" s="9" t="s">
        <v>1410</v>
      </c>
      <c r="H21" s="9" t="s">
        <v>23</v>
      </c>
      <c r="I21" s="9">
        <v>2024.0</v>
      </c>
      <c r="J21" s="40" t="s">
        <v>1411</v>
      </c>
      <c r="K21" s="10" t="s">
        <v>1412</v>
      </c>
      <c r="L21" s="9" t="s">
        <v>1413</v>
      </c>
      <c r="M21" s="40" t="str">
        <f t="shared" si="1"/>
        <v>Title: DT4BPM: A proposed approach for combining Digital Transformation and Business Process Management</v>
      </c>
      <c r="N21" s="41" t="str">
        <f t="shared" si="2"/>
        <v>Abstract: Business Process Management (BPM) and Digital Transformation (DT) are two interconnected concepts. BPM involves identifying, analyzing, and improving business processes, while Digital Transformation leverages digital technologies to transform business operations. BPM provides the foundation for digital transformation by optimizing processes, and digital technologies enhance BPM by providing data, analytics, and automation tools. Together, BPM and digital transformation enhance business operations and lead to better customer experiences and increased profitability. Ultimately, the integration of BPM and digital transformation is a strategic imperative for organizations seeking to thrive in today’s digitally driven landscape. A new approach combining BPM and DT named DT4BPM is proposed in this paper. DT4BPM takes advantage from both approaches and will have a lifecycle which includes in the proper way phases and sub-phases that were obtained through a positioning of each of the lifecycles of BPM and DT.</v>
      </c>
      <c r="O21" s="9" t="s">
        <v>1414</v>
      </c>
      <c r="P21" s="9" t="s">
        <v>1415</v>
      </c>
      <c r="Q21" s="6"/>
      <c r="R21" s="6"/>
      <c r="S21" s="6"/>
      <c r="T21" s="6"/>
      <c r="U21" s="6"/>
      <c r="V21" s="6"/>
      <c r="W21" s="6"/>
      <c r="X21" s="6"/>
      <c r="Y21" s="6"/>
      <c r="Z21" s="6"/>
    </row>
    <row r="22">
      <c r="A22" s="2" t="s">
        <v>18</v>
      </c>
      <c r="B22" s="2" t="s">
        <v>1416</v>
      </c>
      <c r="C22" s="2" t="s">
        <v>18</v>
      </c>
      <c r="D22" s="2" t="s">
        <v>1417</v>
      </c>
      <c r="E22" s="2"/>
      <c r="F22" s="2" t="s">
        <v>18</v>
      </c>
      <c r="G22" s="9" t="s">
        <v>1418</v>
      </c>
      <c r="H22" s="9" t="s">
        <v>23</v>
      </c>
      <c r="I22" s="9">
        <v>2022.0</v>
      </c>
      <c r="J22" s="40" t="s">
        <v>1419</v>
      </c>
      <c r="K22" s="10" t="s">
        <v>1420</v>
      </c>
      <c r="L22" s="9" t="s">
        <v>1421</v>
      </c>
      <c r="M22" s="40" t="str">
        <f t="shared" si="1"/>
        <v>Title: Dynamic market complexity and service value advantage: an empirical investigation of business process management</v>
      </c>
      <c r="N22" s="41" t="str">
        <f t="shared" si="2"/>
        <v>Abstract: Purpose Having complexity theory as the overarching conceptual rationale, this paper presents a research model that defines external drivers, strategic and internal business practices and performance outcomes in service firm contexts. Design/methodology/approach Using an original survey instrument, the authors empirically examine business process management (1) adopting the mediating roles of shared goal practices and technology imperative practices (2) involving moderating roles of competitive market environments and joint implementation practices. Findings In response to dynamic market complexity, firms implement business process management through shared goal practices and technology imperative practices for achieving customer service outcomes. The findings also suggest the moderating roles of competitive pressure and joint implementation practices. Research limitations/implications Generalizations here are limited to service firms. Increasing customer service expectations (e.g. simplicity, convenience, visual images and rapid responses) require firms to involve cross-functional work throughout their organizational processes. Practical implications In digital environments, business process management requires socio-technological synergy through shared goal practices and technology imperative practices. Originality/value Building on a theory-driven research model, a survey instrument provides tools to examine business process management of service firms that sense dynamic market complexity challenges and translate them to achieve desirable customer service outcomes.</v>
      </c>
      <c r="O22" s="9" t="s">
        <v>1422</v>
      </c>
      <c r="P22" s="9" t="s">
        <v>1423</v>
      </c>
      <c r="Q22" s="6"/>
      <c r="R22" s="6"/>
      <c r="S22" s="6"/>
      <c r="T22" s="6"/>
      <c r="U22" s="6"/>
      <c r="V22" s="6"/>
      <c r="W22" s="6"/>
      <c r="X22" s="6"/>
      <c r="Y22" s="6"/>
      <c r="Z22" s="6"/>
    </row>
    <row r="23">
      <c r="A23" s="2" t="s">
        <v>18</v>
      </c>
      <c r="B23" s="2" t="s">
        <v>1424</v>
      </c>
      <c r="C23" s="2" t="s">
        <v>18</v>
      </c>
      <c r="D23" s="2" t="s">
        <v>1425</v>
      </c>
      <c r="E23" s="2"/>
      <c r="F23" s="2" t="s">
        <v>18</v>
      </c>
      <c r="G23" s="9" t="s">
        <v>1426</v>
      </c>
      <c r="H23" s="9" t="s">
        <v>23</v>
      </c>
      <c r="I23" s="9">
        <v>2025.0</v>
      </c>
      <c r="J23" s="40" t="s">
        <v>1427</v>
      </c>
      <c r="K23" s="10" t="s">
        <v>1428</v>
      </c>
      <c r="L23" s="9">
        <v>100417.0</v>
      </c>
      <c r="M23" s="40" t="str">
        <f t="shared" si="1"/>
        <v>Title: Economic evaluation: Impact on costs, time, and productivity of the incorporation of integrative digital pathology (IDP) in the anatomopathological analysis of breast cancer in a national reference public provider in Chile</v>
      </c>
      <c r="N23" s="41" t="str">
        <f t="shared" si="2"/>
        <v>Abstract: ABSTRACT Introduction The incidence of breast cancer has risen in Chile, along with the complexity of diagnosis. For accurate diagnosis, it is necessary to complement the morphology assessed with hematoxylin and eosin with additional techniques to evaluate specific tumor markers. Evaluating the impact on costs, time, and productivity of automated techniques integrated with digital pathology solutions is crucial. Objectives To estimate the impact on costs, time, and productivity of incorporating the automation of the HER2 in situ hybridization technique combined with integrative digital pathology (IDP) in breast cancer diagnosis in a Chilean public provider versus a manual technique. Methods This economic evaluation adopted a health economics multi-method approach. A decision model was developed to represent the current manual fluorescence in situ hybridization (FISH) scenario versus an automated dual in situ hybridization (DISH) plus IDP in breast cancer diagnosis. Business process management (BPM) methodology was applied for capturing working time and latencies, in combination with a time-driven activity-based costing (TDABC) methodology for estimating direct, total, and average cost (2023 USD) for both scenarios for the following vectors: Human resources, supplies, and equipment, sorted by pre-analytical, analytical, and post-analytical phases. Indirect costs (2023 USD) were also retrieved. Both BPM and TDABC served to estimate labor productivity. Results In the baseline scenario based on manual FISH, the turnaround time (TAT) was estimated at 1259 min, at an average total cost of $265.67, considering direct and indirect costs for all phases. An average of 20.5 FISH reports were submitted per pathologist monthly during the baseline. The automated DISH plus IDP scenario consumed 203 min per biopsy, at an average total cost of $231.08, considering direct and indirect costs for all phases; it also showed an average of 22.8 submitted reports per pathologist monthly. This represents a decrease of 13.02% in average total costs, an 83.86% decrease in TAT, and an average labor productivity increase of 11.29%. Conclusions The incorporation of automated DISH plus IDP in the pathology department of this public provider has resulted in reductions in the time required to perform the in situ hybridization technique, a decrease in total costs, and increased productivity. Particular attention should be given to adopting new technologies to accelerate processing times and workflow.</v>
      </c>
      <c r="O23" s="9" t="s">
        <v>1429</v>
      </c>
      <c r="P23" s="9" t="s">
        <v>1430</v>
      </c>
      <c r="Q23" s="6"/>
      <c r="R23" s="6"/>
      <c r="S23" s="6"/>
      <c r="T23" s="6"/>
      <c r="U23" s="6"/>
      <c r="V23" s="6"/>
      <c r="W23" s="6"/>
      <c r="X23" s="6"/>
      <c r="Y23" s="6"/>
      <c r="Z23" s="6"/>
    </row>
    <row r="24">
      <c r="A24" s="2" t="s">
        <v>18</v>
      </c>
      <c r="B24" s="2" t="s">
        <v>1431</v>
      </c>
      <c r="C24" s="2" t="s">
        <v>18</v>
      </c>
      <c r="D24" s="2" t="s">
        <v>1432</v>
      </c>
      <c r="E24" s="2"/>
      <c r="F24" s="2" t="s">
        <v>18</v>
      </c>
      <c r="G24" s="9" t="s">
        <v>1433</v>
      </c>
      <c r="H24" s="9" t="s">
        <v>23</v>
      </c>
      <c r="I24" s="9">
        <v>2025.0</v>
      </c>
      <c r="J24" s="40" t="s">
        <v>1434</v>
      </c>
      <c r="K24" s="10" t="s">
        <v>1435</v>
      </c>
      <c r="L24" s="9" t="s">
        <v>1436</v>
      </c>
      <c r="M24" s="40" t="str">
        <f t="shared" si="1"/>
        <v>Title: Enhancing consumer experience in food delivery through hybrid analytical models</v>
      </c>
      <c r="N24" s="41" t="str">
        <f t="shared" si="2"/>
        <v>Abstract: Purpose This study examines the influence of food biosafety measures (FBM), electronic-service quality (e-SQ), product quality (PQ) and brand image (BI) on electronic-consumer satisfaction (e-CS) and electronic-loyalty (e-LO) in online food delivery services (OFDS). It aims to identify key determinants of consumer behaviour and provide strategic recommendations for improving customer retention. Design/methodology/approach A hybrid approach combining structural equation modelling (SEM) and artificial neural networks (ANN) analysed data from 1,709 participants in five Colombian cities. SEM evaluated linear relationships, while ANN explored nonlinear interactions and predictor importance. Findings FBM and PQ emerged as the most significant drivers of e-CS and e-LO, with FBM exerting the strongest influence. e-SQ had a smaller positive effect on e-CS, while BI unexpectedly showed a negative relationship with both outcomes, suggesting tangible attributes outweigh brand perception. These findings stress prioritizing safety and quality over branding. Originality/value This research applies the behavioural perspective model (BPM) to digital food delivery, highlighting how utilitarian and informational reinforcers shape satisfaction and loyalty. The hybrid SEM–ANN model captures both causal and nonlinear patterns, enhancing predictive precision. It contributes novel insights into loyalty formation within OFDS.</v>
      </c>
      <c r="O24" s="9" t="s">
        <v>1437</v>
      </c>
      <c r="P24" s="9" t="s">
        <v>1438</v>
      </c>
      <c r="Q24" s="6"/>
      <c r="R24" s="6"/>
      <c r="S24" s="6"/>
      <c r="T24" s="6"/>
      <c r="U24" s="6"/>
      <c r="V24" s="6"/>
      <c r="W24" s="6"/>
      <c r="X24" s="6"/>
      <c r="Y24" s="6"/>
      <c r="Z24" s="6"/>
    </row>
    <row r="25">
      <c r="A25" s="2" t="s">
        <v>18</v>
      </c>
      <c r="B25" s="2" t="s">
        <v>1439</v>
      </c>
      <c r="C25" s="2" t="s">
        <v>20</v>
      </c>
      <c r="D25" s="2" t="s">
        <v>1440</v>
      </c>
      <c r="E25" s="2"/>
      <c r="F25" s="2" t="s">
        <v>20</v>
      </c>
      <c r="G25" s="9" t="s">
        <v>1441</v>
      </c>
      <c r="H25" s="9" t="s">
        <v>23</v>
      </c>
      <c r="I25" s="9">
        <v>2023.0</v>
      </c>
      <c r="J25" s="40" t="s">
        <v>1442</v>
      </c>
      <c r="K25" s="10" t="s">
        <v>1443</v>
      </c>
      <c r="L25" s="9" t="s">
        <v>1444</v>
      </c>
      <c r="M25" s="40" t="str">
        <f t="shared" si="1"/>
        <v>Title: Evaluating the Economic and Sustainability Impacts of Drones in Viticulture using BPMN-based Simulation</v>
      </c>
      <c r="N25" s="41" t="str">
        <f t="shared" si="2"/>
        <v>Abstract: This paper presents an investigation into the economic impact of drones in viticulture, an area that has not been previously researched. The authors calculate the economic impacts of drones in viticulture and use this to measure the overall sustainability impact assessment for this technology. The study aims to explore a method for investigating the impact of technological changes on business processes in viticulture. This involves selecting viticultural business processes, representing them using Business Process Model and Notation (BPMN), and considering their simulation. Backpack sprayers and trailed sprayers were considered conventional application methods. The application of crop protection products by drone was considered a digitalized variant. Literature research and guideline-based expert interviews with vinegrowers provided the information basis. The study focuses on plant protection in viticulture, but the results can be applied to other agricultural processes. By integrating all three indicators for sustainability, the study provides an evidence-based method for evaluating the impact of drones on viticultural business processes.</v>
      </c>
      <c r="O25" s="9" t="s">
        <v>1445</v>
      </c>
      <c r="P25" s="9" t="s">
        <v>1446</v>
      </c>
      <c r="Q25" s="6"/>
      <c r="R25" s="6"/>
      <c r="S25" s="6"/>
      <c r="T25" s="6"/>
      <c r="U25" s="6"/>
      <c r="V25" s="6"/>
      <c r="W25" s="6"/>
      <c r="X25" s="6"/>
      <c r="Y25" s="6"/>
      <c r="Z25" s="6"/>
    </row>
    <row r="26">
      <c r="A26" s="2" t="s">
        <v>18</v>
      </c>
      <c r="B26" s="2" t="s">
        <v>1447</v>
      </c>
      <c r="C26" s="2" t="s">
        <v>18</v>
      </c>
      <c r="D26" s="2" t="s">
        <v>1448</v>
      </c>
      <c r="E26" s="2"/>
      <c r="F26" s="2" t="s">
        <v>18</v>
      </c>
      <c r="G26" s="9" t="s">
        <v>1449</v>
      </c>
      <c r="H26" s="9" t="s">
        <v>23</v>
      </c>
      <c r="I26" s="9">
        <v>2021.0</v>
      </c>
      <c r="J26" s="40" t="s">
        <v>1450</v>
      </c>
      <c r="K26" s="10" t="s">
        <v>1451</v>
      </c>
      <c r="L26" s="9">
        <v>107396.0</v>
      </c>
      <c r="M26" s="40" t="str">
        <f t="shared" si="1"/>
        <v>Title: Experimental and numerical investigations on crack development in 3D printed rock-like specimens with pre-existing flaws</v>
      </c>
      <c r="N26" s="41" t="str">
        <f t="shared" si="2"/>
        <v>Abstract: Rock masses contain various discontinuities such as flaws, cracks, join sets and more, each significantly affect the crack initiation, propagation and coalescence patterns of new cracks which dominates the ultimate failure of geostructures. The interaction of the pre-existing flaws with each other and with the newly formed cracks is complicated which demands a comprehensive look into the phenomenon. This paper focuses on the applicability of the 3D printing technology coupled with the digital image correlation (DIC) and the bonded particle model (BPM) in replicating real behaviour of natural rocks containing pre-existing flaws. Systematic flaws configurations are considered including single, coplanar, partially overlapped and fully overlapped arrangements to enable a comprehensive coalescence analysis. The results show that the BPM is capable of precisely modelling the crack initiation location, type (tensile, shear or mixed-mode) and coalescence type detected by the DIC. Moreover, it is shown that the 3D printed specimens can reproduce the previously identified cracks and coalescence types. By the analysis of the displacement fields, a new coalescence type is detected and introduced and named as type X, which is a mix of wing crack and quasi coplanar secondary shear crack. The analysis of the displacement vectors revealed five types of cracks: shear opposite slip crack, tensile opposite crack, tensile compliant crack, shear compliant crack, and mixed tensile-shear crack. Furthermore, the comparisons made between the peak loads of the experiments and the simulations show a god agreement in terms of peak load magnitude and flaws inclination angle dependency.</v>
      </c>
      <c r="O26" s="9" t="s">
        <v>1452</v>
      </c>
      <c r="P26" s="9" t="s">
        <v>1453</v>
      </c>
      <c r="Q26" s="6"/>
      <c r="R26" s="6"/>
      <c r="S26" s="6"/>
      <c r="T26" s="6"/>
      <c r="U26" s="6"/>
      <c r="V26" s="6"/>
      <c r="W26" s="6"/>
      <c r="X26" s="6"/>
      <c r="Y26" s="6"/>
      <c r="Z26" s="6"/>
    </row>
    <row r="27">
      <c r="A27" s="2" t="s">
        <v>20</v>
      </c>
      <c r="B27" s="2" t="s">
        <v>1454</v>
      </c>
      <c r="C27" s="2" t="s">
        <v>20</v>
      </c>
      <c r="D27" s="2" t="s">
        <v>1455</v>
      </c>
      <c r="E27" s="2"/>
      <c r="F27" s="2" t="s">
        <v>1357</v>
      </c>
      <c r="G27" s="9" t="s">
        <v>1456</v>
      </c>
      <c r="H27" s="9" t="s">
        <v>23</v>
      </c>
      <c r="I27" s="9">
        <v>2021.0</v>
      </c>
      <c r="J27" s="40" t="s">
        <v>1457</v>
      </c>
      <c r="K27" s="10" t="s">
        <v>1458</v>
      </c>
      <c r="L27" s="9" t="s">
        <v>1459</v>
      </c>
      <c r="M27" s="40" t="str">
        <f t="shared" si="1"/>
        <v>Title: Exploring IT/IS proactive and knowledge transfer on enterprise digital business transformation (EDBT): a technology-knowledge perspective</v>
      </c>
      <c r="N27" s="41" t="str">
        <f t="shared" si="2"/>
        <v>Abstract: Purpose Business process management (BPM) has been discussed in much literature as a crucial approach to achieve firm-enterprise business performance, however in term of digital business transformation to face the current digital enterprise business era, there is still much to be explored. Drawing sociotechnical perspective of ETHICS theory, the study develops and conceptualize information technologies/systems (IT/IS) proactive capability and socialization-codification knowledge process that produce business transformation process in digital-based era. Design/methodology/approach Of the 173 company-enterprise respondents in Indonesia, the authors empirically test and validate the conceptual model using structural equation model tool-SmartPLS and SPSS statistical. The enterprise respondents were manufactures industry, construction services, hardware and software, plantation and agriculture, financial and insurance services, and other retail trade. Findings The authors found different findings of mediating effect and direct relationship effect. Socialization knowledge process has directly influence IT/IS proactive capability and enterprise digital business transformation. Codification knowledge process has successfully support IT/IS proactive capability, but unsupported correlation on enterprise digital business transformation. Also, IT/IS proactive capability positively influence enterprise digital business transformation. Enterprise business process suffers when the firm transform their business process into digital-based only using codification knowledge practices because documented knowledge (codification type) is not strong enough to help company in the way of enterprise digital business transformation. Mediating role show IT/IS proactive capability is crucial approach for enterprise business transformation to maximize codification knowledge practices. The findings present one fully supported results of mediation role through IT/IS proactive capability. A stronger support for enterprise IT/IS strategy in company, a high opportunity for codification knowledge practices to improve the digital ways to transform the enterprise business process. In short, the results can guide enterprise managers on how to manage their knowledge resources and maximizing emerging technologies to achieve enterprise digital business transformation. Research limitations/implications The authors acknowledged that future studies would be worthwhile to create, develop and strengthen the model and its related foundation. Future research may try different concept/theory that applicable in enterprise digital business transformation. Also, an opportunity for future study is how enterprise digital business transformation in different context of industries with the current emerging technologies (e.g. IoT, big data, AI). Originality/value This study offers a theoretical and conceptual framework to the applicable digital-based within enterprise business transformation context. A knowledge/novel contribution of this study is the integration of a sociotechnical that highly relevant and drives enterprise digital business transformation. This study also is an effort to combine some areas such as business transformation strategy, knowledge-intensive business services, knowledge management and IT/IS.</v>
      </c>
      <c r="O27" s="9" t="s">
        <v>1460</v>
      </c>
      <c r="P27" s="9" t="s">
        <v>1461</v>
      </c>
      <c r="Q27" s="6"/>
      <c r="R27" s="6"/>
      <c r="S27" s="6"/>
      <c r="T27" s="6"/>
      <c r="U27" s="6"/>
      <c r="V27" s="43" t="s">
        <v>1462</v>
      </c>
      <c r="W27" s="6"/>
      <c r="X27" s="6"/>
      <c r="Y27" s="6"/>
      <c r="Z27" s="6"/>
    </row>
    <row r="28">
      <c r="A28" s="2" t="s">
        <v>18</v>
      </c>
      <c r="B28" s="2" t="s">
        <v>1463</v>
      </c>
      <c r="C28" s="2" t="s">
        <v>18</v>
      </c>
      <c r="D28" s="2" t="s">
        <v>1464</v>
      </c>
      <c r="E28" s="2"/>
      <c r="F28" s="2" t="s">
        <v>18</v>
      </c>
      <c r="G28" s="9" t="s">
        <v>1465</v>
      </c>
      <c r="H28" s="9" t="s">
        <v>23</v>
      </c>
      <c r="I28" s="9">
        <v>2022.0</v>
      </c>
      <c r="J28" s="40" t="s">
        <v>1466</v>
      </c>
      <c r="K28" s="10" t="s">
        <v>1467</v>
      </c>
      <c r="L28" s="9">
        <v>101844.0</v>
      </c>
      <c r="M28" s="40" t="str">
        <f t="shared" si="1"/>
        <v>Title: Graph-based managing and mining of processes and data in the domain of intellectual property</v>
      </c>
      <c r="N28" s="41" t="str">
        <f t="shared" si="2"/>
        <v>Abstract: Digitalization of knowledge work in communication-intensive domains such as intellectual property protection poses great challenges but also opportunities to improve today’s working environments. The legal domain is strongly characterized by knowledge work, whereby, despite a common legal framework, creativity of individual experts is decisive. This knowledge-intensive work deals with a great amount of data objects, not only as a working basis, but also as a result. While experts heavily follow individual working styles, they still rely on a vast amount of administrative tasks, which are carried out by the supporting staff. These tasks are expected to be performed regularly, reliably and without errors, despite necessary adjustments to the current case and the changing legal framework. Today, knowledge work and administrative tasks are typically supported by different tools that are hardly integrated. Therefore, the tracing of continuous work processes based on exchanged data objects is a great challenge. This traceability is crucial, not only for legal security reasons, but also to enable mining and learning of applicable knowledge about processes. In this paper, we propose a bottom-up approach, which applies a continuously evolving graph of integrated data objects and tasks to model and store static and dynamic aspects of administrative as well as knowledge work, and test the approach in a real-world setting in the domain of intellectual property. We further present initial results of a novel dependency-based mining approach to learn data-dependent task sequences in the graph-based model and discuss several methods for enabling privacy-preserving sharing and mining.</v>
      </c>
      <c r="O28" s="9" t="s">
        <v>1468</v>
      </c>
      <c r="P28" s="10" t="s">
        <v>1469</v>
      </c>
      <c r="Q28" s="6"/>
      <c r="R28" s="6"/>
      <c r="S28" s="6"/>
      <c r="T28" s="6"/>
      <c r="U28" s="6"/>
      <c r="V28" s="6"/>
      <c r="W28" s="6"/>
      <c r="X28" s="6"/>
      <c r="Y28" s="6"/>
      <c r="Z28" s="6"/>
    </row>
    <row r="29">
      <c r="A29" s="2" t="s">
        <v>18</v>
      </c>
      <c r="B29" s="2" t="s">
        <v>1470</v>
      </c>
      <c r="C29" s="2" t="s">
        <v>18</v>
      </c>
      <c r="D29" s="2" t="s">
        <v>1471</v>
      </c>
      <c r="E29" s="2"/>
      <c r="F29" s="2" t="s">
        <v>1357</v>
      </c>
      <c r="G29" s="9" t="s">
        <v>1472</v>
      </c>
      <c r="H29" s="9" t="s">
        <v>23</v>
      </c>
      <c r="I29" s="9">
        <v>2024.0</v>
      </c>
      <c r="J29" s="40" t="s">
        <v>1473</v>
      </c>
      <c r="K29" s="10" t="s">
        <v>1474</v>
      </c>
      <c r="L29" s="9" t="s">
        <v>1475</v>
      </c>
      <c r="M29" s="40" t="str">
        <f t="shared" si="1"/>
        <v>Title: Graphics based business process harnessing tools, advancing digital maturity of business</v>
      </c>
      <c r="N29" s="41" t="str">
        <f t="shared" si="2"/>
        <v>Abstract: Purpose The advancement of digital maturity at a business level has proven to be challenging, with limited time, resources and skills in extracting and mapping business processes. In order to advance digitalization, the mapping of all business activities is essential. To close this gap, this research is aimed at enabling the operational level extraction and classification of business activities using a graphical methodology. This objective is accomplished through the development of a digital tool that leverages Software Development Life Cycle (SDLC) principles. Design/methodology/approach This research is focused on facilitating rapid extraction of business activities with the adoption of a graphical methodology. Business activities are captured through a digital tool in a structured, interlinked and hierarchical manner. Findings Notably, this work is novel as it introduces a new graphical tool to replace traditional tools in the domain of Business Process Mapping (BPM). This graphical tool is distinguished by a unique feature; that is a self-configuring database with the flexibility to capture all process options, providing innovative solutions to the challenges faced in digitalizing business processes. Originality/value This work is original in that a new graphical interface is developed to replace traditional tools in the space of BP data gathering. The unique challenge of an auto configuring database with flexibility to capture all process options is presented.</v>
      </c>
      <c r="O29" s="9" t="s">
        <v>1476</v>
      </c>
      <c r="P29" s="9" t="s">
        <v>1477</v>
      </c>
      <c r="Q29" s="6"/>
      <c r="R29" s="6"/>
      <c r="S29" s="6"/>
      <c r="T29" s="6"/>
      <c r="U29" s="6"/>
      <c r="V29" s="6"/>
      <c r="W29" s="6"/>
      <c r="X29" s="6"/>
      <c r="Y29" s="6"/>
      <c r="Z29" s="6"/>
    </row>
    <row r="30">
      <c r="A30" s="2" t="s">
        <v>20</v>
      </c>
      <c r="B30" s="2" t="s">
        <v>1478</v>
      </c>
      <c r="C30" s="2" t="s">
        <v>20</v>
      </c>
      <c r="D30" s="2" t="s">
        <v>1479</v>
      </c>
      <c r="E30" s="2"/>
      <c r="F30" s="2" t="s">
        <v>1357</v>
      </c>
      <c r="G30" s="9" t="s">
        <v>1480</v>
      </c>
      <c r="H30" s="9" t="s">
        <v>23</v>
      </c>
      <c r="I30" s="9">
        <v>2024.0</v>
      </c>
      <c r="J30" s="40" t="s">
        <v>1481</v>
      </c>
      <c r="K30" s="10" t="s">
        <v>1482</v>
      </c>
      <c r="L30" s="9" t="s">
        <v>1483</v>
      </c>
      <c r="M30" s="40" t="str">
        <f t="shared" si="1"/>
        <v>Title: Improving care pathways through BPM and telemedicine: an Italian study</v>
      </c>
      <c r="N30" s="41" t="str">
        <f t="shared" si="2"/>
        <v>Abstract: Purpose The future increase of chronic diseases in the world requires new challenges in the health domain to improve patients' care from the point of view of the organizational processes, clinical pathways and technological solutions of digital health. For this reason, the present paper aims to focus on the study and application of well-known clinical practices and efficient organizational approaches through an innovative model (TALIsMAn) to support new care process redesign and digitalization for chronic patients. Design/methodology/approach In addition to specific clinical models employed to manage chronic conditions such as the Population Health Management and Chronic Care Model, we introduce a Business Process Management methodology implementation supported by a set of e-health technologies, in order to manage Care Pathways (CPs) digitalization and procedures improvement. Findings This study shows that telemedicine services with advanced devices and technologies are not enough to provide significant changes in the healthcare sector if other key aspects such as health processes, organizational systems, interactions between actors and responsibilities are not considered and improved. Therefore, new clinical models and organizational approaches are necessary together with a deep technological change, otherwise, theoretical benefits given by telemedicine services, which often employ advanced Information and Communication Technology (ICT) systems and devices, may not be translated into effective enhancements. They are obtained not only through the implementation of single telemedicine services, but integrating them in a wider digital ecosystem, where clinicians are supported in different clinical steps they have to perform. Originality/value The present work defines a novel methodological framework based on organizational, clinical and technological innovation, in order to redesign the territorial care for people with chronic diseases. This innovative ecosystem applied in the Italian research project TALIsMAn is based on the concept of a continuum of care and digitalization of CPs supported by Business Process Management System and telemedicine services. The main goal is to organize the different socio-medical activities in a unique and integrated IT system that should be sustainable, scalable and replicable.</v>
      </c>
      <c r="O30" s="9" t="s">
        <v>1484</v>
      </c>
      <c r="P30" s="9" t="s">
        <v>1485</v>
      </c>
      <c r="Q30" s="6"/>
      <c r="R30" s="6"/>
      <c r="S30" s="6"/>
      <c r="T30" s="6"/>
      <c r="U30" s="6"/>
      <c r="V30" s="6"/>
      <c r="W30" s="6"/>
      <c r="X30" s="6"/>
      <c r="Y30" s="6"/>
      <c r="Z30" s="6"/>
    </row>
    <row r="31">
      <c r="A31" s="2" t="s">
        <v>18</v>
      </c>
      <c r="B31" s="2" t="s">
        <v>1486</v>
      </c>
      <c r="C31" s="2" t="s">
        <v>18</v>
      </c>
      <c r="D31" s="2" t="s">
        <v>1487</v>
      </c>
      <c r="E31" s="2"/>
      <c r="F31" s="2" t="s">
        <v>18</v>
      </c>
      <c r="G31" s="9" t="s">
        <v>1488</v>
      </c>
      <c r="H31" s="9" t="s">
        <v>23</v>
      </c>
      <c r="I31" s="9">
        <v>2021.0</v>
      </c>
      <c r="J31" s="40" t="s">
        <v>1489</v>
      </c>
      <c r="K31" s="10" t="s">
        <v>1490</v>
      </c>
      <c r="L31" s="9">
        <v>107620.0</v>
      </c>
      <c r="M31" s="40" t="str">
        <f t="shared" si="1"/>
        <v>Title: In-situ monitoring the effect of acoustic vibration in the form of music on the motility of Escherichia coli</v>
      </c>
      <c r="N31" s="41" t="str">
        <f t="shared" si="2"/>
        <v>Abstract: In this work, a new analytical approach combining optical microscope with software was carried out to study the effect of music on bacteria and to explore its potential mechanism. The stimulation of classical music (Flight of the Bumblebee) with different frequencies (range from 55 Hz to 4186 Hz) and tempos (range from 25 BPM to 250 BPM) was transmitted in the form of vibration by the apparatus which was bone conduction to Escherichia coli MG1655. The increment of E. coli motility affected by Flight of the Bumblebee was quantified by two approaches. One was indirect motility assay and the other was the in-situ monitoring on the swimming behavior of E. coli under the optical microscope. The in-situ monitoring was conducted by combining optical microscope with software which enabled real-time observation on the swimming behavior of E. coli. Both results showed that different frequencies and tempos of musical vibration affected the motility to a different extent. With comparison, it was found that the music with higher frequency and faster tempo could enhance more on the motility. Above findings suggest this new analytical approach could be applied for investigating the motility of E. coli, and also a potential mechanism to modulate biological cells for future digital therapeutic and medical device applications.</v>
      </c>
      <c r="O31" s="9" t="s">
        <v>1491</v>
      </c>
      <c r="P31" s="9" t="s">
        <v>1492</v>
      </c>
      <c r="Q31" s="6"/>
      <c r="R31" s="6"/>
      <c r="S31" s="6"/>
      <c r="T31" s="6"/>
      <c r="U31" s="6"/>
      <c r="V31" s="6"/>
      <c r="W31" s="6"/>
      <c r="X31" s="6"/>
      <c r="Y31" s="6"/>
      <c r="Z31" s="6"/>
    </row>
    <row r="32">
      <c r="A32" s="2" t="s">
        <v>18</v>
      </c>
      <c r="B32" s="2" t="s">
        <v>1493</v>
      </c>
      <c r="C32" s="2" t="s">
        <v>18</v>
      </c>
      <c r="D32" s="2" t="s">
        <v>1494</v>
      </c>
      <c r="E32" s="2"/>
      <c r="F32" s="2" t="s">
        <v>18</v>
      </c>
      <c r="G32" s="9" t="s">
        <v>1495</v>
      </c>
      <c r="H32" s="9" t="s">
        <v>23</v>
      </c>
      <c r="I32" s="9">
        <v>2025.0</v>
      </c>
      <c r="J32" s="40" t="s">
        <v>1496</v>
      </c>
      <c r="K32" s="10" t="s">
        <v>1497</v>
      </c>
      <c r="L32" s="9">
        <v>100912.0</v>
      </c>
      <c r="M32" s="40" t="str">
        <f t="shared" si="1"/>
        <v>Title: Industrial digital twins based on enterprise modeling: architecture, methodology, and engineering applications</v>
      </c>
      <c r="N32" s="41" t="str">
        <f t="shared" si="2"/>
        <v>Abstract: As AI technology increasingly permeates industrial applications, scenario management within the context of industrial intelligence presents a complex, multidisciplinary, and spatiotemporally coupled challenge. The integration characteristics of cyber-physical-social systems make Digital Twins (DT) a promising solution. However, constructing an effective DT model for such scenarios necessitates the incorporation of detailed industrial knowledge related to the corresponding data. Formal modeling serves as a unified cognitive approach and a robust foundation for system development. Hence, this paper focuses on the scenario management challenges within the industrial intelligence context and introduces the concept of using formal modeling languages as the foundation for DTs. We propose a model management architecture and a modeling methodology tailored for scenario-specific digital twins and provide a corresponding metamodel for the modeling approach. To validate the efficacy of our architecture and models, we analyze a multi-enterprise network collaboration scenario in remote maintenance of engineering machinery. This exploration not only demonstrates the validity of the proposed models and architecture but also offers a conceptual DT model for enhancing remote machinery maintenance.</v>
      </c>
      <c r="O32" s="9" t="s">
        <v>1498</v>
      </c>
      <c r="P32" s="9" t="s">
        <v>1499</v>
      </c>
      <c r="Q32" s="6"/>
      <c r="R32" s="6"/>
      <c r="S32" s="6"/>
      <c r="T32" s="6"/>
      <c r="U32" s="6"/>
      <c r="V32" s="6"/>
      <c r="W32" s="6"/>
      <c r="X32" s="6"/>
      <c r="Y32" s="6"/>
      <c r="Z32" s="6"/>
    </row>
    <row r="33">
      <c r="A33" s="2" t="s">
        <v>18</v>
      </c>
      <c r="B33" s="2" t="s">
        <v>1500</v>
      </c>
      <c r="C33" s="2" t="s">
        <v>18</v>
      </c>
      <c r="D33" s="2" t="s">
        <v>1501</v>
      </c>
      <c r="E33" s="2"/>
      <c r="F33" s="2" t="s">
        <v>18</v>
      </c>
      <c r="G33" s="9" t="s">
        <v>1502</v>
      </c>
      <c r="H33" s="9" t="s">
        <v>23</v>
      </c>
      <c r="I33" s="9">
        <v>2025.0</v>
      </c>
      <c r="J33" s="40" t="s">
        <v>1503</v>
      </c>
      <c r="K33" s="10" t="s">
        <v>1504</v>
      </c>
      <c r="L33" s="12"/>
      <c r="M33" s="40" t="str">
        <f t="shared" si="1"/>
        <v>Title: Integrating a Multimodal Digital Device for Continuous Perioperative Monitoring in Patients With Lung Cancer Undergoing Thoracic Surgery: Development and Usability Study</v>
      </c>
      <c r="N33" s="41" t="str">
        <f t="shared" si="2"/>
        <v>Abstract: Background Minimally invasive thoracic surgery has improved lung cancer outcomes but requires enhanced postoperative care. Traditionally, the episodic care model has limited timely and multidimensional monitoring of patients. Recent technological advances in multimodal digital devices, including wearable devices and electronic patient-reported outcomes (ePROs), offer a promising solution to these challenges. However, current studies focus on only a few parameters and limited application in thoracic surgery. Objective This study aims to propose a self-controlled study to evaluate the feasibility and reliability of multimodal digital devices, including wearables and ePROs, for continuous perioperative monitoring to enhance recovery after thoracic surgery. Methods We included 288 patients with non–small cell lung cancer from the Guangzhou Medical University cohort, which includes 2757 participants with various lung diseases. Digital data were collected during hospitalization using a commercial smartwatch combined with an ePROs questionnaire, while clinical data were obtained from electronic health records (EHRs). Agreement between the digital device and EHR was evaluated via Bland-Altman analysis. Time-series data were normalized for continuous outlier monitoring, and threshold analysis of ePROs scores were used to explore associations across different modules. Results Throughout hospitalization, digital devices provided a subjective overview of the patients’ recovery trajectories. Results of Bland-Altman analysis demonstrated a high level of agreement between the digital device and the EHR. For body temperature, the analysis revealed a minimal bias of 0.02 °C (95% CI –0.01 °C to 0.05 °C), the agreement for heart rate showed a bias of 0.26 beats per minute (bpm; 95% CI –0.49 bpm to 1.01 bpm), and the bias for oxygen saturation was –0.06% (95% CI –0.27% to 0.15%), indicating close alignment between the 2 measurement methods. Meanwhile, wearable devices demonstrate significant potential in outlier detection compared to the episodic care model, offering accurate and sensitive monitoring of outliers between traditional measurement intervals. Using a thresholding method, we found that wearable metrics were correlated with the severity of ePROs. Conclusions These findings highlight the reliability and clinical potential of digital device–based multimodal systems within the enhanced recovery after surgery framework, offering a novel approach for continuous perioperative monitoring.</v>
      </c>
      <c r="O33" s="9" t="s">
        <v>1505</v>
      </c>
      <c r="P33" s="9" t="s">
        <v>1506</v>
      </c>
      <c r="Q33" s="6"/>
      <c r="R33" s="6"/>
      <c r="S33" s="6"/>
      <c r="T33" s="6"/>
      <c r="U33" s="6"/>
      <c r="V33" s="6"/>
      <c r="W33" s="6"/>
      <c r="X33" s="6"/>
      <c r="Y33" s="6"/>
      <c r="Z33" s="6"/>
    </row>
    <row r="34">
      <c r="A34" s="2" t="s">
        <v>18</v>
      </c>
      <c r="B34" s="2" t="s">
        <v>1507</v>
      </c>
      <c r="C34" s="2" t="s">
        <v>18</v>
      </c>
      <c r="D34" s="2" t="s">
        <v>1508</v>
      </c>
      <c r="E34" s="2"/>
      <c r="F34" s="2" t="s">
        <v>18</v>
      </c>
      <c r="G34" s="9" t="s">
        <v>1509</v>
      </c>
      <c r="H34" s="9" t="s">
        <v>23</v>
      </c>
      <c r="I34" s="9">
        <v>2024.0</v>
      </c>
      <c r="J34" s="40" t="s">
        <v>1510</v>
      </c>
      <c r="K34" s="10" t="s">
        <v>1511</v>
      </c>
      <c r="L34" s="9">
        <v>101244.0</v>
      </c>
      <c r="M34" s="40" t="str">
        <f t="shared" si="1"/>
        <v>Title: Measurement of respiratory rate with cardiac belt: Metrological characterization</v>
      </c>
      <c r="N34" s="41" t="str">
        <f t="shared" si="2"/>
        <v>Abstract: The rapid growth of available wearable technologies, particularly in the healthcare sector, has ushered in a new era of digital health. This progress has introduced new possibilities for the monitoring of vital signs, including breathing rate (BR). BR is a crucial health parameter used to assess an individual's overall well-being; specifically, it can be considered a precise indicator of pathological conditions and stressors. The aim of this study is to conduct a metrological characterization of one of the most widely used BR sensors for the measurement of BR (i.e., Zephyr BioHarness 3.0), comparing it to a BR gold standard monitor (i.e., a spirometer), in determined test conditions, including both natural and defined BR patterns. Additionally, the Monte Carlo method (MCM) was applied to evaluate the propagation of the measurement uncertainty in the identification of the peaks of respiratory signal, used to calculate BR. Results reveal that the Zephyr BioHarness 3.0 sensor provides highly accurate BR measurements, with a precision of ±1 bpm. Bland-Altman analysis indicates a 95 % confidence interval of [-2; 3] bpm, demonstrating a close agreement with the reference instrument. The Pearson's correlation coefficient of 0.95 further validates the linear correlation between the reference/test measurements. The simulation based on MCM provides an expanded uncertainty of ±2 bpm (coverage factor k = 2) in BR estimation due to the uncertainty in the peaks identification (compatible with the accuracy provided by the manufacturer). These results highlight the Zephyr BioHarness 3.0 sensor reliability for BR monitoring while emphasizing the significance of accounting for different disturbing factors, e.g., uncertainty in peak detection during data analysis, also to provide a rigorous level of confidence in the measurement results, hence being able to properly interpret them in biomedical applications.</v>
      </c>
      <c r="O34" s="9" t="s">
        <v>1512</v>
      </c>
      <c r="P34" s="9" t="s">
        <v>1513</v>
      </c>
      <c r="Q34" s="6"/>
      <c r="R34" s="6"/>
      <c r="S34" s="6"/>
      <c r="T34" s="6"/>
      <c r="U34" s="6"/>
      <c r="V34" s="6"/>
      <c r="W34" s="6"/>
      <c r="X34" s="6"/>
      <c r="Y34" s="6"/>
      <c r="Z34" s="6"/>
    </row>
    <row r="35">
      <c r="A35" s="2" t="s">
        <v>18</v>
      </c>
      <c r="B35" s="2" t="s">
        <v>1514</v>
      </c>
      <c r="C35" s="2" t="s">
        <v>18</v>
      </c>
      <c r="D35" s="2" t="s">
        <v>1515</v>
      </c>
      <c r="E35" s="2"/>
      <c r="F35" s="2" t="s">
        <v>18</v>
      </c>
      <c r="G35" s="9" t="s">
        <v>1516</v>
      </c>
      <c r="H35" s="9" t="s">
        <v>23</v>
      </c>
      <c r="I35" s="9">
        <v>2025.0</v>
      </c>
      <c r="J35" s="40" t="s">
        <v>1517</v>
      </c>
      <c r="K35" s="10" t="s">
        <v>1518</v>
      </c>
      <c r="L35" s="9">
        <v>110956.0</v>
      </c>
      <c r="M35" s="40" t="str">
        <f t="shared" si="1"/>
        <v>Title: Neck-focused Remote Photoplethysmography (rPPG): A comparative study using clinical data and the PyVHR framework</v>
      </c>
      <c r="N35" s="41" t="str">
        <f t="shared" si="2"/>
        <v>Abstract: Remote Photoplethysmography (rPPG) promises to turn digital cameras into medical devices with the measurement of heart rates, oxygen saturation and the diagnosis arrhythmias already demonstrated. The face-centric nature of current rPPG techniques limits open-datasets from including subjects with clinically-relevant cardiorespiratory conditions without sharing private medical information. The neck, with few identifiable characteristics, is well suited to overcoming this limitation, as it serves as a region of interest (ROI) for pulse detection during jugular venous examination, a common clinical technique. rPPG techniques hinge on the ability to accurately measure heart rates. This paper aims to motivate the development of neck-based rPPG technology by first showing that comparable heart-rate measurement accuracy can be achieved on the neck using rPPG algorithms developed for the face, and then investigating how subject posture affects measurement accuracy. We do this by using a version of the PyVHR framework adapted to process both necks and faces and using 20 different rPPG approaches. We introduce a novel metric, Heart-Rate Within Tolerance (HRWT) as a more intuitive metric for understanding the overall reliability of an rPPG approach. We found comparable heart rate measurement accuracy on a neck-centric dataset, compared with 5 face-centric datasets, with differences in mean absolute percentage error of 1.79 ± 4.93% BPM between the neck and faces. Neck videos were also found to have an improved HRWT, outperforming facial videos by an average of 15%. For neck-centric videos, subject posture was found to decrease performance as the subject moved from a supine, to seated position.</v>
      </c>
      <c r="O35" s="9" t="s">
        <v>1519</v>
      </c>
      <c r="P35" s="9" t="s">
        <v>1520</v>
      </c>
      <c r="Q35" s="6"/>
      <c r="R35" s="6"/>
      <c r="S35" s="6"/>
      <c r="T35" s="6"/>
      <c r="U35" s="6"/>
      <c r="V35" s="6"/>
      <c r="W35" s="6"/>
      <c r="X35" s="6"/>
      <c r="Y35" s="6"/>
      <c r="Z35" s="6"/>
    </row>
    <row r="36">
      <c r="A36" s="2" t="s">
        <v>18</v>
      </c>
      <c r="B36" s="2" t="s">
        <v>1521</v>
      </c>
      <c r="C36" s="2" t="s">
        <v>18</v>
      </c>
      <c r="D36" s="2" t="s">
        <v>1522</v>
      </c>
      <c r="E36" s="2"/>
      <c r="F36" s="2" t="s">
        <v>18</v>
      </c>
      <c r="G36" s="9" t="s">
        <v>1523</v>
      </c>
      <c r="H36" s="9" t="s">
        <v>23</v>
      </c>
      <c r="I36" s="9">
        <v>2024.0</v>
      </c>
      <c r="J36" s="40" t="s">
        <v>1524</v>
      </c>
      <c r="K36" s="10" t="s">
        <v>1525</v>
      </c>
      <c r="L36" s="9">
        <v>107825.0</v>
      </c>
      <c r="M36" s="40" t="str">
        <f t="shared" si="1"/>
        <v>Title: Novel statistical time series data augmentation and machine learning based classification of unobtrusive respiration data for respiration Digital Twin model</v>
      </c>
      <c r="N36" s="41" t="str">
        <f t="shared" si="2"/>
        <v>Abstract: Digital Twin (DT), a concept of Healthcare (4.0), represents the subject’s biological properties and characteristics in a digital model. DT can help in monitoring respiratory failures, enabling timely interventions, personalized treatment plans to improve healthcare, and decision-support for healthcare professionals. Large-scale implementation of DT technology requires extensive patient data for accurate monitoring and decision-making with Machine Learning (ML) and Deep Learning (DL). Initial respiration data was collected unobtrusively with the ESP32 Wi-Fi Channel State Information (CSI) sensor. Due to limited respiration data availability, the paper proposes a novel statistical time series data augmentation method for generating larger synthetic respiration data. To ensure accuracy and validity in the augmentation method, correlation methods (Pearson, Spearman, and Kendall) are implemented to provide a comparative analysis of experimental and synthetic datasets. Data processing methodologies of denoising (smoothing and filtering) and dimensionality reduction with Principal Component Analysis (PCA) are implemented to estimate a patient’s Breaths Per Minute (BPM) from raw respiration sensor data and the synthetic version. The methodology provided the BPM estimation accuracy of 92.3% from raw respiration data. It was observed that out of 27 supervised classifications with k-fold cross-validation, the Bagged Tree ensemble algorithm provided the best ML-supervised classification. In the case of binary-class and multi-class, the Bagged Tree ensemble showed accuracies of 89.2% and 83.7% respectively with combined real and synthetic respiration dataset with the larger synthetic dataset. Overall, this provides a blueprint of methodologies for the development of the respiration DT model.</v>
      </c>
      <c r="O36" s="9" t="s">
        <v>1526</v>
      </c>
      <c r="P36" s="9" t="s">
        <v>1527</v>
      </c>
      <c r="Q36" s="6"/>
      <c r="R36" s="6"/>
      <c r="S36" s="6"/>
      <c r="T36" s="6"/>
      <c r="U36" s="6"/>
      <c r="V36" s="6"/>
      <c r="W36" s="6"/>
      <c r="X36" s="6"/>
      <c r="Y36" s="6"/>
      <c r="Z36" s="6"/>
    </row>
    <row r="37">
      <c r="A37" s="2" t="s">
        <v>18</v>
      </c>
      <c r="B37" s="2" t="s">
        <v>1528</v>
      </c>
      <c r="C37" s="2" t="s">
        <v>18</v>
      </c>
      <c r="D37" s="2" t="s">
        <v>1529</v>
      </c>
      <c r="E37" s="2"/>
      <c r="F37" s="2" t="s">
        <v>18</v>
      </c>
      <c r="G37" s="9" t="s">
        <v>1530</v>
      </c>
      <c r="H37" s="9" t="s">
        <v>23</v>
      </c>
      <c r="I37" s="9">
        <v>2024.0</v>
      </c>
      <c r="J37" s="40" t="s">
        <v>1531</v>
      </c>
      <c r="K37" s="10" t="s">
        <v>1532</v>
      </c>
      <c r="L37" s="9">
        <v>114145.0</v>
      </c>
      <c r="M37" s="40" t="str">
        <f t="shared" si="1"/>
        <v>Title: Novel voltage Multiplier/Divider-based active square law detector for heartbeat measurement</v>
      </c>
      <c r="N37" s="41" t="str">
        <f t="shared" si="2"/>
        <v>Abstract: This paper describes a novel active voltage detector that is capable of processing analog signals with levels from units of mV up to 250 mV. An advantage of the proposed circuit is that the relationship between output voltage and input level is not linear but quadratic, which increases the sensitivity when processing low-level signals. The presented solution has tuning parameters for correction or intentional shift of internal DC offset and electronic control of the output signal gain level. The application example presents detection of beats per minute (BPM) in the range of 6–300 BPM, which corresponds to a frequency range of 0.1–5 Hz. The advantage of the presented solution is that the output of the circuit is directly a digital signal compatible with TTL levels, so there is no need for any analog to digital converter to produce a digital signal for further processing.</v>
      </c>
      <c r="O37" s="9" t="s">
        <v>1533</v>
      </c>
      <c r="P37" s="9" t="s">
        <v>1534</v>
      </c>
      <c r="Q37" s="6"/>
      <c r="R37" s="6"/>
      <c r="S37" s="6"/>
      <c r="T37" s="6"/>
      <c r="U37" s="6"/>
      <c r="V37" s="6"/>
      <c r="W37" s="6"/>
      <c r="X37" s="6"/>
      <c r="Y37" s="6"/>
      <c r="Z37" s="6"/>
    </row>
    <row r="38">
      <c r="A38" s="2" t="s">
        <v>20</v>
      </c>
      <c r="B38" s="2" t="s">
        <v>1535</v>
      </c>
      <c r="C38" s="2" t="s">
        <v>20</v>
      </c>
      <c r="D38" s="2" t="s">
        <v>1536</v>
      </c>
      <c r="E38" s="2"/>
      <c r="F38" s="2" t="s">
        <v>20</v>
      </c>
      <c r="G38" s="9" t="s">
        <v>1537</v>
      </c>
      <c r="H38" s="9" t="s">
        <v>23</v>
      </c>
      <c r="I38" s="9">
        <v>2021.0</v>
      </c>
      <c r="J38" s="40" t="s">
        <v>1538</v>
      </c>
      <c r="K38" s="10" t="s">
        <v>1539</v>
      </c>
      <c r="L38" s="9">
        <v>101689.0</v>
      </c>
      <c r="M38" s="40" t="str">
        <f t="shared" si="1"/>
        <v>Title: On the composition of the long tail of business processes: Implications from a process mining study</v>
      </c>
      <c r="N38" s="41" t="str">
        <f t="shared" si="2"/>
        <v>Abstract: Digital transformation forces companies to rethink their processes to meet current customer needs. Business Process Management (BPM) can provide the means to structure and tackle this change. However, most approaches to BPM face restrictions on the number of processes they can optimize at a time due to complexity and resource restrictions. Investigating this shortcoming, the concept of the long tail of business processes suggests a hybrid approach that entails managing important processes centrally, while incrementally improving the majority of processes at their place of execution. This study scrutinizes this observation as well as corresponding implications. First, we define a system of indicators to automatically prioritize processes based on execution data. Second, we use process mining to analyze processes from multiple companies to investigate the distribution of process value in terms of their process variants. Third, we examine the characteristics of the process variants contained in the short head and the long tail to derive and justify recommendations for their management. Our results suggest that the assumption of a long-tailed distribution holds across companies and indicators and also applies to the overall improvement potential of processes and their variants. Across all cases, process variants in the long tail were characterized by fewer customer contacts, lower execution frequencies, and a larger number of involved stakeholders, making them suitable candidates for distributed improvement</v>
      </c>
      <c r="O38" s="9" t="s">
        <v>1540</v>
      </c>
      <c r="P38" s="42" t="s">
        <v>1541</v>
      </c>
      <c r="Q38" s="6"/>
      <c r="R38" s="6"/>
      <c r="S38" s="6"/>
      <c r="T38" s="6"/>
      <c r="U38" s="6"/>
      <c r="V38" s="6"/>
      <c r="W38" s="6"/>
      <c r="X38" s="6"/>
      <c r="Y38" s="6"/>
      <c r="Z38" s="6"/>
    </row>
    <row r="39">
      <c r="A39" s="2" t="s">
        <v>18</v>
      </c>
      <c r="B39" s="2" t="s">
        <v>1542</v>
      </c>
      <c r="C39" s="2" t="s">
        <v>18</v>
      </c>
      <c r="D39" s="2" t="s">
        <v>1543</v>
      </c>
      <c r="E39" s="2"/>
      <c r="F39" s="2" t="s">
        <v>18</v>
      </c>
      <c r="G39" s="9" t="s">
        <v>1544</v>
      </c>
      <c r="H39" s="9" t="s">
        <v>23</v>
      </c>
      <c r="I39" s="9">
        <v>2026.0</v>
      </c>
      <c r="J39" s="40" t="s">
        <v>1545</v>
      </c>
      <c r="K39" s="10" t="s">
        <v>1546</v>
      </c>
      <c r="L39" s="9">
        <v>109240.0</v>
      </c>
      <c r="M39" s="40" t="str">
        <f t="shared" si="1"/>
        <v>Title: Physiological-model-based neural network for modeling the metabolic–heart rate relationship during physical activities</v>
      </c>
      <c r="N39" s="41" t="str">
        <f t="shared" si="2"/>
        <v>Abstract: Background and Objective: Heart failure (HF) poses a significant global health challenge, with early detection offering opportunities for improved outcomes. Abnormalities in heart rate (HR), particularly during daily activities, may serve as early indicators of HF risk. However, existing HR monitoring tools for HF detection are limited by their reliability on population-based averages. The estimation of individualized HR serves as a dynamic digital twin, enabling precise tracking of cardiac health biomarkers. Methods: This study introduces a novel physiological-model-based neural network (PMB-NN) framework to model the oxygen uptake (V̇O2)-HR relationship during physical activities, establishing a physiology-grounded intermediate module for future daily life HR estimation from body movement signals. PMB-NN embeds physiological constraints, derived from our proposed simplified metabolic–HR physiological model (PM), into the neural network training process. The framework was trained and tested on individual datasets from 25 participants engaged in activities including resting, cycling, and running. HR estimation performance was evaluated for PMB-NN, comparing with benchmark fully connected neural network (FCNN) and PM, across three dimensions: numerical accuracy, physiological plausibility, and physiological interpretability. Furthermore, sensitivity analysis was conducted to verify the model’s robustness against input uncertainty. Results: The PMB-NN model adheres to human physiological principles while achieving high estimation accuracy, with median R2 score of 0.88, RMSE of 9.96 bpm and MAE of 8.87 bpm, even in the presence of intermittent data. Comparative statistical analysis demonstrates that the PMB-NN achieves performance on par with FCNN while significantly outperforming PM (p&lt;0.001). Meanwhile, PMB-NN reaches higher plausibility for HR-V̇O2 coupling (ρ = 1) than both FCNN (p = 0.028) and PM (p&lt;0.001). Furthermore, PMB-NN is adept at identifying personalized parameters of the PM, enabling reasonable HR reconstruction. Sensitivity analysis reveals that PMB-NN yields an RMSE within 15 bpm despite input uncertainties of up to 20% Gaussian noise, 4% outliers, and an 18 s time lag. Conclusion: This study confirms the validity of the PMB-NN framework using precise metabolic inputs. This foundational validation enables future integration with wearable-based V̇O2 estimation systems, ultimately paving the way for personalized, real-time cardiac monitoring during daily life physical activities to enhance HF risk detection.</v>
      </c>
      <c r="O39" s="9" t="s">
        <v>1547</v>
      </c>
      <c r="P39" s="9" t="s">
        <v>1548</v>
      </c>
      <c r="Q39" s="6"/>
      <c r="R39" s="6"/>
      <c r="S39" s="6"/>
      <c r="T39" s="6"/>
      <c r="U39" s="6"/>
      <c r="V39" s="6"/>
      <c r="W39" s="6"/>
      <c r="X39" s="6"/>
      <c r="Y39" s="6"/>
      <c r="Z39" s="6"/>
    </row>
    <row r="40">
      <c r="A40" s="2" t="s">
        <v>18</v>
      </c>
      <c r="B40" s="2" t="s">
        <v>1549</v>
      </c>
      <c r="C40" s="2" t="s">
        <v>18</v>
      </c>
      <c r="D40" s="2" t="s">
        <v>1550</v>
      </c>
      <c r="E40" s="2"/>
      <c r="F40" s="2" t="s">
        <v>20</v>
      </c>
      <c r="G40" s="9" t="s">
        <v>1551</v>
      </c>
      <c r="H40" s="9" t="s">
        <v>23</v>
      </c>
      <c r="I40" s="9">
        <v>2026.0</v>
      </c>
      <c r="J40" s="40" t="s">
        <v>1552</v>
      </c>
      <c r="K40" s="10" t="s">
        <v>1553</v>
      </c>
      <c r="L40" s="9" t="s">
        <v>1554</v>
      </c>
      <c r="M40" s="40" t="str">
        <f t="shared" si="1"/>
        <v>Title: Process Discovery in Industrial Valve Maintenance Using NFC Technology: A Scalable Business Process Mapping Approach for SMEs</v>
      </c>
      <c r="N40" s="41" t="str">
        <f t="shared" si="2"/>
        <v>Abstract: This paper presents a real-world application of an automated Business Process Mapping (BPM) approach using the NFC-Tracer toolkit in an Italian SME operating in the industrial valve maintenance sector. The proposed method enables an effective data-driven reconstruction of production workflows through passive NFC event logging, without requiring prior knowledge of internal processes or personnel involvement. Over a two-week period, real-time data collection enabled the reconstruction of process sequences, the measurement of crossing times, and the identification of critical performance indicators. Statistical analysis was conducted to determine the best-fit cumulative distribution functions (CDFs) for each processing phase, offering insights into service levels and process variability—especially in relation to valve size. The results demonstrate the feasibility and value of autonomous Business Process Mapping (BPM) for SMEs, providing a lightweight and scalable solution to support digital transformation initiatives. Future developments will focus on extending the system’s capabilities with predictive analytics and real-time monitoring features.</v>
      </c>
      <c r="O40" s="9" t="s">
        <v>1555</v>
      </c>
      <c r="P40" s="9" t="s">
        <v>1556</v>
      </c>
      <c r="Q40" s="6"/>
      <c r="R40" s="6"/>
      <c r="S40" s="6"/>
      <c r="T40" s="6"/>
      <c r="U40" s="6"/>
      <c r="V40" s="6"/>
      <c r="W40" s="6"/>
      <c r="X40" s="6"/>
      <c r="Y40" s="6"/>
      <c r="Z40" s="6"/>
    </row>
    <row r="41">
      <c r="A41" s="2" t="s">
        <v>18</v>
      </c>
      <c r="B41" s="2" t="s">
        <v>1557</v>
      </c>
      <c r="C41" s="2" t="s">
        <v>18</v>
      </c>
      <c r="D41" s="2" t="s">
        <v>1558</v>
      </c>
      <c r="E41" s="2"/>
      <c r="F41" s="2" t="s">
        <v>18</v>
      </c>
      <c r="G41" s="9" t="s">
        <v>1559</v>
      </c>
      <c r="H41" s="9" t="s">
        <v>23</v>
      </c>
      <c r="I41" s="9">
        <v>2023.0</v>
      </c>
      <c r="J41" s="40" t="s">
        <v>1560</v>
      </c>
      <c r="K41" s="10" t="s">
        <v>1561</v>
      </c>
      <c r="L41" s="9">
        <v>102229.0</v>
      </c>
      <c r="M41" s="40" t="str">
        <f t="shared" si="1"/>
        <v>Title: Process fragments discovery from emails: Functional, data and behavioral perspectives discovery</v>
      </c>
      <c r="N41" s="41" t="str">
        <f t="shared" si="2"/>
        <v>Abstract: Significant research work has been conducted in the area of business process (BP) mining leading to mature solutions for discovering process knowledge. These solutions were generally limited to the analysis of structured event logs generated by BP management systems (BPMS). Given the recent spread of digital workplaces, there have been several initiatives to extend the scope of these analysis to consider other information systems (IS) supporting BP execution informally. More precisely, emailing systems have attracted much attention as they are widely used as alternative tools to collaboratively perform BP activities. However, due to the unstructured nature of email logs data, traditional process mining techniques could not be applied or at least not directly applied. Existing approaches that discovered BP from emails are usually supervised or at least require significant human intervention. They focused on discovering BP with respect to their behavioral perspective (i.e. that defines the conditions for activity execution) while neglecting the discovery of their data perspective (i.e. that defines the informational entities manipulated by BP activities). In addition, they did not studied how emailing systems are used in the context of BP executions. They assume that emailing systems are used in the same way employees use ordinary BPMS. However, employees actually use emails to perform poorly structured BP fragments (i.e. parts) rather than complete and well-structured ones. These BP fragments are not necessary defined in advance as in the case of BPMS. This induces the need to discover BP functional perspective (i.e. that defines what a BP performs and what are its activities). Furthermore, employees use emails with different purposes when talking about BP activities (e.g. information about activity execution, request or planning activity execution, etc.). This results in the occurrence of new event types referring to the purpose of considering activities in emails rather than events referring only to their execution. In this paper, we propose to discover BP from email logs with respect to their functional, data and behavioral perspectives. The paper first formalizes these perspectives. Then, it introduces a completely non-supervised approach for discovering them based on: (i) speech act detection for recognizing the purposes of considering activities in emails, (ii) overlapping clustering of activities to discover their manipulated artifacts (i.e. informational entities), (iii) overlapping clustering of BP elements (i.e. activities, artifacts and activity actors) to discover BP fragments and, (iv) mining sequencing constraints between event types deduced from activities and speech acts to discover behavioral perspective. Our approach is finally validated using the public email dataset Enron.</v>
      </c>
      <c r="O41" s="9" t="s">
        <v>1562</v>
      </c>
      <c r="P41" s="10" t="s">
        <v>1563</v>
      </c>
      <c r="Q41" s="6"/>
      <c r="R41" s="6"/>
      <c r="S41" s="6"/>
      <c r="T41" s="6"/>
      <c r="U41" s="6"/>
      <c r="V41" s="6"/>
      <c r="W41" s="6"/>
      <c r="X41" s="6"/>
      <c r="Y41" s="6"/>
      <c r="Z41" s="6"/>
    </row>
    <row r="42">
      <c r="A42" s="2" t="s">
        <v>18</v>
      </c>
      <c r="B42" s="2" t="s">
        <v>1564</v>
      </c>
      <c r="C42" s="2" t="s">
        <v>18</v>
      </c>
      <c r="D42" s="2" t="s">
        <v>1565</v>
      </c>
      <c r="E42" s="2"/>
      <c r="F42" s="2" t="s">
        <v>18</v>
      </c>
      <c r="G42" s="9" t="s">
        <v>1566</v>
      </c>
      <c r="H42" s="9" t="s">
        <v>23</v>
      </c>
      <c r="I42" s="9">
        <v>2024.0</v>
      </c>
      <c r="J42" s="40" t="s">
        <v>1567</v>
      </c>
      <c r="K42" s="10" t="s">
        <v>1568</v>
      </c>
      <c r="L42" s="9" t="s">
        <v>1569</v>
      </c>
      <c r="M42" s="40" t="str">
        <f t="shared" si="1"/>
        <v>Title: Process improvement of a paediatric feeding clinic</v>
      </c>
      <c r="N42" s="41" t="str">
        <f t="shared" si="2"/>
        <v>Abstract: Purpose The purpose of this study is to identify opportunities to improve processes within a paediatric feeding clinic to enhance timely patient access to healthcare through effective and efficient resource use. Design/methodology/approach The study involved three interrelated methods. First, de-identified feeding clinic data, collected over seven years, were analysed to understand patient appointments. Second, clinician workshops and the swim lane method were used to map feeding clinic processes. Third, root cause analysis was conducted to identify bottlenecks and identify improvement opportunities. Findings The results revealed three, poorly connected sub-processes within the feeding clinic – namely: the patient triaging and appointment scheduling or allocation process; the clinic reporting process; and the cancellation and rescheduling process. These sub-processes were poorly connected because of inadequate resources, few standardised processes, and limited coordination between the different processes. Consequently, patient appointments were typically delayed, and patient reports were not always completed in a timely manner. Processes within the paediatric feeding clinic could therefore be improved by using digital tools, patient portals and telehealth, online interventions, an automated appointment confirmation system, and/or an automated transcription of each appointment. Originality/value This is the first published study to apply business process management to a paediatric feeding clinic. By using three methods to clarify opportunities to improve clinic processes, it highlights the potential value of health information technology in this context. This evidence will enable health service managers to ensure that children with feeding difficulties have timely access to appropriate care.</v>
      </c>
      <c r="O42" s="9" t="s">
        <v>1570</v>
      </c>
      <c r="P42" s="9" t="s">
        <v>1571</v>
      </c>
      <c r="Q42" s="6"/>
      <c r="R42" s="6"/>
      <c r="S42" s="6"/>
      <c r="T42" s="6"/>
      <c r="U42" s="6"/>
      <c r="V42" s="6"/>
      <c r="W42" s="6"/>
      <c r="X42" s="6"/>
      <c r="Y42" s="6"/>
      <c r="Z42" s="6"/>
    </row>
    <row r="43">
      <c r="A43" s="2" t="s">
        <v>18</v>
      </c>
      <c r="B43" s="2" t="s">
        <v>1572</v>
      </c>
      <c r="C43" s="2" t="s">
        <v>18</v>
      </c>
      <c r="D43" s="2" t="s">
        <v>1573</v>
      </c>
      <c r="E43" s="2"/>
      <c r="F43" s="2" t="s">
        <v>18</v>
      </c>
      <c r="G43" s="9" t="s">
        <v>1574</v>
      </c>
      <c r="H43" s="9" t="s">
        <v>23</v>
      </c>
      <c r="I43" s="9">
        <v>2021.0</v>
      </c>
      <c r="J43" s="40" t="s">
        <v>1575</v>
      </c>
      <c r="K43" s="10" t="s">
        <v>1576</v>
      </c>
      <c r="L43" s="9" t="s">
        <v>1577</v>
      </c>
      <c r="M43" s="40" t="str">
        <f t="shared" si="1"/>
        <v>Title: Process modeling for smart factories: using science mapping to understand the strategic themes, main challenges and future trends</v>
      </c>
      <c r="N43" s="41" t="str">
        <f t="shared" si="2"/>
        <v>Abstract: Purpose The purpose of this paper is to identify the relationships between process modeling and Industry 4.0, the strategic themes and the most used process modeling language in smart factories. The study also presents the growth of the field of study worldwide, the perspectives, main challenges, trends and suggestions for future works. Design/methodology/approach To do this, a science mapping was performed using the software SciMAT, supported by VOS viewer. Findings The results show that the Business Process Model and Notation (BPMN), Unified Modelling Language (UML) and Petri Net are the most relevant languages to smart manufacturing. The authors also highlighted the need to develop new languages or extensions capable of representing the dynamism, interoperability and multiple technologies of smart factories. Originality/value It was possible to identify the most used process modeling languages in smart environments and understand how these languages assist control and manage smart processes. Besides, the authors highlighted challenges, new perspectives and the need for future works in the field.</v>
      </c>
      <c r="O43" s="9" t="s">
        <v>1578</v>
      </c>
      <c r="P43" s="9" t="s">
        <v>1579</v>
      </c>
      <c r="Q43" s="6"/>
      <c r="R43" s="6"/>
      <c r="S43" s="6"/>
      <c r="T43" s="6"/>
      <c r="U43" s="6"/>
      <c r="V43" s="6"/>
      <c r="W43" s="6"/>
      <c r="X43" s="6"/>
      <c r="Y43" s="6"/>
      <c r="Z43" s="6"/>
    </row>
    <row r="44">
      <c r="A44" s="2" t="s">
        <v>18</v>
      </c>
      <c r="B44" s="2" t="s">
        <v>1580</v>
      </c>
      <c r="C44" s="2" t="s">
        <v>18</v>
      </c>
      <c r="D44" s="2" t="s">
        <v>1581</v>
      </c>
      <c r="E44" s="2"/>
      <c r="F44" s="2" t="s">
        <v>18</v>
      </c>
      <c r="G44" s="9" t="s">
        <v>1582</v>
      </c>
      <c r="H44" s="9" t="s">
        <v>23</v>
      </c>
      <c r="I44" s="9">
        <v>2024.0</v>
      </c>
      <c r="J44" s="40" t="s">
        <v>1583</v>
      </c>
      <c r="K44" s="10" t="s">
        <v>1584</v>
      </c>
      <c r="L44" s="9" t="s">
        <v>1585</v>
      </c>
      <c r="M44" s="40" t="str">
        <f t="shared" si="1"/>
        <v>Title: Redesigning healthcare service delivery processes through medical chatbot integrations: balancing chatbot features and patients’ individual differences</v>
      </c>
      <c r="N44" s="41" t="str">
        <f t="shared" si="2"/>
        <v>Abstract: Purpose The utilization of virtual agents, particularly chatbots, within healthcare and medical contexts is witnessing exponential growth owing to their capacity to provide comprehensive support to patients throughout their healthcare journey, by reshaping the healthcare business processes. Such transformation in healthcare service delivery processes is enabled by those digital entities able to offer a preliminary screening and consultation platform, facilitating patients’ interactions with real medical professionals. However, when redesigning processes through the integration of new technologies, particular attention to the reactions of end users cannot be neglected. Thus, the purpose of this paper is investigating how both chatbots' features and patients' individual differences may shape a redesigned/renewed service in the healthcare sector. Design/methodology/approach Through two experimental studies (Study 1 and Study 2), we examined the impact of chatbot tone of voice (formal vs unformal) on patients’ behavioral responses, particularly their intention to use. Findings Our investigation shed light on chatbots’ characteristics in terms of perceived warmth, denoting the friendliness and empathy conveyed by the chatbot, and competence, reflecting its effectiveness in addressing user queries or tasks, when used to reshape the service delivery process; Moreover, we also shed light on the moderating role of emotional receptivity seeking, indicating that the emotionality and non-verbal communication between doctor and patient, cannot be overlooked even in innovative digital environments. Practical implications Managers and marketers could leverage insights from this study to tailor chatbot interactions, optimizing tone of voice to enhance patient engagement and satisfaction. By focusing on perceived warmth and competence, they can design more effective digital health solutions. Additionally, recognizing the role of emotional receptivity can guide strategies for integrating chatbots in a way that maintains a human touch in patient communications. Social implications Findings importantly underscore the relevance of chatbot in improving patient care, making digital interactions more empathetic and responsive. This relevance extends to business process management by demonstrating how integrating emotionally intelligent chatbots may contribute to better service delivery on the basis of personalized and effective healthcare experiences. Originality/value The originality of this paper is about the relevance of considering chatbots’ and final users’ characteristics to strategically plan healthcare services process redesign. Indeed, it examines chatbots' perceived warmth and competence in reshaping service delivery processes. Additionally, it highlights the moderating role of emotional receptivity seeking, emphasizing the importance of emotional communication in digital healthcare environments.</v>
      </c>
      <c r="O44" s="9" t="s">
        <v>1586</v>
      </c>
      <c r="P44" s="9" t="s">
        <v>1587</v>
      </c>
      <c r="Q44" s="6"/>
      <c r="R44" s="6"/>
      <c r="S44" s="6"/>
      <c r="T44" s="6"/>
      <c r="U44" s="6"/>
      <c r="V44" s="6"/>
      <c r="W44" s="6"/>
      <c r="X44" s="6"/>
      <c r="Y44" s="6"/>
      <c r="Z44" s="6"/>
    </row>
    <row r="45">
      <c r="A45" s="2" t="s">
        <v>18</v>
      </c>
      <c r="B45" s="2" t="s">
        <v>1588</v>
      </c>
      <c r="C45" s="2" t="s">
        <v>18</v>
      </c>
      <c r="D45" s="2" t="s">
        <v>1589</v>
      </c>
      <c r="E45" s="2"/>
      <c r="F45" s="2" t="s">
        <v>18</v>
      </c>
      <c r="G45" s="9" t="s">
        <v>1590</v>
      </c>
      <c r="H45" s="9" t="s">
        <v>23</v>
      </c>
      <c r="I45" s="9">
        <v>2022.0</v>
      </c>
      <c r="J45" s="40" t="s">
        <v>1591</v>
      </c>
      <c r="K45" s="10" t="s">
        <v>1592</v>
      </c>
      <c r="L45" s="9" t="s">
        <v>1593</v>
      </c>
      <c r="M45" s="40" t="str">
        <f t="shared" si="1"/>
        <v>Title: Rule-based Decision Support for No-Code Digitalized Processes</v>
      </c>
      <c r="N45" s="41" t="str">
        <f t="shared" si="2"/>
        <v>Abstract: Digitalized processes offer various advantages: uniform information flow, traceability of process progress, and enhanced analyzability. While these represent initial benefits from the digitalization of the process, a recurring evaluation and optimization of the process are required to sustain and improve process efficiency. For both non-digitalized and digitalized processes, the challenges for process owners are comparable. However, for digitalized processes, convenient tools facilitate process modifications. Particularly no-code digitalized processes exploit the opportunity for quick and agile process adaption with low efforts but require a structured and systematic method to ensure a quality-driven approach. This paper conceptualizes a rule-based decision support model for process improvement that takes advantage of digital traces recorded during process execution of digitalized processes. On the one hand, process mining techniques support data analysis and assist the extraction of process performance indicators as precursors to predict low process performance. On the other hand, process experts compile a list of recommendations for action in workshops and interviews to counteract low process efficiency. The approach to rule-based decision support developed in the scope of this research merges these two dimensions and constitutes an assistive tool for the continuous improvement of digitalized processes. Initial results of the model in practical application support this assessment and demonstrate further research needs.</v>
      </c>
      <c r="O45" s="9" t="s">
        <v>1594</v>
      </c>
      <c r="P45" s="9" t="s">
        <v>1595</v>
      </c>
      <c r="Q45" s="6"/>
      <c r="R45" s="6"/>
      <c r="S45" s="6"/>
      <c r="T45" s="6"/>
      <c r="U45" s="6"/>
      <c r="V45" s="6"/>
      <c r="W45" s="6"/>
      <c r="X45" s="6"/>
      <c r="Y45" s="6"/>
      <c r="Z45" s="6"/>
    </row>
    <row r="46">
      <c r="A46" s="2" t="s">
        <v>20</v>
      </c>
      <c r="B46" s="2" t="s">
        <v>1596</v>
      </c>
      <c r="C46" s="2" t="s">
        <v>18</v>
      </c>
      <c r="D46" s="2" t="s">
        <v>1597</v>
      </c>
      <c r="E46" s="2"/>
      <c r="F46" s="2" t="s">
        <v>20</v>
      </c>
      <c r="G46" s="9" t="s">
        <v>1598</v>
      </c>
      <c r="H46" s="9" t="s">
        <v>23</v>
      </c>
      <c r="I46" s="9">
        <v>2025.0</v>
      </c>
      <c r="J46" s="40" t="s">
        <v>1599</v>
      </c>
      <c r="K46" s="10" t="s">
        <v>1600</v>
      </c>
      <c r="L46" s="9" t="s">
        <v>1601</v>
      </c>
      <c r="M46" s="40" t="str">
        <f t="shared" si="1"/>
        <v>Title: Stakeholder Perspectives on AI in Low-Code BPM for Manufacturing⁎⁎This work was financed by Military University of Technology under research project UGB 701/2024.</v>
      </c>
      <c r="N46" s="41" t="str">
        <f t="shared" si="2"/>
        <v>Abstract: The increasing integration of advanced technologies and artificial intelligence (AI) into manufacturing and business processes drives the adoption of low-code development platforms (LCDPs). Key stakeholder expectations regarding AI support within these LCDPs, specifically within the context of manufacturing, are investigated in this paper, and critical gaps between these expectations and current platform offerings are identified. The perceived importance and impact of various AI features are assessed through a survey of Top Management, Process Owners, Process Participants, Customers, and IT Departments in manufacturing settings. The findings reveal significant disparities in priorities across stakeholder groups within this sector.</v>
      </c>
      <c r="O46" s="9" t="s">
        <v>1602</v>
      </c>
      <c r="P46" s="9" t="s">
        <v>1603</v>
      </c>
      <c r="Q46" s="6"/>
      <c r="R46" s="6"/>
      <c r="S46" s="6"/>
      <c r="T46" s="6"/>
      <c r="U46" s="6"/>
      <c r="V46" s="6"/>
      <c r="W46" s="6"/>
      <c r="X46" s="6"/>
      <c r="Y46" s="6"/>
      <c r="Z46" s="6"/>
    </row>
    <row r="47">
      <c r="A47" s="2" t="s">
        <v>18</v>
      </c>
      <c r="B47" s="2" t="s">
        <v>1604</v>
      </c>
      <c r="C47" s="2" t="s">
        <v>18</v>
      </c>
      <c r="D47" s="2" t="s">
        <v>1605</v>
      </c>
      <c r="E47" s="2"/>
      <c r="F47" s="2" t="s">
        <v>1357</v>
      </c>
      <c r="G47" s="9" t="s">
        <v>1606</v>
      </c>
      <c r="H47" s="9" t="s">
        <v>23</v>
      </c>
      <c r="I47" s="9">
        <v>2022.0</v>
      </c>
      <c r="J47" s="40" t="s">
        <v>1607</v>
      </c>
      <c r="K47" s="10" t="s">
        <v>1608</v>
      </c>
      <c r="L47" s="9" t="s">
        <v>1609</v>
      </c>
      <c r="M47" s="40" t="str">
        <f t="shared" si="1"/>
        <v>Title: Success factors of process digitalization projects – insights from an exploratory study</v>
      </c>
      <c r="N47" s="41" t="str">
        <f t="shared" si="2"/>
        <v>Abstract: Purpose In an exploratory approach, the authors conducted a structured literature review to extract candidate process digitalization project (PDP) success factors (SFs) from the literature on business process management (BPM), project management (PM) and digitalization. After that, the authors validated, refined and extended these intermediate results through interviews with 21 members of diverse PDP teams. Finally, the authors proposed the PDP success model by linking the candidate SFs with relevant success criteria. Design/methodology/approach Digitalization substantially impacts organizations, which increasingly use digital technologies (DTs) to improve and innovate their business processes. While there are methods and tools for identifying process digitalization ideas and related projects (PDPs), guidance on the successful implementation of PDPs is missing. Hence, the authors set out to explore PDP SFs. Findings The PDP success model covers 38 PDP success factor candidates, whereof 28 are already backed by the literature and ten have emerged during the interviews. Furthermore, the SFs are structured according to seven categories from the literature covering a broad range of sociotechnical topics (i.e. strategy, structure, culture, people, process, project and technology) as well as equipped with preliminary success rationales. Originality/value The work is the first to systematically explore PDP SFs. The PDP success model shows that PDPs require a unique set of SFs, which combine established and hitherto underrepresented knowledge. It extends the knowledge on BPM and serves as foundation for future (confirmatory) research on business process digitalization and the successful implementation of PDPs.</v>
      </c>
      <c r="O47" s="9" t="s">
        <v>1610</v>
      </c>
      <c r="P47" s="9" t="s">
        <v>1611</v>
      </c>
      <c r="Q47" s="6"/>
      <c r="R47" s="6"/>
      <c r="S47" s="6"/>
      <c r="T47" s="6"/>
      <c r="U47" s="6"/>
      <c r="V47" s="6"/>
      <c r="W47" s="6"/>
      <c r="X47" s="6"/>
      <c r="Y47" s="6"/>
      <c r="Z47" s="6"/>
    </row>
    <row r="48">
      <c r="A48" s="2" t="s">
        <v>18</v>
      </c>
      <c r="B48" s="2" t="s">
        <v>1612</v>
      </c>
      <c r="C48" s="2" t="s">
        <v>18</v>
      </c>
      <c r="D48" s="2" t="s">
        <v>1613</v>
      </c>
      <c r="E48" s="2"/>
      <c r="F48" s="2" t="s">
        <v>18</v>
      </c>
      <c r="G48" s="9" t="s">
        <v>1614</v>
      </c>
      <c r="H48" s="9" t="s">
        <v>23</v>
      </c>
      <c r="I48" s="9">
        <v>2023.0</v>
      </c>
      <c r="J48" s="40" t="s">
        <v>1615</v>
      </c>
      <c r="K48" s="10" t="s">
        <v>1616</v>
      </c>
      <c r="L48" s="9">
        <v>103837.0</v>
      </c>
      <c r="M48" s="40" t="str">
        <f t="shared" si="1"/>
        <v>Title: The biggest business process management problems to solve before we die</v>
      </c>
      <c r="N48" s="41" t="str">
        <f t="shared" si="2"/>
        <v>Abstract: It may be tempting for researchers to stick to incremental extensions of their current work to plan future research activities. Yet there is also merit in realizing the grand challenges in one’s field. This paper presents an overview of the nine major research problems for the Business Process Management discipline. These challenges have been collected by an open call to the community, discussed and refined in a workshop setting, and described here in detail, including a motivation why these problems are worth investigating. This overview may serve the purpose of inspiring both novice and advanced scholars who are interested in the radical new ideas for the analysis, design, and management of work processes using information technology.</v>
      </c>
      <c r="O48" s="9" t="s">
        <v>1617</v>
      </c>
      <c r="P48" s="9" t="s">
        <v>1618</v>
      </c>
      <c r="Q48" s="6"/>
      <c r="R48" s="6"/>
      <c r="S48" s="6"/>
      <c r="T48" s="6"/>
      <c r="U48" s="6"/>
      <c r="V48" s="6"/>
      <c r="W48" s="6"/>
      <c r="X48" s="6"/>
      <c r="Y48" s="6"/>
      <c r="Z48" s="6"/>
    </row>
    <row r="49">
      <c r="A49" s="2" t="s">
        <v>18</v>
      </c>
      <c r="B49" s="2" t="s">
        <v>1619</v>
      </c>
      <c r="C49" s="2" t="s">
        <v>18</v>
      </c>
      <c r="D49" s="2" t="s">
        <v>1620</v>
      </c>
      <c r="E49" s="2"/>
      <c r="F49" s="2" t="s">
        <v>18</v>
      </c>
      <c r="G49" s="9" t="s">
        <v>1621</v>
      </c>
      <c r="H49" s="9" t="s">
        <v>23</v>
      </c>
      <c r="I49" s="9">
        <v>2024.0</v>
      </c>
      <c r="J49" s="40" t="s">
        <v>1622</v>
      </c>
      <c r="K49" s="10" t="s">
        <v>1623</v>
      </c>
      <c r="L49" s="9" t="s">
        <v>1624</v>
      </c>
      <c r="M49" s="40" t="str">
        <f t="shared" si="1"/>
        <v>Title: The Role of Business Process Management in Digital Innovation and Digital Transformation: A Systematic Literature Review</v>
      </c>
      <c r="N49" s="41" t="str">
        <f t="shared" si="2"/>
        <v>Abstract: Business Process Management (BPM) is an approach that aims to improve organizational performance and flexibility through managing business processes. Digital Innovation (DI) and Digital Transformation (DT) are phenomena that relate to the use of digital technology to create new value for organizations and customers. This article explores the role of BPM in supporting DI and DT in organizations and how to implement BPM in an organization with a Systematic Literature Review (SLR). The search results, inclusion and exclusion criteria, and relevance assessment yielded 34 relevant articles. We found that BPM, DI, and DT interact with each other in various ways and have some theoretical and practical implications for researchers and practitioners.</v>
      </c>
      <c r="O49" s="9" t="s">
        <v>1625</v>
      </c>
      <c r="P49" s="9" t="s">
        <v>1626</v>
      </c>
      <c r="Q49" s="6"/>
      <c r="R49" s="6"/>
      <c r="S49" s="6"/>
      <c r="T49" s="6"/>
      <c r="U49" s="6"/>
      <c r="V49" s="6"/>
      <c r="W49" s="6"/>
      <c r="X49" s="6"/>
      <c r="Y49" s="6"/>
      <c r="Z49" s="6"/>
    </row>
    <row r="50">
      <c r="A50" s="2" t="s">
        <v>18</v>
      </c>
      <c r="B50" s="2" t="s">
        <v>1627</v>
      </c>
      <c r="C50" s="2" t="s">
        <v>18</v>
      </c>
      <c r="D50" s="2" t="s">
        <v>1628</v>
      </c>
      <c r="E50" s="2"/>
      <c r="F50" s="2" t="s">
        <v>18</v>
      </c>
      <c r="G50" s="9" t="s">
        <v>1629</v>
      </c>
      <c r="H50" s="9" t="s">
        <v>23</v>
      </c>
      <c r="I50" s="9">
        <v>2024.0</v>
      </c>
      <c r="J50" s="40" t="s">
        <v>1630</v>
      </c>
      <c r="K50" s="10" t="s">
        <v>1631</v>
      </c>
      <c r="L50" s="9" t="s">
        <v>1632</v>
      </c>
      <c r="M50" s="40" t="str">
        <f t="shared" si="1"/>
        <v>Title: The use of business and technology management (BTM) integrated practice in business development initiatives – an ADR cycle</v>
      </c>
      <c r="N50" s="41" t="str">
        <f t="shared" si="2"/>
        <v>Abstract: Purpose The paper reports a study that evaluated the effectiveness and usefulness of Business and Technology Management (BTM), a management practice for formulating business digital strategies that address organization, processes and technology in an integrative way. Design/methodology/approach The research followed action design research guidelines that combine the methodological principles of design science research and action research. Findings Evidence from the study confirmed the adequacy and usefulness of BTM as a solution to an old management problem of internal fit, synergies, alignment or strategic integration. It also led to an improvement in its way of working, namely, a management practice with four process stages: (1) define trade objectives, (2) design an integrated business model, (3) manage the business transformation and execution and (4) evaluate the results obtained. Research limitations/implications The study exemplifies how practice research can be used within a long-term research pursuit to provide empirical evidence that permits evaluating and improving a research-originated management approach. Practical implications Being a theory-for-action, BTM has direct relevance for managers engaged in defining organizational and technological strategies connected with business results. The paper discloses an improved version of BTM together with a description of its application in a medium-sized company operating in the tourism sector. Originality/value BTM addresses a recurrent issue raised by researchers and practitioners concerning a failure to bring different management perspectives together when formulating a strategy. Therefore, its value lies in its ability to assist in the integration of management perspectives into business development initiatives.</v>
      </c>
      <c r="O50" s="9" t="s">
        <v>1633</v>
      </c>
      <c r="P50" s="9" t="s">
        <v>1634</v>
      </c>
      <c r="Q50" s="6"/>
      <c r="R50" s="6"/>
      <c r="S50" s="6"/>
      <c r="T50" s="6"/>
      <c r="U50" s="6"/>
      <c r="V50" s="6"/>
      <c r="W50" s="6"/>
      <c r="X50" s="6"/>
      <c r="Y50" s="6"/>
      <c r="Z50" s="6"/>
    </row>
    <row r="51">
      <c r="A51" s="2" t="s">
        <v>18</v>
      </c>
      <c r="B51" s="2" t="s">
        <v>1635</v>
      </c>
      <c r="C51" s="2" t="s">
        <v>18</v>
      </c>
      <c r="D51" s="2" t="s">
        <v>1636</v>
      </c>
      <c r="E51" s="2"/>
      <c r="F51" s="2" t="s">
        <v>18</v>
      </c>
      <c r="G51" s="9" t="s">
        <v>1637</v>
      </c>
      <c r="H51" s="9" t="s">
        <v>23</v>
      </c>
      <c r="I51" s="9">
        <v>2023.0</v>
      </c>
      <c r="J51" s="40" t="s">
        <v>1638</v>
      </c>
      <c r="K51" s="10" t="s">
        <v>1639</v>
      </c>
      <c r="L51" s="9">
        <v>103744.0</v>
      </c>
      <c r="M51" s="40" t="str">
        <f t="shared" si="1"/>
        <v>Title: Towards a method to quantitatively measure toolchain interoperability in the engineering lifecycle: A case study of digital hardware design</v>
      </c>
      <c r="N51" s="41" t="str">
        <f t="shared" si="2"/>
        <v>Abstract: The engineering lifecycle of cyber-physical systems is becoming more challenging than ever. Multiple engineering disciplines must be orchestrated to produce both a virtual and physical version of the system. Each engineering discipline makes use of their own methods and tools generating different types of work products that must be consistently linked together and reused throughout the lifecycle. Requirements, logical/descriptive and physical/analytical models, 3D designs, test case descriptions, product lines, ontologies, evidence argumentations, and many other work products are continuously being produced and integrated to implement the technical engineering and technical management processes established in standards such as the ISO/IEC/IEEE 15288:2015 “Systems and software engineering-System life cycle processes”. Toolchains are then created as a set of collaborative tools to provide an executable version of the required technical processes. In this engineering environment, there is a need for technical interoperability enabling tools to easily exchange data and invoke operations among them under different protocols, formats, and schemas. However, this automation of tasks and lifecycle processes does not come free of charge. Although enterprise integration patterns, shared and standardized data schemas and business process management tools are being used to implement toolchains, the reality shows that in many cases, the integration of tools within a toolchain is implemented through point-to-point connectors or applying some architectural style such as a communication bus to ease data exchange and to invoke operations. In this context, the ability to measure the current and expected degree of interoperability becomes relevant: 1) to understand the implications of defining a toolchain (need of different protocols, formats, schemas and tool interconnections) and 2) to measure the effort to implement the desired toolchain. To improve the management of the engineering lifecycle, a method is defined: 1) to measure the degree of interoperability within a technical engineering process implemented with a toolchain and 2) to estimate the effort to transition from an existing toolchain to another. A case study in the field of digital hardware design comprising 6 different technical engineering processes and 7 domain engineering tools is conducted to demonstrate and validate the proposed method.</v>
      </c>
      <c r="O51" s="9" t="s">
        <v>1640</v>
      </c>
      <c r="P51" s="9" t="s">
        <v>1641</v>
      </c>
      <c r="Q51" s="6"/>
      <c r="R51" s="6"/>
      <c r="S51" s="6"/>
      <c r="T51" s="6"/>
      <c r="U51" s="6"/>
      <c r="V51" s="6"/>
      <c r="W51" s="6"/>
      <c r="X51" s="6"/>
      <c r="Y51" s="6"/>
      <c r="Z51" s="6"/>
    </row>
    <row r="52">
      <c r="A52" s="2" t="s">
        <v>18</v>
      </c>
      <c r="B52" s="2" t="s">
        <v>1642</v>
      </c>
      <c r="C52" s="2" t="s">
        <v>18</v>
      </c>
      <c r="D52" s="2" t="s">
        <v>1643</v>
      </c>
      <c r="E52" s="2"/>
      <c r="F52" s="2" t="s">
        <v>18</v>
      </c>
      <c r="G52" s="9" t="s">
        <v>1644</v>
      </c>
      <c r="H52" s="9" t="s">
        <v>23</v>
      </c>
      <c r="I52" s="9">
        <v>2024.0</v>
      </c>
      <c r="J52" s="40" t="s">
        <v>1645</v>
      </c>
      <c r="K52" s="10" t="s">
        <v>1646</v>
      </c>
      <c r="L52" s="12"/>
      <c r="M52" s="40" t="str">
        <f t="shared" si="1"/>
        <v>Title: Towards the Path of Process Digitalization:</v>
      </c>
      <c r="N52" s="41" t="str">
        <f t="shared" si="2"/>
        <v>Abstract: ABSTRACT Organizations continue to have difficulty achieving the full potential of digital transformation (DT). DT can be conceived as a process of change in the business model, driven by digital innovation and the intensive use of ICTs to add value to the customer, processes and the business itself in way to change, threaten or complement the market. This research aims to review the literature on digital transformation and create a framework for the description of its benefits, challenges, critical success factors, and digital technologies. The framework was developed from a set of 112 articles retrieved by a systematic literature review that underwent bibliometric analysis. The most frequently cited technologies were cloud computing, artificial intelligence, the Internet of Things, and Big Data. Their impact on organizations’ processes is discussed. Agility is the critical factor that stood out from the rest. The main benefit identified was innovation. The main challenges identified were resistance to change and a lack of skills. The framework helps better predict how internal processes will be affected by digital transformation.</v>
      </c>
      <c r="O52" s="9" t="s">
        <v>1647</v>
      </c>
      <c r="P52" s="9" t="s">
        <v>1648</v>
      </c>
      <c r="Q52" s="6"/>
      <c r="R52" s="6"/>
      <c r="S52" s="6"/>
      <c r="T52" s="6"/>
      <c r="U52" s="6"/>
      <c r="V52" s="6"/>
      <c r="W52" s="6"/>
      <c r="X52" s="6"/>
      <c r="Y52" s="6"/>
      <c r="Z52" s="6"/>
    </row>
    <row r="53">
      <c r="A53" s="2" t="s">
        <v>18</v>
      </c>
      <c r="B53" s="2" t="s">
        <v>1649</v>
      </c>
      <c r="C53" s="2" t="s">
        <v>18</v>
      </c>
      <c r="D53" s="2" t="s">
        <v>1650</v>
      </c>
      <c r="E53" s="2"/>
      <c r="F53" s="2" t="s">
        <v>18</v>
      </c>
      <c r="G53" s="9" t="s">
        <v>1651</v>
      </c>
      <c r="H53" s="9" t="s">
        <v>23</v>
      </c>
      <c r="I53" s="9">
        <v>2021.0</v>
      </c>
      <c r="J53" s="40" t="s">
        <v>1652</v>
      </c>
      <c r="K53" s="10" t="s">
        <v>1653</v>
      </c>
      <c r="L53" s="9" t="s">
        <v>1654</v>
      </c>
      <c r="M53" s="40" t="str">
        <f t="shared" si="1"/>
        <v>Title: Translating transparency into value: an approach to design IoT solutions</v>
      </c>
      <c r="N53" s="41" t="str">
        <f t="shared" si="2"/>
        <v>Abstract: Purpose This research proposes and demonstrates a framework that can be used to systematically address the idiosyncratic design of Internet of Things (IoT)-based solutions, and to match the explorative aspects of introducing a new technology to the exploitative needs, to improve the performance of production operations. Design/methodology/approach Due to the applied nature of this research, a design science research (DSR) framework was adopted in order to ensure both the rigor and applicability of the outcomes. Findings A process excellence perspective, operationalized through a business process management approach, is applied to scope the solution space according to its exploitative potential. The mapping of the information flow that needs to be established defines the technological infrastructure of the solution. Research limitations/implications The theoretical generalizability of the proposed framework is limited by a testing sample of a single case. The research implications are related to a call for the contextualization of IoT applications. Further research will involve the application of this approach to a diverse range of industrial settings. While the domain is far from saturated, a framework that can facilitate such investigations has been provided. Practical implications The proposed framework provides practitioners with an approach to designing IoT solutions that can consistently address their needs for operational performance improvements. Originality/value This research proposes a framework that links the enabling of transparency via the integration of IoT in production operations to contextual characteristics and business potential. Furthermore, it highlights the developmental drivers of IoT solutions, which emerged during the empirical demonstration of this framework.</v>
      </c>
      <c r="O53" s="9" t="s">
        <v>1655</v>
      </c>
      <c r="P53" s="9" t="s">
        <v>1656</v>
      </c>
      <c r="Q53" s="6"/>
      <c r="R53" s="6"/>
      <c r="S53" s="6"/>
      <c r="T53" s="6"/>
      <c r="U53" s="6"/>
      <c r="V53" s="6"/>
      <c r="W53" s="6"/>
      <c r="X53" s="6"/>
      <c r="Y53" s="6"/>
      <c r="Z53" s="6"/>
    </row>
    <row r="54">
      <c r="A54" s="2" t="s">
        <v>18</v>
      </c>
      <c r="B54" s="2" t="s">
        <v>1657</v>
      </c>
      <c r="C54" s="2" t="s">
        <v>18</v>
      </c>
      <c r="D54" s="2" t="s">
        <v>1658</v>
      </c>
      <c r="E54" s="2"/>
      <c r="F54" s="2" t="s">
        <v>18</v>
      </c>
      <c r="G54" s="9" t="s">
        <v>1659</v>
      </c>
      <c r="H54" s="9" t="s">
        <v>23</v>
      </c>
      <c r="I54" s="9">
        <v>2024.0</v>
      </c>
      <c r="J54" s="40" t="s">
        <v>1660</v>
      </c>
      <c r="K54" s="10" t="s">
        <v>1661</v>
      </c>
      <c r="L54" s="9">
        <v>100388.0</v>
      </c>
      <c r="M54" s="40" t="str">
        <f t="shared" si="1"/>
        <v>Title: Trends in sensor-based health metrics during and after pregnancy: descriptive data from the apple women's health study</v>
      </c>
      <c r="N54" s="41" t="str">
        <f t="shared" si="2"/>
        <v>Abstract: Background While it is known that vital signs and behaviors change during pregnancy, there is limited data on timing and scale of changes for sensor-derived health metrics across pregnancy and postpartum. Wearable technology provides an opportunity to understand physiologic and behavioral changes across pregnancy with greater detail, more frequent measurements, and improved accuracy. The aim of this study is to describe changes in physiologic and behavioral sensor-based health metrics during pregnancy and postpartum in the Apple Women's Health Study (AWHS) and their relationship to demographic factors. Methods The Apple Women's Health Study is a digital, longitudinal, observational study that includes U.S. residents with an iPhone and Apple Watch. We evaluated changes from pre-pregnancy through delivery and postpartum for sensor-derived health metrics. Minimum required data samples per day, week and overall were data element specific, and included 12 weeks prior to pregnancy start, and 12 weeks postpartum for pregnancies lasting between 24 and 43 weeks. Findings A total of 757 pregnancies from 733 participants were included. Resting heart rate (RHR) increased across pregnancy, peaking in the third trimester (pre-pregnancy median RHR 65.0 beats per minute [BPM], interquartile range [IQR] 60.0–70.2 B.M. third trimester median RHR 75.5 B.M. IQR 69.0–82.0 B.M., with a decrease prior to delivery and nadir postpartum (postpartum median RHR 62.0 B.M. IQR 57.0–66.0 B.M.. Heart rate variability (HRV) decreased from pre-pregnancy (39.9 milliseconds, IQR 32.6–48.3 milliseconds), reaching a nadir in the third trimester (29.9 milliseconds, IQR 25.2–36.4 milliseconds), before rebounding in the last weeks of pregnancy. Measures of activity, such as exercise minutes, stand minutes, step count and Cardio Fitness were all decreased in each trimester compared to pre-pregnancy, with their nadirs postpartum. Total sleep duration increased slightly in early pregnancy (pre-pregnancy 7.2 hours, IQR 6.7–7.7 hours; 1st trimester 7.4 hours, IQR 6.8–7.9 hours), with the lowest sleep duration postpartum (6.2 hours, IQR 5.4–6.8 hours). Interpretation Resting heart rate increased during pregnancy, with a decrease prior to delivery, while heart rate variability decreased across pregnancy, with an upward trend before delivery. Behavioral metrics, such as exercise and sleep, showed decreasing trends during and after pregnancy. These data provide a foundation for understanding normal pregnancy physiology and can facilitate hypothesis generation related to physiology, behavior, pregnancy outcomes and disease.</v>
      </c>
      <c r="O54" s="9" t="s">
        <v>1662</v>
      </c>
      <c r="P54" s="9" t="s">
        <v>1663</v>
      </c>
      <c r="Q54" s="6"/>
      <c r="R54" s="6"/>
      <c r="S54" s="6"/>
      <c r="T54" s="6"/>
      <c r="U54" s="6"/>
      <c r="V54" s="6"/>
      <c r="W54" s="6"/>
      <c r="X54" s="6"/>
      <c r="Y54" s="6"/>
      <c r="Z54" s="6"/>
    </row>
    <row r="55">
      <c r="A55" s="2" t="s">
        <v>18</v>
      </c>
      <c r="B55" s="2" t="s">
        <v>1664</v>
      </c>
      <c r="C55" s="2" t="s">
        <v>18</v>
      </c>
      <c r="D55" s="2" t="s">
        <v>1665</v>
      </c>
      <c r="E55" s="2"/>
      <c r="F55" s="2" t="s">
        <v>18</v>
      </c>
      <c r="G55" s="9" t="s">
        <v>1666</v>
      </c>
      <c r="H55" s="9" t="s">
        <v>23</v>
      </c>
      <c r="I55" s="9">
        <v>2024.0</v>
      </c>
      <c r="J55" s="40" t="s">
        <v>1667</v>
      </c>
      <c r="K55" s="10" t="s">
        <v>1668</v>
      </c>
      <c r="L55" s="9" t="s">
        <v>1669</v>
      </c>
      <c r="M55" s="40" t="str">
        <f t="shared" si="1"/>
        <v>Title: Unlocking the potential of digital innovations on BPM: a bibliometric and systematic literature review</v>
      </c>
      <c r="N55" s="41" t="str">
        <f t="shared" si="2"/>
        <v>Abstract: Purpose This study aims to perform a bibliometric and systematic literature review (SLR) to elucidate the current landscape and to propose a framework that defines and explores research strands to guide the formulation of business process management (BPM) strategies anchored in digital innovations. Design/methodology/approach A bibliometric analysis of 238 papers from the last 10 years (2014–2023) that were correlated to BPM strategies and digital innovations was conducted. Additionally, a SLR was performed on 15 selected papers, making it possible to propose a framework that explored research strands through the content analysis. Findings A framework comprising eight research strands (value creation; ambidexterity; governance; agility in processes; strategic process management; external context and culture and integrated systems) was developed. It proposes a research agenda and provides valuable insights as a reference for formulating BPM organizational strategies anchored in digital innovations. Research limitations/implications This study acknowledges the limitation of utilizing a single software for bibliometric analysis. The framework developed in this study has not yet been validated. Practical implications This paper provides insights to assist managers in comprehending BPM strategies anchored in digital innovations and calls for organizations to prepare for future digital needs. Social implications This paper contributes to advancing our understanding of BPM aligned with the demands of a digital age society. Originality/value The developed framework sheds light on the current landscape and research strands that explore the association between digital innovations and BPM strategies. This provides a valuable opportunity for future qualitative and quantitative studies to explore the eight research strands presented in the framework.</v>
      </c>
      <c r="O55" s="9" t="s">
        <v>1670</v>
      </c>
      <c r="P55" s="9" t="s">
        <v>1671</v>
      </c>
      <c r="Q55" s="6"/>
      <c r="R55" s="6"/>
      <c r="S55" s="6"/>
      <c r="T55" s="6"/>
      <c r="U55" s="6"/>
      <c r="V55" s="6"/>
      <c r="W55" s="6"/>
      <c r="X55" s="6"/>
      <c r="Y55" s="6"/>
      <c r="Z55" s="6"/>
    </row>
    <row r="56">
      <c r="A56" s="2" t="s">
        <v>20</v>
      </c>
      <c r="B56" s="2" t="s">
        <v>1672</v>
      </c>
      <c r="C56" s="2" t="s">
        <v>20</v>
      </c>
      <c r="D56" s="2" t="s">
        <v>1673</v>
      </c>
      <c r="E56" s="2"/>
      <c r="F56" s="2" t="s">
        <v>1357</v>
      </c>
      <c r="G56" s="9" t="s">
        <v>1674</v>
      </c>
      <c r="H56" s="9" t="s">
        <v>23</v>
      </c>
      <c r="I56" s="9">
        <v>2024.0</v>
      </c>
      <c r="J56" s="40" t="s">
        <v>1675</v>
      </c>
      <c r="K56" s="10" t="s">
        <v>1676</v>
      </c>
      <c r="L56" s="9" t="s">
        <v>1677</v>
      </c>
      <c r="M56" s="40" t="str">
        <f t="shared" si="1"/>
        <v>Title: Unlocking the promise of process mining: shaping perceptions and impact in the public sector</v>
      </c>
      <c r="N56" s="41" t="str">
        <f t="shared" si="2"/>
        <v>Abstract: Purpose Worldwide challenges impose public organizations to rethink their processes and satisfactorily meet citizens’ needs. Process mining (PM) techniques enable organizations to objectively analyse and improve their processes, by providing higher process transparency and efficiency. However, extant literature on PM applications in the public sector reveals there is still limited evidence on the opportunities and challenges perceived from PM introduction in the public sector, and on PM potential to enhance public sector digital transformation: this study aims to fill these gaps. Design/methodology/approach Based on Business Process Management and digital innovation fields of research, we administered a questionnaire to a sample of Italian civil servants working in different public organizations to investigate their perceptions of PM opportunities and challenges and the extent to which it can support public sector digital transformation. A three-level analysis was conducted to inspect findings with different levels of granularity, and results were analysed both descriptively and quantitatively. Findings We found a positive attitude towards PM introduction in the public sector, and perceived opportunities and challenges related to both the technical and the social systems. The triangulation between close-ended and open-ended questions suggests that PM could be the missing link between public sector digitalization and digital transformation. These findings can be used by policymakers to develop the best strategies to introduce PM into public organizations and support its adoption, and by researchers to further explore PM role in public sector digital transformation. Originality/value Despite PM claiming to push digital transformation, it is not clear if it is also true for public sector organizations. This paper addresses this gap and it is among the first attempts to explore PM from civil servants’ viewpoint to investigate their perceptions of PM opportunities and challenges, as well as the variables that influence these perceptions.</v>
      </c>
      <c r="O56" s="9" t="s">
        <v>1678</v>
      </c>
      <c r="P56" s="9" t="s">
        <v>1679</v>
      </c>
      <c r="Q56" s="6"/>
      <c r="R56" s="6"/>
      <c r="S56" s="6"/>
      <c r="T56" s="6"/>
      <c r="U56" s="6"/>
      <c r="V56" s="6"/>
      <c r="W56" s="6"/>
      <c r="X56" s="6"/>
      <c r="Y56" s="6"/>
      <c r="Z56" s="6"/>
    </row>
    <row r="57">
      <c r="A57" s="2" t="s">
        <v>18</v>
      </c>
      <c r="B57" s="2" t="s">
        <v>1680</v>
      </c>
      <c r="C57" s="2" t="s">
        <v>18</v>
      </c>
      <c r="D57" s="2" t="s">
        <v>1681</v>
      </c>
      <c r="E57" s="2"/>
      <c r="F57" s="2" t="s">
        <v>18</v>
      </c>
      <c r="G57" s="9" t="s">
        <v>1666</v>
      </c>
      <c r="H57" s="9" t="s">
        <v>23</v>
      </c>
      <c r="I57" s="9">
        <v>2024.0</v>
      </c>
      <c r="J57" s="40" t="s">
        <v>1682</v>
      </c>
      <c r="K57" s="10" t="s">
        <v>1683</v>
      </c>
      <c r="L57" s="9" t="s">
        <v>1684</v>
      </c>
      <c r="M57" s="40" t="str">
        <f t="shared" si="1"/>
        <v>Title: Unraveling the trends in business process management: a comprehensive bibliometric analysis of management and business literature</v>
      </c>
      <c r="N57" s="41" t="str">
        <f t="shared" si="2"/>
        <v>Abstract: Purpose This study aims to analyze international scientific production from 1960 to 2023 on business process management (BPM), highlighting the latest trends in BPM in the field of management and business during the 21st century. Design/methodology/approach We conducted a bibliometric analysis of 729 BPM articles from management and business journals using the SCOPUS database and VOSviewer software to map the scholarly landscape. Findings Nearly 45% of the papers were published between 2018 and 2023, prominently featuring the Business Process Management Journal. The University of São Paulo and Queensland University of Technology were the most prolific institutions. Significant emerging trends identified include Strategic Management, Digital Transformation, and IoT. Author Röglinger was noted for the highest publication rate. Research limitations/implications The analysis was restricted to journal articles from one database, potentially overlooking insights from conferences, books, and other formats. Practical implications The study highlights the significant benefits of integrating technologies like Artificial Intelligence and IoT in BPM, improving operational efficiency, competitiveness, and innovation in adaptability and service personalization. Social implications Technological advancements in BPM could enhance employment, require new skills, support a sustainable economy, and improve organizational transparency and service accessibility, bolstering corporate social responsibility and inclusion. Originality/value This research offers a unique overview of the integration of emerging technologies in BPM, shedding light on their strategic and social implications, and providing critical insights for optimizing processes and fostering business innovation.</v>
      </c>
      <c r="O57" s="9" t="s">
        <v>1685</v>
      </c>
      <c r="P57" s="9" t="s">
        <v>1686</v>
      </c>
      <c r="Q57" s="6"/>
      <c r="R57" s="6"/>
      <c r="S57" s="6"/>
      <c r="T57" s="6"/>
      <c r="U57" s="6"/>
      <c r="V57" s="6"/>
      <c r="W57" s="6"/>
      <c r="X57" s="6"/>
      <c r="Y57" s="6"/>
      <c r="Z57" s="6"/>
    </row>
    <row r="58">
      <c r="A58" s="2" t="s">
        <v>20</v>
      </c>
      <c r="B58" s="2" t="s">
        <v>1687</v>
      </c>
      <c r="C58" s="2" t="s">
        <v>18</v>
      </c>
      <c r="D58" s="2" t="s">
        <v>1688</v>
      </c>
      <c r="E58" s="2"/>
      <c r="F58" s="2" t="s">
        <v>1357</v>
      </c>
      <c r="G58" s="9" t="s">
        <v>1689</v>
      </c>
      <c r="H58" s="9" t="s">
        <v>23</v>
      </c>
      <c r="I58" s="9">
        <v>2025.0</v>
      </c>
      <c r="J58" s="40" t="s">
        <v>1690</v>
      </c>
      <c r="K58" s="10" t="s">
        <v>1691</v>
      </c>
      <c r="L58" s="9" t="s">
        <v>1692</v>
      </c>
      <c r="M58" s="40" t="str">
        <f t="shared" si="1"/>
        <v>Title: Unveiling how business process management capabilities foster dynamic decision-making for effectiveness of sustainable digital transformation</v>
      </c>
      <c r="N58" s="41" t="str">
        <f t="shared" si="2"/>
        <v>Abstract: Purpose This research aims at investigating how business process management capabilities (BPMC) impact the effectiveness of sustainable digital transformation (ESDT). Furthermore, it delves into the mediation of dynamic decision-making (DDM) in the relationship between BPMC and ESDT. Design/methodology/approach This research employed the hypothetico-deductive technique. The statistical database was generated from sample of 712 respondents from small and medium companies (SMEs) in Vietnam, utilizing convenience and snowball sampling methods. The two-step process utilizing structural equation modeling, supported by SmartPLS version 4.1.0.9 and AMOS 28, was employed to assess the measurement model, while SmartPLS version 4.1.0.9 was used to evaluate the structural model. Findings The results of the analysis emphasize significant and positive correlations between the proposed constructs related to significance and effect size. The statistical results indicated that BPMC had a significant and beneficial effect on ESDT. This relationship was partially mediated by DMM. Practical implications The salient point emphasized that practitioners should prioritize enhancing focus on BPMC and DDM, as this would significantly facilitate more comprehensive solutions, enabling SMEs to achieve optimal success in sustainable digital transformation. Policymakers and government influencers are urged to concentrate on innovative attributes and ensure a conducive environment for the implementation of innovation by enacting regulations that promote the application of digital technology. Originality/value The findings of this study will broaden scholars’ understanding of the influence of BPMC on ESDT. The originality of the research is to provide research directions for advancing studies on the role of DDM in the context of sustainable digital transformation.</v>
      </c>
      <c r="O58" s="9" t="s">
        <v>1693</v>
      </c>
      <c r="P58" s="9" t="s">
        <v>1694</v>
      </c>
      <c r="Q58" s="6"/>
      <c r="R58" s="6"/>
      <c r="S58" s="6"/>
      <c r="T58" s="6"/>
      <c r="U58" s="6"/>
      <c r="V58" s="6"/>
      <c r="W58" s="6"/>
      <c r="X58" s="6"/>
      <c r="Y58" s="6"/>
      <c r="Z58" s="6"/>
    </row>
    <row r="59">
      <c r="A59" s="2" t="s">
        <v>18</v>
      </c>
      <c r="B59" s="2" t="s">
        <v>1695</v>
      </c>
      <c r="C59" s="2" t="s">
        <v>18</v>
      </c>
      <c r="D59" s="2" t="s">
        <v>1696</v>
      </c>
      <c r="E59" s="2"/>
      <c r="F59" s="2" t="s">
        <v>18</v>
      </c>
      <c r="G59" s="9" t="s">
        <v>1697</v>
      </c>
      <c r="H59" s="9" t="s">
        <v>23</v>
      </c>
      <c r="I59" s="9">
        <v>2023.0</v>
      </c>
      <c r="J59" s="40" t="s">
        <v>1698</v>
      </c>
      <c r="K59" s="10" t="s">
        <v>1699</v>
      </c>
      <c r="L59" s="9">
        <v>114043.0</v>
      </c>
      <c r="M59" s="40" t="str">
        <f t="shared" si="1"/>
        <v>Title: Utilizing the omnipresent: Incorporating digital documents into predictive process monitoring using deep neural networks</v>
      </c>
      <c r="N59" s="41" t="str">
        <f t="shared" si="2"/>
        <v>Abstract: Predictive process monitoring (PPM) allows companies to improve the efficiency of their business processes by predicting aspects such as the process outcome, the next event, or the time until the next event. So far, existing studies have mainly focused on developing novel predictive models while using features solely from event logs. In this study, we aim to go beyond log data and increase the focus of PPM research towards external context information. To this end, we consider digital documents as they are omnipresent in many business processes and their inclusion can often be justified by a business rationale. However, incorporating digital documents into PPM models poses considerable challenges as they present unstructured data that can contain visual and textual cues of future process behavior, while manual feature extraction is generally not feasible. Therefore, we propose an approach that processes digital documents based on automated visual and textual feature extraction methods. Furthermore, we design a tailored integration module which transforms the extracted features from multiple document pages into a fixed-size representation that subsequently serves as input for the predictive models. Our evaluation, based on a real-world dataset of insurance claims from a mid-sized German insurance company, featuring 5131 process instances with 32,058 events and 39,242 document pages, shows that incorporating digital documents improves the performance by significant margins in predicting the damage type, the next event, and the time until the next event. Finally, we analyze how digital documents contribute to the model’s predictions in terms of Shapley additive explanations.</v>
      </c>
      <c r="O59" s="9" t="s">
        <v>1700</v>
      </c>
      <c r="P59" s="9" t="s">
        <v>1701</v>
      </c>
      <c r="Q59" s="6"/>
      <c r="R59" s="6"/>
      <c r="S59" s="6"/>
      <c r="T59" s="6"/>
      <c r="U59" s="6"/>
      <c r="V59" s="6"/>
      <c r="W59" s="6"/>
      <c r="X59" s="6"/>
      <c r="Y59" s="6"/>
      <c r="Z59" s="6"/>
    </row>
    <row r="60">
      <c r="A60" s="2" t="s">
        <v>18</v>
      </c>
      <c r="B60" s="2" t="s">
        <v>1702</v>
      </c>
      <c r="C60" s="2" t="s">
        <v>18</v>
      </c>
      <c r="D60" s="2" t="s">
        <v>1703</v>
      </c>
      <c r="E60" s="2"/>
      <c r="F60" s="2" t="s">
        <v>18</v>
      </c>
      <c r="G60" s="9" t="s">
        <v>1704</v>
      </c>
      <c r="H60" s="9" t="s">
        <v>23</v>
      </c>
      <c r="I60" s="9">
        <v>2025.0</v>
      </c>
      <c r="J60" s="40" t="s">
        <v>1705</v>
      </c>
      <c r="K60" s="10" t="s">
        <v>1706</v>
      </c>
      <c r="L60" s="12"/>
      <c r="M60" s="40" t="str">
        <f t="shared" si="1"/>
        <v>Title: Validity, Accuracy, and Safety Assessment of an Aerobic Interval Training Using an App-Based Prehabilitation Program (PROTEGO MAXIMA Trial) Before Major Surgery: Prospective, Interventional Pilot Study</v>
      </c>
      <c r="N60" s="41" t="str">
        <f t="shared" si="2"/>
        <v>Abstract: Background Major surgery is associated with significant morbidity and a reduced quality of life, particularly among older adults and individuals with frailty and impaired functional capacity. Multimodal prehabilitation can enhance functional recovery after surgery and reduce postoperative complications. Digital prehabilitation has the potential to be a resource-sparing and patient-empowering tool that improves patients’ preoperative status; however, little remains known regarding their safety and accuracy as medical devices. Objective This study aims to test the accuracy and validity of a new software in comparison to the gold-standard electrocardiogram (ECG)-based heart rate measurement. Methods The PROTEGO MAXIMA trial was a prospective interventional pilot trial assessing the validity, accuracy, and safety of an app-based exercise program. The Prehab App calculates a personalized, risk-stratified aerobic interval training plan based on individual risk factors and utilizes wearables to monitor heart rate. Healthy students and patients undergoing major surgery were enrolled. A structured risk assessment was conducted, followed by a 6-minute walking test and a 37-minute supervised interval session. During the exercise, patients wore app-linked wearables for heart rate and distance measurements, which were compared with standard ECG and treadmill measurements. Safety, accuracy, and usability assessments included testing alarm signals, while the occurrence of adverse events served as the primary and secondary outcome measures. Results A total of 75 participants were included. The mean heart rate differences between wearables and standard ECG were ≤5 bpm (beats per minute) with a mean absolute percentage error of ≤5%. Regression analysis revealed a significant impact of the BMI (odds ratio 0.90, 95% CI 0.82-0.98, P=.02) and Timed Up and Go Test score (odds ratio 0.12, 95% CI 0.03-0.55, P=.006) on the accuracy of heart rate measurement; 29 (39%) patients experienced adverse events: pain (5/12, 42%), ECG electrode–related skin irritations (2/42, 17%), dizziness (2/42, 17%), shortness of breath (2/42, 17%), and fatigue (1/42, 8%). No cardiovascular or serious adverse events were reported, and no serious device deficiency was detected. There were no indications of clinically meaningful overexertion based on laboratory values measured before and after the 6-minute walking test and exercise. The differences in means and ranges were as follows: lactate (mmol/l), mean 0.04 (range –3 to 6; P=.47); creatinine kinase (U/l), mean 12 (range –7 to 43; P&lt;.001); and sodium (mmol/l), mean –2 (range –11 to 12; P&lt;.001). Conclusions The interventional trial demonstrated the high safety of the exercise program and the accuracy of heart rate measurements using commercial wearables in patients before major surgery, paving the way for potential remote implementation in the future. Trial Registration German Clinical Trials Register DRKS00026985; https://drks.de/search/en/trial/DRKS00026985 and European Database on Medical Devices (EUDAMED) CIV-21-07-0307311. International Registered Report Identifier (IRRID) RR2-10.1136/bmjopen-2022-069394</v>
      </c>
      <c r="O60" s="10" t="s">
        <v>1707</v>
      </c>
      <c r="P60" s="9" t="s">
        <v>1708</v>
      </c>
      <c r="Q60" s="6"/>
      <c r="R60" s="6"/>
      <c r="S60" s="6"/>
      <c r="T60" s="6"/>
      <c r="U60" s="6"/>
      <c r="V60" s="6"/>
      <c r="W60" s="6"/>
      <c r="X60" s="6"/>
      <c r="Y60" s="6"/>
      <c r="Z60" s="6"/>
    </row>
    <row r="61">
      <c r="A61" s="2" t="s">
        <v>18</v>
      </c>
      <c r="B61" s="2" t="s">
        <v>1709</v>
      </c>
      <c r="C61" s="2" t="s">
        <v>18</v>
      </c>
      <c r="D61" s="2" t="s">
        <v>1710</v>
      </c>
      <c r="E61" s="2"/>
      <c r="F61" s="2" t="s">
        <v>18</v>
      </c>
      <c r="G61" s="9" t="s">
        <v>1711</v>
      </c>
      <c r="H61" s="9" t="s">
        <v>23</v>
      </c>
      <c r="I61" s="9">
        <v>2022.0</v>
      </c>
      <c r="J61" s="40" t="s">
        <v>1712</v>
      </c>
      <c r="K61" s="10" t="s">
        <v>1713</v>
      </c>
      <c r="L61" s="12"/>
      <c r="M61" s="40" t="str">
        <f t="shared" si="1"/>
        <v>Title: VIDE-LEO:</v>
      </c>
      <c r="N61" s="41" t="str">
        <f t="shared" si="2"/>
        <v>Abstract: ABSTRACT Contemporary insights on business innovation exhibit diverse recommendations, yet lack practical frameworks for quantifying business innovation success. VIDE-LEO business innovation framework is an effort to answer this challenge with innovation metrics defined as a conflation of four VIDE dimensions, namely value, innovation, digital, and enterprise dimensions in a 360° perspective. These dimensions are triangulated as LEO dimensions such as leadership, enablement, and orchestration. Obviously, there are no previous studies available as applied to small and medium enterprises (SME). The focus of this study is to validate this framework by multiple case study analysis of select case companies from India who are from the information technology-business process management (IT-BPM) industry. Further, findings of this study confirm the practical application of VIDE-LEO framework metrics for SMEs in IT-BPM industry. Value proposition of this framework and its innovation metrics may further be extended to other vertical industries for more enhanced practical value.</v>
      </c>
      <c r="O61" s="9" t="s">
        <v>1714</v>
      </c>
      <c r="P61" s="9" t="s">
        <v>1715</v>
      </c>
      <c r="Q61" s="6"/>
      <c r="R61" s="6"/>
      <c r="S61" s="6"/>
      <c r="T61" s="6"/>
      <c r="U61" s="6"/>
      <c r="V61" s="6"/>
      <c r="W61" s="6"/>
      <c r="X61" s="6"/>
      <c r="Y61" s="6"/>
      <c r="Z61" s="6"/>
    </row>
  </sheetData>
  <autoFilter ref="$A$1:$Z$61">
    <sortState ref="A1:Z61">
      <sortCondition ref="J1:J61"/>
    </sortState>
  </autoFilter>
  <conditionalFormatting sqref="A1:P61">
    <cfRule type="expression" dxfId="0" priority="1">
      <formula>COUNTIF($F1,"Conforme")</formula>
    </cfRule>
  </conditionalFormatting>
  <conditionalFormatting sqref="A1:P61">
    <cfRule type="expression" dxfId="1" priority="2">
      <formula>COUNTIF($F1,"Inconforme")</formula>
    </cfRule>
  </conditionalFormatting>
  <conditionalFormatting sqref="A1:F61">
    <cfRule type="expression" dxfId="2" priority="3">
      <formula>$E1= "Duvida"</formula>
    </cfRule>
  </conditionalFormatting>
  <dataValidations>
    <dataValidation type="list" allowBlank="1" showErrorMessage="1" sqref="A2:A61 C2:C61 E2:F61">
      <formula1>"Conforme,Inconforme - Artigos com conteúdo pago,Inconforme -Artigos duplicados ou similares,Inconforme - Artigos indisponíveis para download ou visualização;,Inconforme - Artigos que não estejam relacionados com as perguntas de pequisa,Inconforme - Artigo"&amp;"s secundários,Inconforme,Duvida"</formula1>
    </dataValidation>
  </dataValidations>
  <hyperlinks>
    <hyperlink r:id="rId1" ref="K2"/>
    <hyperlink r:id="rId2" ref="K3"/>
    <hyperlink r:id="rId3" ref="P3"/>
    <hyperlink r:id="rId4" ref="K4"/>
    <hyperlink r:id="rId5" ref="K5"/>
    <hyperlink r:id="rId6" ref="K6"/>
    <hyperlink r:id="rId7" ref="K7"/>
    <hyperlink r:id="rId8" ref="K8"/>
    <hyperlink r:id="rId9" ref="K9"/>
    <hyperlink r:id="rId10" ref="P9"/>
    <hyperlink r:id="rId11" ref="K10"/>
    <hyperlink r:id="rId12" ref="O10"/>
    <hyperlink r:id="rId13" ref="K11"/>
    <hyperlink r:id="rId14" ref="O11"/>
    <hyperlink r:id="rId15" ref="K12"/>
    <hyperlink r:id="rId16" ref="K13"/>
    <hyperlink r:id="rId17" ref="K14"/>
    <hyperlink r:id="rId18" ref="K15"/>
    <hyperlink r:id="rId19" ref="K16"/>
    <hyperlink r:id="rId20" ref="K17"/>
    <hyperlink r:id="rId21" ref="K18"/>
    <hyperlink r:id="rId22" ref="O18"/>
    <hyperlink r:id="rId23" ref="K19"/>
    <hyperlink r:id="rId24" ref="K20"/>
    <hyperlink r:id="rId25" ref="K21"/>
    <hyperlink r:id="rId26" ref="K22"/>
    <hyperlink r:id="rId27" ref="K23"/>
    <hyperlink r:id="rId28" ref="K24"/>
    <hyperlink r:id="rId29" ref="K25"/>
    <hyperlink r:id="rId30" ref="K26"/>
    <hyperlink r:id="rId31" ref="K27"/>
    <hyperlink r:id="rId32" ref="V27"/>
    <hyperlink r:id="rId33" ref="K28"/>
    <hyperlink r:id="rId34" ref="P28"/>
    <hyperlink r:id="rId35" ref="K29"/>
    <hyperlink r:id="rId36" ref="K30"/>
    <hyperlink r:id="rId37" ref="K31"/>
    <hyperlink r:id="rId38" ref="K32"/>
    <hyperlink r:id="rId39" ref="K33"/>
    <hyperlink r:id="rId40" ref="K34"/>
    <hyperlink r:id="rId41" ref="K35"/>
    <hyperlink r:id="rId42" ref="K36"/>
    <hyperlink r:id="rId43" ref="K37"/>
    <hyperlink r:id="rId44" ref="K38"/>
    <hyperlink r:id="rId45" ref="P38"/>
    <hyperlink r:id="rId46" ref="K39"/>
    <hyperlink r:id="rId47" ref="K40"/>
    <hyperlink r:id="rId48" ref="K41"/>
    <hyperlink r:id="rId49" ref="P41"/>
    <hyperlink r:id="rId50" ref="K42"/>
    <hyperlink r:id="rId51" ref="K43"/>
    <hyperlink r:id="rId52" ref="K44"/>
    <hyperlink r:id="rId53" ref="K45"/>
    <hyperlink r:id="rId54" ref="K46"/>
    <hyperlink r:id="rId55" ref="K47"/>
    <hyperlink r:id="rId56" ref="K48"/>
    <hyperlink r:id="rId57" ref="K49"/>
    <hyperlink r:id="rId58" ref="K50"/>
    <hyperlink r:id="rId59" ref="K51"/>
    <hyperlink r:id="rId60" ref="K52"/>
    <hyperlink r:id="rId61" ref="K53"/>
    <hyperlink r:id="rId62" ref="K54"/>
    <hyperlink r:id="rId63" ref="K55"/>
    <hyperlink r:id="rId64" ref="K56"/>
    <hyperlink r:id="rId65" ref="K57"/>
    <hyperlink r:id="rId66" ref="K58"/>
    <hyperlink r:id="rId67" ref="K59"/>
    <hyperlink r:id="rId68" ref="K60"/>
    <hyperlink r:id="rId69" ref="O60"/>
    <hyperlink r:id="rId70" ref="K61"/>
  </hyperlinks>
  <drawing r:id="rId7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88"/>
    <col customWidth="1" min="6" max="6" width="16.88"/>
    <col customWidth="1" min="10" max="10" width="18.0"/>
    <col customWidth="1" min="11" max="11" width="27.63"/>
    <col customWidth="1" min="13" max="13" width="14.63"/>
    <col customWidth="1" min="14" max="14" width="76.88"/>
    <col customWidth="1" min="16" max="16" width="19.0"/>
  </cols>
  <sheetData>
    <row r="1">
      <c r="A1" s="2" t="s">
        <v>1</v>
      </c>
      <c r="B1" s="2"/>
      <c r="C1" s="2" t="s">
        <v>3</v>
      </c>
      <c r="D1" s="2"/>
      <c r="E1" s="2" t="s">
        <v>5</v>
      </c>
      <c r="F1" s="2" t="s">
        <v>1266</v>
      </c>
      <c r="G1" s="4" t="s">
        <v>7</v>
      </c>
      <c r="H1" s="4" t="s">
        <v>9</v>
      </c>
      <c r="I1" s="4" t="s">
        <v>8</v>
      </c>
      <c r="J1" s="4" t="s">
        <v>10</v>
      </c>
      <c r="K1" s="4" t="s">
        <v>11</v>
      </c>
      <c r="L1" s="4" t="s">
        <v>17</v>
      </c>
      <c r="M1" s="4" t="s">
        <v>598</v>
      </c>
      <c r="N1" s="44" t="s">
        <v>1267</v>
      </c>
      <c r="O1" s="4" t="s">
        <v>13</v>
      </c>
      <c r="P1" s="4" t="s">
        <v>14</v>
      </c>
      <c r="Q1" s="45"/>
    </row>
    <row r="2">
      <c r="A2" s="2" t="s">
        <v>18</v>
      </c>
      <c r="B2" s="2" t="s">
        <v>1716</v>
      </c>
      <c r="C2" s="2" t="s">
        <v>18</v>
      </c>
      <c r="D2" s="2" t="s">
        <v>1717</v>
      </c>
      <c r="E2" s="2"/>
      <c r="F2" s="2" t="s">
        <v>18</v>
      </c>
      <c r="G2" s="9" t="s">
        <v>1718</v>
      </c>
      <c r="H2" s="9" t="s">
        <v>23</v>
      </c>
      <c r="I2" s="9">
        <v>2026.0</v>
      </c>
      <c r="J2" s="9" t="s">
        <v>1719</v>
      </c>
      <c r="K2" s="10" t="s">
        <v>1720</v>
      </c>
      <c r="L2" s="9" t="s">
        <v>1721</v>
      </c>
      <c r="M2" s="9" t="str">
        <f t="shared" ref="M2:M56" si="1">"Title: " &amp; J2</f>
        <v>Title: What configurations of big data use facilitate digital supply chain performance? An integrative perspective of SEM-fsQCA</v>
      </c>
      <c r="N2" s="46" t="str">
        <f t="shared" ref="N2:N56" si="2">"Abstract: " &amp; O2</f>
        <v>Abstract: Digital technologies such as big data drive operational excellence, yet their role in enhancing viable, sustainable and digital supply chain performance (VSDSCP) through supply chain connectivity (SCC) and innovation remains underexplored. Grounded in dynamic capability theory (DCT), this study aims to investigate the BDU–VSDSCP relationship via SCC and innovation mediation, employing a hybrid structural equation modeling (SEM)–fuzzy-set qualitative comparative analysis (fsQCA) approach.We surveyed managers of Chinese small and medium-sized textile enterprise (SMEs) to test the proposed hypotheses using SEM and identified configurations of Big Data Use (BDU) through fsQCA.The SEM findings suggest that BDU directly and indirectly enhances VSDSCP, with SCC and innovation capabilities mediating the nexus between BDU and VSDSCP. fsQCA results uncover six distinct configurations of factors that collectively predict higher levels of VSDSCP.This research supports SME managers in enhancing connectivity and co-creating with suppliers and customers by leveraging insights from BDU to achieve optimal VSDSCP. Furthermore, the SEM–fsQCA findings indicate that success is not driven by a single factor but rather by tailored combinations of capabilities suited to the specific firm context.Improved VSDSCP through BDU and innovation fosters business growth, generating new employment opportunities while encouraging upskilling in digital literacy.We contribute to digital SC and big data literature by employing a hybrid SEM-fsQCA to investigate how BDU augments VSDSCP. We extend DCT by focusing on capability orchestration, uncovering generalizable and context-specific pathways to performance.</v>
      </c>
      <c r="O2" s="9" t="s">
        <v>1722</v>
      </c>
      <c r="P2" s="9" t="s">
        <v>1723</v>
      </c>
      <c r="Q2" s="47"/>
    </row>
    <row r="3">
      <c r="A3" s="2" t="s">
        <v>20</v>
      </c>
      <c r="B3" s="2" t="s">
        <v>1724</v>
      </c>
      <c r="C3" s="2" t="s">
        <v>20</v>
      </c>
      <c r="D3" s="2" t="s">
        <v>1725</v>
      </c>
      <c r="E3" s="2"/>
      <c r="F3" s="2" t="s">
        <v>20</v>
      </c>
      <c r="G3" s="9" t="s">
        <v>1726</v>
      </c>
      <c r="H3" s="9" t="s">
        <v>23</v>
      </c>
      <c r="I3" s="9">
        <v>2026.0</v>
      </c>
      <c r="J3" s="9" t="s">
        <v>1727</v>
      </c>
      <c r="K3" s="10" t="s">
        <v>1728</v>
      </c>
      <c r="L3" s="9" t="s">
        <v>1729</v>
      </c>
      <c r="M3" s="9" t="str">
        <f t="shared" si="1"/>
        <v>Title: The centrality of cybersecurity: business models, competitive strategies and sustainability practices</v>
      </c>
      <c r="N3" s="46" t="str">
        <f t="shared" si="2"/>
        <v>Abstract: Cybersecurity has evolved from a technical function to a critical factor for business success. This paper provides a focused analysis of how emerging technologies—artificial intelligence (artificial intelligence), blockchain, and cloud-based Business Process Management tools—impact internal business processes.This study explores the strategies adopted by ten leading global cybersecurity companies through a multiple case study design based on Gioia-inspired document analysis (2018–1024). The methods of collecting data related to the companies considered are multiple and include annual reports, sustainability reports, and online databases.These technologies are shown to enhance threat detection, compliance, workflow automation, and decision-making efficiency, thus transforming cybersecurity capabilities into a strategic asset. The research highlights how business process innovation, driven by digital technologies, contributes to long-term differentiation and resilience in an increasingly complex and competitive environment. The analysis, which focuses only on companies with the largest market capitalizations, highlights a transformative approach that marks a shift towards a future in which cybersecurity is and will increasingly be a priority.This study provides a novel contribution by integrating a comparative analysis of the business models, competitive strategies, and sustainability practices of ten leading cybersecurity firms, an approach not yet systematically explored in existing literature. By examining how emerging technologies are reshaping internal processes, the paper bridges gaps between strategic management, digital transformation, and sustainability. It offers new theoretical and managerial insights into how these technologies can be leveraged as key drivers of competitive advantage in a rapidly evolving cybersecurity landscape.</v>
      </c>
      <c r="O3" s="9" t="s">
        <v>1730</v>
      </c>
      <c r="P3" s="9" t="s">
        <v>1731</v>
      </c>
      <c r="Q3" s="47"/>
    </row>
    <row r="4">
      <c r="A4" s="2" t="s">
        <v>18</v>
      </c>
      <c r="B4" s="2" t="s">
        <v>1732</v>
      </c>
      <c r="C4" s="2" t="s">
        <v>18</v>
      </c>
      <c r="D4" s="2" t="s">
        <v>1733</v>
      </c>
      <c r="E4" s="2"/>
      <c r="F4" s="2" t="s">
        <v>20</v>
      </c>
      <c r="G4" s="9" t="s">
        <v>1734</v>
      </c>
      <c r="H4" s="9" t="s">
        <v>23</v>
      </c>
      <c r="I4" s="9">
        <v>2026.0</v>
      </c>
      <c r="J4" s="9" t="s">
        <v>1735</v>
      </c>
      <c r="K4" s="10" t="s">
        <v>1736</v>
      </c>
      <c r="L4" s="9" t="s">
        <v>1737</v>
      </c>
      <c r="M4" s="9" t="str">
        <f t="shared" si="1"/>
        <v>Title: Enabling women entrepreneurs through digital transformation: a business process technology perspective from emerging economies</v>
      </c>
      <c r="N4" s="46" t="str">
        <f t="shared" si="2"/>
        <v>Abstract: This study examines how women entrepreneurs in emerging economies can optimize business processes through the adoption of digital technologies, using Business Process Technology (BPT) as a conceptual framework. It explores patterns of technology use, perceived barriers and opportunities that inform the design of differentiated training programs to foster inclusion and digital transformation.A sequential exploratory mixed-method design was employed. Quantitative data were collected through a survey of 131 women entrepreneurs participating in the program Mujer, que tu negocio crezca más (Woman, Make Your Business Grow) across six regions of Peru. This phase enabled the identification of digital adoption profiles. Qualitative data from six focus groups complemented these findings by exploring how digital tools are embedded within administrative, commercial, and financial processes, as well as the contextual and gendered conditions shaping their adoption.The findings reveal uneven digital maturity, characterized by (1) high adoption of social networks and digital communication channels, contrasted with limited use of financial and e-commerce platforms; (2) a higher level of digital maturity among entrepreneurs who operate a website; (3) the identification of two technology adoption profiles and (4) a comprehensive assessment of business processes that informed the design of a BPT-based training model grounded in the principles of integration, modeling and automation.The results provide guidance for designing inclusive training programs that strengthen digital skills, promote gender equity, and contribute to achieving the Sustainable Development Goals.The study integrates BPT theory with empirical evidence on women's entrepreneurship, proposing a process-oriented training model adaptable to similar contexts in emerging economies.</v>
      </c>
      <c r="O4" s="9" t="s">
        <v>1738</v>
      </c>
      <c r="P4" s="9" t="s">
        <v>1739</v>
      </c>
      <c r="Q4" s="47"/>
    </row>
    <row r="5">
      <c r="A5" s="2" t="s">
        <v>18</v>
      </c>
      <c r="B5" s="2" t="s">
        <v>1740</v>
      </c>
      <c r="C5" s="2" t="s">
        <v>18</v>
      </c>
      <c r="D5" s="2" t="s">
        <v>1741</v>
      </c>
      <c r="E5" s="2"/>
      <c r="F5" s="2" t="s">
        <v>18</v>
      </c>
      <c r="G5" s="9" t="s">
        <v>1742</v>
      </c>
      <c r="H5" s="9" t="s">
        <v>23</v>
      </c>
      <c r="I5" s="9">
        <v>2026.0</v>
      </c>
      <c r="J5" s="9" t="s">
        <v>1743</v>
      </c>
      <c r="K5" s="10" t="s">
        <v>1744</v>
      </c>
      <c r="L5" s="9" t="s">
        <v>1745</v>
      </c>
      <c r="M5" s="9" t="str">
        <f t="shared" si="1"/>
        <v>Title: The evolving mandate of project management offices: governance, innovation, and performance, evidence from a longitudinal case study</v>
      </c>
      <c r="N5" s="46" t="str">
        <f t="shared" si="2"/>
        <v>Abstract: This study investigates the long-term evolution of the Project Management Office (PMO) within the foundation of Organizational Project Management (OPM). It examines how the PMO'smandate, authority, and responsibilities developed in a large European organization, tracing its transition from departmental support to strategic governance and, more recently, to a central role in innovation and artificial intelligence (AI) initiatives.A longitudinal single-case study design was employed, combining semi-structured interviews, internal documentation, and a follow-up questionnaire with Enterprise PMO (EPMO) professionals to identify PMO functions across stages and analyze mandate and authority expansion.Three main findings emerged. First, the PMO evolved through four stages, expanding from IT support to enterprise-wide governance. This followed a layered mandate logic, where foundational functions were retained while governance and strategic roles were progressively added. Second, a decisive transformation occurred when the PMO was relocated from IT to board-level reporting, expanding its autonomy, process performance, and strategic influence. Third, the PMO was explicitly mandated to lead innovation and AI initiatives, positioning it as both a governance body and a driver of digital transformation.This study provides a rare longitudinal examination of PMO evolution in the context of OPM, addressing limited empirical evidence on sustained PMO development beyond early support and governance roles. It advances the concept of the layered mandate and offers guidance for structuring PMOs to sustain stability, expand authority, and assume responsibility for innovation and AI governance.</v>
      </c>
      <c r="O5" s="9" t="s">
        <v>1746</v>
      </c>
      <c r="P5" s="9" t="s">
        <v>1747</v>
      </c>
      <c r="Q5" s="47"/>
    </row>
    <row r="6">
      <c r="A6" s="2" t="s">
        <v>20</v>
      </c>
      <c r="B6" s="2" t="s">
        <v>1748</v>
      </c>
      <c r="C6" s="2" t="s">
        <v>18</v>
      </c>
      <c r="D6" s="2" t="s">
        <v>1749</v>
      </c>
      <c r="E6" s="2"/>
      <c r="F6" s="2" t="s">
        <v>18</v>
      </c>
      <c r="G6" s="9" t="s">
        <v>1750</v>
      </c>
      <c r="H6" s="9" t="s">
        <v>23</v>
      </c>
      <c r="I6" s="9">
        <v>2026.0</v>
      </c>
      <c r="J6" s="9" t="s">
        <v>1751</v>
      </c>
      <c r="K6" s="10" t="s">
        <v>1752</v>
      </c>
      <c r="L6" s="9" t="s">
        <v>1753</v>
      </c>
      <c r="M6" s="9" t="str">
        <f t="shared" si="1"/>
        <v>Title: Exploring blockchain for green logistics: how institutional forces and process innovation shape sustainability in SMEs</v>
      </c>
      <c r="N6" s="46" t="str">
        <f t="shared" si="2"/>
        <v>Abstract: This study explores how small and medium-sized enterprises (SMEs) interpret and respond to institutional pressures in relation to blockchain-enabled process innovation within green logistics. It examines how coercive, normative and mimetic pressures are perceived by SMEs and how these pressures intersect with internal process capabilities in sustainability-oriented logistics practices.An exploratory qualitative research design was adopted, involving semi-structured interviews with 18 participants, comprising 12 SME consultants and 6 SME directors based in the UK Supplementary secondary data from industry reports and consultancy materials were used for contextual triangulation. Data were analysed using thematic analysis, guided by institutional theory and business process management (BPM) as interpretive lenses.The findings suggest that coercive, normative and mimetic pressures are widely perceived as shaping SMEs' engagement with blockchain in green logistics. However, participants reported notable variation in how these pressures are prioritised, influenced by firm size, resources, sectoral context and internal processes. Blockchain was viewed as a tool for transparency, not transformative solution.The study suggests that SME managers and advisors should therefore view blockchain adoption as part of an incremental process transformation rather than a purely technological intervention, while policymakers may consider reducing regulatory uncertainty and supporting skills development to lower adoption burdens.This study contributes an exploratory, context-sensitive account of blockchain adoption in green logistics by integrating institutional theory and BPM as interpretive frameworks. Rather than advancing causal claims, it offers nuanced insight into how institutional pressures and organisational conditions are jointly understood by SMEs.</v>
      </c>
      <c r="O6" s="9" t="s">
        <v>1754</v>
      </c>
      <c r="P6" s="9" t="s">
        <v>1755</v>
      </c>
      <c r="Q6" s="47"/>
    </row>
    <row r="7">
      <c r="A7" s="2" t="s">
        <v>18</v>
      </c>
      <c r="B7" s="2" t="s">
        <v>1756</v>
      </c>
      <c r="C7" s="2" t="s">
        <v>18</v>
      </c>
      <c r="D7" s="2" t="s">
        <v>1757</v>
      </c>
      <c r="E7" s="2"/>
      <c r="F7" s="2" t="s">
        <v>18</v>
      </c>
      <c r="G7" s="9" t="s">
        <v>1758</v>
      </c>
      <c r="H7" s="9" t="s">
        <v>23</v>
      </c>
      <c r="I7" s="9">
        <v>2026.0</v>
      </c>
      <c r="J7" s="9" t="s">
        <v>1759</v>
      </c>
      <c r="K7" s="10" t="s">
        <v>1760</v>
      </c>
      <c r="L7" s="9" t="s">
        <v>1761</v>
      </c>
      <c r="M7" s="9" t="str">
        <f t="shared" si="1"/>
        <v>Title: AI adoption drivers and innovative work behaviours</v>
      </c>
      <c r="N7" s="46" t="str">
        <f t="shared" si="2"/>
        <v>Abstract: Drawing on the Unified Theory of Acceptance and Use of Technology (UTAUT), the study aims to analyze the impact of performance expectancy (PE) and training (TR) on AI adoption (AIA). Moreover, our new conceptual model tests the moderating role of personal innovativeness (PI) as well as the final effect of AIA on innovative work behaviour (IWB).A new theoretical conceptual model has been proposed and empirically validated through a “partial least squares structural equation modelling” (PLS-SEM) technique and using the data gathered from 278 employees and managers of information technology (IT) companies.The results showed a positive impact of performance expectancy and training on AI adoption in the organizations. Training also played a mediating role, while personal innovativeness showed a moderating effect in the relationship. Finally, AI adoption led to innovative work behaviour, overall, empirically validating the proposed conceptual model.The present investigation extends the scope of UTAUT framework and examines the role of AI adoption in influencing employees' innovative work behaviours, while highlighting the differences in the adoption of technology by the employees. Additionally, this research is useful to managers who question themselves how to foster innovation by integrating AI efficiently with IT industry. However, the scope of this cross-sectional study is restricted by its geographical limitations.The present study fills the existing research gap and found the role of an individuals in influencing AI adoption and IWB within the organization. The outcomes of the study would be beneficial for researchers and practitioners in identifying the key role of training and performance expectancy in increasing AI adoption and IWB at the organizational level.</v>
      </c>
      <c r="O7" s="9" t="s">
        <v>1762</v>
      </c>
      <c r="P7" s="9" t="s">
        <v>1763</v>
      </c>
      <c r="Q7" s="47"/>
    </row>
    <row r="8">
      <c r="A8" s="2" t="s">
        <v>20</v>
      </c>
      <c r="B8" s="2" t="s">
        <v>1764</v>
      </c>
      <c r="C8" s="2" t="s">
        <v>18</v>
      </c>
      <c r="D8" s="2" t="s">
        <v>1765</v>
      </c>
      <c r="E8" s="2"/>
      <c r="F8" s="2" t="s">
        <v>20</v>
      </c>
      <c r="G8" s="9" t="s">
        <v>1766</v>
      </c>
      <c r="H8" s="9" t="s">
        <v>23</v>
      </c>
      <c r="I8" s="9">
        <v>2026.0</v>
      </c>
      <c r="J8" s="9" t="s">
        <v>1767</v>
      </c>
      <c r="K8" s="10" t="s">
        <v>1768</v>
      </c>
      <c r="L8" s="9" t="s">
        <v>1769</v>
      </c>
      <c r="M8" s="9" t="str">
        <f t="shared" si="1"/>
        <v>Title: BPMN DMN decision table generation based on agentic AI for critical applications</v>
      </c>
      <c r="N8" s="46" t="str">
        <f t="shared" si="2"/>
        <v>Abstract: This study investigates the feasibility of developing an automated solution that can generate dynamic decision tables from business process model and notation (BPMN)models using agentic artificial intelligence (AI). This work purpose is to reduce human error, inconsistencies and cognitive biases that can be introduced by traditional decision management in BPMN environments, which is often achieved by manually creating decision model and notation (DMN) decision tables (Richter et al., 2025).A novel AI-based solution is developed to generate dynamic decision tables from BPMN models. The proposed system integrates large language models within an agentic AI framework that autonomously analyses BPMN processes, identifies decision points and produces optimized DMN tables. The system employs agents for BPMN analysis, decision extraction, rule generation and validation, coordinated through a ReAct (Reasoning + Acting) engine with retrieval-augmented generation (RAG) capabilities (Zhang et al., 2025; Braunschweiler et al., 2025).Experimental evaluation of critical applications demonstrated that the system enhances decision-making by suggesting decision tables with values that humans might not intuitively identify. The system optimizes processes by transforming ambiguous paths into precise decisions. The framework is particularly effective in identifying non-obvious decision criteria and threshold parameters, resulting in significant process automation improvements.This approach establishes the foundation for intelligent, adaptive decision support systems within mission-critical environments and autonomous decision modeling that can dynamically adapt to evolving business requirements.This innovative approach represents the implementation of agentic AI specifically designed for automated DMN decision table generation from BPMN models, addressing a gap in the literature.</v>
      </c>
      <c r="O8" s="9" t="s">
        <v>1770</v>
      </c>
      <c r="P8" s="9" t="s">
        <v>1771</v>
      </c>
      <c r="Q8" s="47"/>
    </row>
    <row r="9">
      <c r="A9" s="2" t="s">
        <v>18</v>
      </c>
      <c r="B9" s="2" t="s">
        <v>1772</v>
      </c>
      <c r="C9" s="2" t="s">
        <v>18</v>
      </c>
      <c r="D9" s="2" t="s">
        <v>1773</v>
      </c>
      <c r="E9" s="2"/>
      <c r="F9" s="2" t="s">
        <v>18</v>
      </c>
      <c r="G9" s="9" t="s">
        <v>1774</v>
      </c>
      <c r="H9" s="9" t="s">
        <v>23</v>
      </c>
      <c r="I9" s="9">
        <v>2026.0</v>
      </c>
      <c r="J9" s="9" t="s">
        <v>1775</v>
      </c>
      <c r="K9" s="10" t="s">
        <v>1776</v>
      </c>
      <c r="L9" s="9" t="s">
        <v>1777</v>
      </c>
      <c r="M9" s="9" t="str">
        <f t="shared" si="1"/>
        <v>Title: Factors influencing process improvement in Chinese multinational corporations: a Delphi study</v>
      </c>
      <c r="N9" s="46" t="str">
        <f t="shared" si="2"/>
        <v>Abstract: This study explores the drivers of process improvement in Chinese multinational corporations (MNCs), addressing a critical gap in the understanding of the shape efficiency and competitiveness of internal and external factors in global operations. Building on the distinct institutional, cultural, and governance contexts of Chinese firms, this study seeks to identify and prioritize the multidimensional elements that influence process improvement.A two-round Delphi method was employed to engage managers from diverse Chinese MNCs through purposive and snowball sampling. In the first round, participants identified themes related to process improvement, which were thematically analyzed and consolidated into four dimensions: financial planning, human resource management, technological advancement, and macroeconomic components. In the second round, experts ranked these dimensions with consensus measured using Kendall's W.Results reveal that financial planning is the most influential driver, providing a structural foundation for resource allocation, risk management, and long-term stability. Human resource management has emerged as the second priority, functioning as a mechanism for translating strategic intent into organizational capability. Technological advancement ranked third, and is recognized as a catalytic force contingent upon financial and human capital readiness. Macroeconomic factors, although ranked lowest, were acknowledged as boundary conditions shaping firms' adaptive strategies.This study advances this theory by conceptualizing process improvement as a multidimensional construct situated within the distinctive context of Chinese multinational expansion. Practically, the results offer managers a framework for prioritizing strategic financial oversight, workforce development, and technology adoption while also informing policymakers on creating supportive environments for sustainable competitiveness.</v>
      </c>
      <c r="O9" s="9" t="s">
        <v>1778</v>
      </c>
      <c r="P9" s="9" t="s">
        <v>1779</v>
      </c>
      <c r="Q9" s="47"/>
    </row>
    <row r="10">
      <c r="A10" s="2" t="s">
        <v>18</v>
      </c>
      <c r="B10" s="2" t="s">
        <v>1780</v>
      </c>
      <c r="C10" s="2" t="s">
        <v>18</v>
      </c>
      <c r="D10" s="2" t="s">
        <v>1781</v>
      </c>
      <c r="E10" s="2"/>
      <c r="F10" s="2" t="s">
        <v>18</v>
      </c>
      <c r="G10" s="9" t="s">
        <v>1782</v>
      </c>
      <c r="H10" s="9" t="s">
        <v>23</v>
      </c>
      <c r="I10" s="9">
        <v>2025.0</v>
      </c>
      <c r="J10" s="9" t="s">
        <v>1783</v>
      </c>
      <c r="K10" s="10" t="s">
        <v>1784</v>
      </c>
      <c r="L10" s="9" t="s">
        <v>1737</v>
      </c>
      <c r="M10" s="9" t="str">
        <f t="shared" si="1"/>
        <v>Title: Building absorptive capacity and ambidexterity for sustainable manufacturing</v>
      </c>
      <c r="N10" s="46" t="str">
        <f t="shared" si="2"/>
        <v>Abstract: This research aims to examine the integration of advanced technologies and organizational capabilities to achieve sustainable performance in modern supply chains. By synthesizing insights from people analytics, AI-enabled supply chain management, supply chain absorptive capacity, supply chain ambidexterity and optimization strategies, this study proposes a holistic framework for optimizing sustainability outcomes.This study employs a deductive approach, utilizing quantitative methods and a survey technique to collect data from its intended participants. The research adopted a systematic random sampling method, surveying 542 individuals employed in various manufacturing sectors across New York, Texas and California.The study researches multidimensional strategies for enhancing sustainable performance. Results indicated that People Analytics and AI-enabled supply chains (SCs) influence the organizational absorptive capacity (OAC), which in turn fosters organizational ambidexterity (OA). These capabilities enable process optimization and resource optimization, ultimately driving sustainable manufacturing. The results reveals several strong structural relationships, including the influence of OAC on OA and its subsequent impact on both optimization and sustainability dimensions, providing clarity on how dynamic capabilities interrelate within a supply chain context.This study presents a novel framework that proposes and empirically validates a comprehensive, higher-order integration of people analytics, AI-enabled supply chains, organizational absorptive capacity and ambidexterity to drive sustainable manufacturing performance. It uniquely combines human-centric and technological capabilities to explain how firms can optimize both resources and processes. By examining their synergistic effects on environmental, economic, and social performance dimensions, the research fills a notable gap in the sustainability literature of SC. The study advances theory by positioning absorptive capacity as a dynamic capability mediating the impact of analytics and AI on organizational ambidexterity, a critical yet underexplored link. Practically, the findings offer actionable insights for manufacturing managers and policymakers on how to operationalize people analytics and AI not in isolation, but as complementary tools for building knowledge-driven, agile and sustainable manufacturing SCs.</v>
      </c>
      <c r="O10" s="9" t="s">
        <v>1785</v>
      </c>
      <c r="P10" s="9" t="s">
        <v>1786</v>
      </c>
      <c r="Q10" s="47"/>
    </row>
    <row r="11">
      <c r="A11" s="2" t="s">
        <v>18</v>
      </c>
      <c r="B11" s="2" t="s">
        <v>1787</v>
      </c>
      <c r="C11" s="2" t="s">
        <v>18</v>
      </c>
      <c r="D11" s="2" t="s">
        <v>1788</v>
      </c>
      <c r="E11" s="2"/>
      <c r="F11" s="2" t="s">
        <v>18</v>
      </c>
      <c r="G11" s="9" t="s">
        <v>1789</v>
      </c>
      <c r="H11" s="9" t="s">
        <v>23</v>
      </c>
      <c r="I11" s="9">
        <v>2025.0</v>
      </c>
      <c r="J11" s="9" t="s">
        <v>1790</v>
      </c>
      <c r="K11" s="10" t="s">
        <v>1791</v>
      </c>
      <c r="L11" s="9" t="s">
        <v>1792</v>
      </c>
      <c r="M11" s="9" t="str">
        <f t="shared" si="1"/>
        <v>Title: Digital technologies and sustainability as evolving business processes – an AI-driven scientific mapping perspective</v>
      </c>
      <c r="N11" s="46" t="str">
        <f t="shared" si="2"/>
        <v>Abstract: This study aims to systematize research on how digital technologies support sustainability processes at the national level by applying business process management principles. It provides a structured framework for integrating digital technologies to enhance efficiency and scalability of sustainability initiatives and offers a comprehensive scientific map through a process-oriented, artificial intelligence (AI)-enabled analysis. The study develops a conceptual model that organizes key themes into enablers, transformations and outcomes, linking them to the triple bottom line, socio-technical systems and institutional theory.Using a dataset of over 8,000 articles from Scopus, the study combines bibliometric techniques with Latent Dirichlet allocation (LDA) topic modeling to identify and categorize latent themes within digital sustainability research.The analysis uncovered 129 process-related topics with varying levels of research maturity, impact and geographic relevance. Key findings highlight underexplored areas, dominant trends and thematic imbalances across subject domains and regions.The study is limited to the Scopus database and relies on metadata accuracy. Nonetheless, it offers a replicable AI-based method for mapping complex and dynamic research domains, supporting future theory development.The results offer actionable insights for researchers and practitioners aiming to manage, improve or design sustainability-related digital processes. Identified gaps and high-impact themes can inform policy, education and innovation strategies.This is the first large-scale study to apply topic modeling for mapping the intersection of digitalization and sustainability processes across countries. It advances the BPM literature by revealing new digital process domains relevant to sustainable development.</v>
      </c>
      <c r="O11" s="9" t="s">
        <v>1793</v>
      </c>
      <c r="P11" s="9" t="s">
        <v>1794</v>
      </c>
      <c r="Q11" s="47"/>
    </row>
    <row r="12">
      <c r="A12" s="2" t="s">
        <v>18</v>
      </c>
      <c r="B12" s="2" t="s">
        <v>1795</v>
      </c>
      <c r="C12" s="2" t="s">
        <v>18</v>
      </c>
      <c r="D12" s="2" t="s">
        <v>1796</v>
      </c>
      <c r="E12" s="2"/>
      <c r="F12" s="2" t="s">
        <v>18</v>
      </c>
      <c r="G12" s="9" t="s">
        <v>1797</v>
      </c>
      <c r="H12" s="9" t="s">
        <v>23</v>
      </c>
      <c r="I12" s="9">
        <v>2025.0</v>
      </c>
      <c r="J12" s="9" t="s">
        <v>1798</v>
      </c>
      <c r="K12" s="10" t="s">
        <v>1799</v>
      </c>
      <c r="L12" s="9" t="s">
        <v>1800</v>
      </c>
      <c r="M12" s="9" t="str">
        <f t="shared" si="1"/>
        <v>Title: Redefining identity: corporate evolution in the AI era</v>
      </c>
      <c r="N12" s="46" t="str">
        <f t="shared" si="2"/>
        <v>Abstract: This study explores how artificial intelligence (AI) is reshaping corporate identity (CI), focusing on its transformative impact across product, client, media, content, relationship with stakeholders' level as the corporate core nature. It examines the critical shifts AI introduces, unveiling new challenges and tensions within firms' core structures.Using a qualitative approach, the study analyzes companies listed on the Italian FTSE MIB through seven interviews from six financial firms with key AI leaders. Data triangulation was applied to ensure robust, reliable findings.The results indicate that AI has become a strategic asset, playing a pivotal role in the evolution of CI, especially at the content and client level. This transformation leads to a shift in business models, catering to a new type of consumer, such as Promptumer or Promptvestor, in the financial services sector. Companies are also expanding their boundaries, managing digital intelligent ecosystems and operating through sophisticated channels, including AI-driven dashboards and virtual agents. AI is reaffirmed as a strategic enabler, acting as an accelerator and multiplier of opportunities.The study is limited to companies listed on the Italian FTSE MIB, which may affect the generalizability of the findings. Future research could expand the scope to include companies from other regions and sectors.Effective change management, development of technological skills, personalization of customer experiences and adherence to digital ethics and sustainability are crucial for firms. Businesses must navigate the evolving tension between their current and future identities, integrating new roles and new dimensions guided by the ownership value, AI and stakeholders, while maintaining a balance between co-creation, innovation and their core values of trust and stability.This research offers novel insights into how AI is metamorphosing CI, emphasizing the role of cognitive connection and sustainability in the digital age. We propose a conceptual model that introduces the AI Signature as a new dimension in identity analysis and we define a new role for Customer and users that, from Prosumer translates toward a Promptuser – Promptumer. As firms become increasingly data-driven and adaptive, AI supports more ethical, efficient and sustainable decision-making. To enhance managerial relevance, we also present the CI Canvas, a practical tool for managers, consultants and organizations navigating CI transformation. In the new AI era, firms may be valued not only for their product offerings but for how their systems reason, act and engage in dialogue, making AI not only a new vector of identity but a distinctive corporate signature.</v>
      </c>
      <c r="O12" s="9" t="s">
        <v>1801</v>
      </c>
      <c r="P12" s="9" t="s">
        <v>1802</v>
      </c>
      <c r="Q12" s="47"/>
    </row>
    <row r="13">
      <c r="A13" s="2" t="s">
        <v>18</v>
      </c>
      <c r="B13" s="2" t="s">
        <v>1803</v>
      </c>
      <c r="C13" s="2" t="s">
        <v>18</v>
      </c>
      <c r="D13" s="2" t="s">
        <v>1804</v>
      </c>
      <c r="E13" s="2"/>
      <c r="F13" s="2" t="s">
        <v>18</v>
      </c>
      <c r="G13" s="9" t="s">
        <v>1805</v>
      </c>
      <c r="H13" s="9" t="s">
        <v>23</v>
      </c>
      <c r="I13" s="9">
        <v>2025.0</v>
      </c>
      <c r="J13" s="9" t="s">
        <v>1806</v>
      </c>
      <c r="K13" s="10" t="s">
        <v>1807</v>
      </c>
      <c r="L13" s="9" t="s">
        <v>1721</v>
      </c>
      <c r="M13" s="9" t="str">
        <f t="shared" si="1"/>
        <v>Title: Emerging themes and trends in smart supply chain management: a comparative textual analysis</v>
      </c>
      <c r="N13" s="46" t="str">
        <f t="shared" si="2"/>
        <v>Abstract: The increasing complexity, digitalization and vulnerability of modern supply chains highlight the growing importance of developing smart supply chain (SSC) systems. This study conducts a comparative textual analysis of academic publications and global news media to examine how SSC concepts are discussed across research and practice. The goal is to identify dominant themes and reveal underexplored research areas. Deep learning based textual analysis techniques were applied to a dataset of 265 peer-reviewed journal articles and 2,655 news reports published between January 2000 and April 2023. Topic modeling and comparative mapping were used to detect thematic similarities and differences between academic and industrial perspectives on SSC development. The analysis identifies five major thematic clusters: global smart logistics networks, digital healthcare supply chains, sustainable packaging and circular operations, last-mile and express delivery innovations, and intelligent quality and risk management. Academic literature tends to emphasize theoretical models and performance measurement, while industry discussions focus on application, automation and resilience. These differences indicate the need for more integrative and practice-oriented SSC research. This study provides a novel comparative perspective on how SSCs are examined in academia and represented in industry. It identifies a key research gap in the limited academic attention to resilience within smart supply chain management, despite its strong emphasis in industry discourse, and offers insights to better connect theoretical development with practical priorities.</v>
      </c>
      <c r="O13" s="9" t="s">
        <v>1808</v>
      </c>
      <c r="P13" s="9" t="s">
        <v>1809</v>
      </c>
      <c r="Q13" s="47"/>
    </row>
    <row r="14">
      <c r="A14" s="2" t="s">
        <v>18</v>
      </c>
      <c r="B14" s="2" t="s">
        <v>1810</v>
      </c>
      <c r="C14" s="2" t="s">
        <v>18</v>
      </c>
      <c r="D14" s="2" t="s">
        <v>1811</v>
      </c>
      <c r="E14" s="2"/>
      <c r="F14" s="2" t="s">
        <v>18</v>
      </c>
      <c r="G14" s="9" t="s">
        <v>1812</v>
      </c>
      <c r="H14" s="9" t="s">
        <v>23</v>
      </c>
      <c r="I14" s="9">
        <v>2025.0</v>
      </c>
      <c r="J14" s="9" t="s">
        <v>1813</v>
      </c>
      <c r="K14" s="10" t="s">
        <v>1814</v>
      </c>
      <c r="L14" s="9" t="s">
        <v>1815</v>
      </c>
      <c r="M14" s="9" t="str">
        <f t="shared" si="1"/>
        <v>Title: Innovation and digital marketing in culinary: examining marketing performance</v>
      </c>
      <c r="N14" s="46" t="str">
        <f t="shared" si="2"/>
        <v>Abstract: This study aims to investigate the strategic interplay between market orientation, digital marketing, and innovation and how these constructs collectively influence marketing performance in the context of culinary small- and medium-sized enterprises (SMEs) in Indonesia.A quantitative research design was employed using Partial Least Squares Structural Equation Modeling (PLS-SEM) to analyze data collected from 289 culinary SMEs that have adopted digital marketing tools for at least three years. Measurement items were adapted from validated scales and refined through expert review and pilot testing to ensure contextual relevance.The results confirm that market orientation significantly influences both digital marketing adoption and innovation. Furthermore, both digital marketing and innovation have a direct and significant impact on marketing performance. The study also reveals several mediation effects, including digital marketing and innovation as partial mediators and a sequential mediation path in which market orientation enhances marketing performance through digital marketing and innovation.This study offers a novel, integrative framework that advances the understanding of how market-driven strategies and digital technologies interact to drive innovation and performance in resource-constrained, culturally embedded, and highly dynamic culinary SME environments. Specifically, it provides empirical evidence that market orientation drives the implementation of digital marketing, which subsequently fosters innovation and leads to enhanced marketing performance, highlighting a unique sequential mediation mechanism rarely explored in the context of emerging-market SMEs.</v>
      </c>
      <c r="O14" s="9" t="s">
        <v>1816</v>
      </c>
      <c r="P14" s="9" t="s">
        <v>1817</v>
      </c>
      <c r="Q14" s="47"/>
    </row>
    <row r="15">
      <c r="A15" s="2" t="s">
        <v>18</v>
      </c>
      <c r="B15" s="2" t="s">
        <v>1818</v>
      </c>
      <c r="C15" s="2" t="s">
        <v>18</v>
      </c>
      <c r="D15" s="2" t="s">
        <v>1819</v>
      </c>
      <c r="E15" s="2"/>
      <c r="F15" s="2" t="s">
        <v>18</v>
      </c>
      <c r="G15" s="9" t="s">
        <v>1820</v>
      </c>
      <c r="H15" s="9" t="s">
        <v>23</v>
      </c>
      <c r="I15" s="9">
        <v>2025.0</v>
      </c>
      <c r="J15" s="9" t="s">
        <v>1821</v>
      </c>
      <c r="K15" s="10" t="s">
        <v>1822</v>
      </c>
      <c r="L15" s="9" t="s">
        <v>1721</v>
      </c>
      <c r="M15" s="9" t="str">
        <f t="shared" si="1"/>
        <v>Title: E-invoicing process reengineering: a case study</v>
      </c>
      <c r="N15" s="46" t="str">
        <f t="shared" si="2"/>
        <v>Abstract: The study proposes practices for the successful implementation of an automated electronic invoicing (e-invoicing) process based on a network model and identifies the main challenges to e-invoicing implementation.The research employs a real-world case study at Hilti to identify potential improvement areas (PIAs) for the e-invoicing process reengineering and test the applicability of practices. It combines qualitative methods, including interviews and focus groups with experts, with quantitative data analysis using the Arena simulation software to compare the improvements of the reengineered implementation process.The study reveals that process transparency, redundant activities, confusing communication, and task automation are the primary challenges to effective e-invoicing implementation. The proposed practices help overcome the identified challenges and streamline the implementation process.The research is based on a single case study, which may limit the generalizability of its findings. However, the proposed practices are designed to be flexible and customizable for replication in other companies.The proposed recommendations offer practical guidance for businesses seeking to effectively implement e-invoicing, considerably reducing processing time and improving operational efficiency. They provide a framework for addressing common implementation challenges, particularly in network-based e-invoicing models.This research contributes to the limited literature on practical e-invoicing implementation, particularly within network models. It provides a real-world application of process reengineering to e-invoicing and offers a valuable tool for businesses looking to overcome implementation challenges and accelerate their digital transformation.</v>
      </c>
      <c r="O15" s="9" t="s">
        <v>1823</v>
      </c>
      <c r="P15" s="9" t="s">
        <v>1824</v>
      </c>
      <c r="Q15" s="47"/>
    </row>
    <row r="16">
      <c r="A16" s="2" t="s">
        <v>20</v>
      </c>
      <c r="B16" s="2" t="s">
        <v>1825</v>
      </c>
      <c r="C16" s="2" t="s">
        <v>18</v>
      </c>
      <c r="D16" s="2" t="s">
        <v>1826</v>
      </c>
      <c r="E16" s="2"/>
      <c r="F16" s="2" t="s">
        <v>20</v>
      </c>
      <c r="G16" s="9" t="s">
        <v>1358</v>
      </c>
      <c r="H16" s="9" t="s">
        <v>23</v>
      </c>
      <c r="I16" s="9">
        <v>2025.0</v>
      </c>
      <c r="J16" s="9" t="s">
        <v>1359</v>
      </c>
      <c r="K16" s="10" t="s">
        <v>1827</v>
      </c>
      <c r="L16" s="9" t="s">
        <v>1361</v>
      </c>
      <c r="M16" s="9" t="str">
        <f t="shared" si="1"/>
        <v>Title: Business process management as a continuous enabler for digital innovation – insights from top executives</v>
      </c>
      <c r="N16" s="46" t="str">
        <f t="shared" si="2"/>
        <v>Abstract: In light of the ever-increasing opportunities associated with new digital technologies, an emerging body of knowledge examines how and under what circumstances organizations leveraging business process management (BPM) can be receptive to and supportive of digital innovation-related opportunities. In this study, we ask: How can BPM be set up to enable digital innovation on a continuous basis?We conduct an inductive study with top executives in Central Europe. Our multi-method research consists of a Delphi study and two rounds of follow-up interviews.We theorize that BPM can enable digital innovation along four dimensions: organizational IT application portfolio, organizational structure, organizational culture and organizational capabilities. Based on this, we provide four conjectures on how BPM can enable digital innovation.Our study adds to the emerging debate around the connection between BPM and digital innovation by specifying how organizations can implement digital innovation initiatives while maintaining efficient and effective workflows.</v>
      </c>
      <c r="O16" s="9" t="s">
        <v>1828</v>
      </c>
      <c r="P16" s="9" t="s">
        <v>1363</v>
      </c>
      <c r="Q16" s="47"/>
    </row>
    <row r="17">
      <c r="A17" s="2" t="s">
        <v>20</v>
      </c>
      <c r="B17" s="2" t="s">
        <v>1829</v>
      </c>
      <c r="C17" s="2" t="s">
        <v>20</v>
      </c>
      <c r="D17" s="2" t="s">
        <v>1830</v>
      </c>
      <c r="E17" s="2"/>
      <c r="F17" s="2" t="s">
        <v>20</v>
      </c>
      <c r="G17" s="9" t="s">
        <v>1831</v>
      </c>
      <c r="H17" s="9" t="s">
        <v>23</v>
      </c>
      <c r="I17" s="9">
        <v>2025.0</v>
      </c>
      <c r="J17" s="9" t="s">
        <v>1832</v>
      </c>
      <c r="K17" s="10" t="s">
        <v>1833</v>
      </c>
      <c r="L17" s="9" t="s">
        <v>1834</v>
      </c>
      <c r="M17" s="9" t="str">
        <f t="shared" si="1"/>
        <v>Title: Indonesian organization digital innovation: the influence of business process management capabilities</v>
      </c>
      <c r="N17" s="46" t="str">
        <f t="shared" si="2"/>
        <v>Abstract: Business process management (BPM) has emerged as one of the most widely adopted approaches for organizations to managing business processes effectively. However, Indonesian organizations often face significant challenges in implementing and managing BPM. This study aims to evaluate the influence of BPM capabilities on organizational digital innovation in Indonesia.This study employed a mixed sequential model and had 369 valid respondents who filled in the online questionnaire and 30 respondents who participated in qualitative interviews were conducted. Partial least squares structural equation modeling was used to analyze the questionnaire data, while content analysis was used to analyze the qualitative data.BPM capabilities such as process context management, process compliance management, process data analytics, process architecture and integration and adaptive process improvement exerted a statistically significant influence on reducing digitalization barriers, thereby enabling organizations to better prepare for and manage the complexities of digital transformation. Advanced process automation did not have a significant effect on reducing organizational digitalization barriers.The study emphasizes the importance of prioritizing regulatory compliance and data analytics initiatives before adopting advanced process automation, ensuring job security and promoting a more positive acceptance of change throughout an organization.Strengthening capabilities focused on regulatory compliance and data analytics has proven beneficial in creating a stable and secure work environment, thereby alleviating employees' concerns during digital transformation and encouraging innovation.</v>
      </c>
      <c r="O17" s="9" t="s">
        <v>1835</v>
      </c>
      <c r="P17" s="9" t="s">
        <v>1836</v>
      </c>
      <c r="Q17" s="47"/>
    </row>
    <row r="18">
      <c r="A18" s="2" t="s">
        <v>18</v>
      </c>
      <c r="B18" s="2" t="s">
        <v>1837</v>
      </c>
      <c r="C18" s="2" t="s">
        <v>18</v>
      </c>
      <c r="D18" s="2" t="s">
        <v>1838</v>
      </c>
      <c r="E18" s="2"/>
      <c r="F18" s="2" t="s">
        <v>18</v>
      </c>
      <c r="G18" s="9" t="s">
        <v>1839</v>
      </c>
      <c r="H18" s="9" t="s">
        <v>23</v>
      </c>
      <c r="I18" s="9">
        <v>2025.0</v>
      </c>
      <c r="J18" s="9" t="s">
        <v>1840</v>
      </c>
      <c r="K18" s="10" t="s">
        <v>1841</v>
      </c>
      <c r="L18" s="9" t="s">
        <v>1842</v>
      </c>
      <c r="M18" s="9" t="str">
        <f t="shared" si="1"/>
        <v>Title: A conceptual tool to self-assess digital decarbonization readiness</v>
      </c>
      <c r="N18" s="46" t="str">
        <f t="shared" si="2"/>
        <v>Abstract: Technological advancements have been central to decarbonization efforts; however, this has led to an increasing, hidden digital carbon footprint. This study aims to examine how organizations can self-assess their digital decarbonization readiness with the aim of reducing their digital carbon footprint.Using an integrative review approach, a canvas of the extant literature pertinent to digital decarbonization and the related fields of Green IT, digital, ICT and technology literatures, draws together insights that could be used by organizations to self-assess their digital decarbonization readiness.The conceptual tool comprises ten dimensions against which organizations self-assess to generate an overview of the organization’s performance in each dimension, highlighting areas of strength (high scores) and areas that may need improvement (low scores), and an aggregate score representing the organization’s overall digital decarbonization readiness.In the context of global net zero targets, digital decarbonization represents an opportunity to mitigate the negative environmental impact of the new data-scape. To aid organizations in reducing their digital carbon footprint, the conceptual tool allows organizations to self-assess their digital decarbonization readiness.The authors introduce a conceptual planning tool for Chief Information Officers (CIOs), Chief Technology Officers (CTOs), Chief Strategy Officers (CSOs) and Sustainability Leads to assess their digital decarbonization profile.The study outlines a series of organizational skills and capabilities to successfully manage the digital ecosystem and contribute to organizations' digital decarbonization initiatives that may help to mitigate digital carbon footprints.</v>
      </c>
      <c r="O18" s="9" t="s">
        <v>1843</v>
      </c>
      <c r="P18" s="9" t="s">
        <v>1844</v>
      </c>
      <c r="Q18" s="47"/>
    </row>
    <row r="19">
      <c r="A19" s="2" t="s">
        <v>18</v>
      </c>
      <c r="B19" s="2" t="s">
        <v>1845</v>
      </c>
      <c r="C19" s="2" t="s">
        <v>18</v>
      </c>
      <c r="D19" s="2" t="s">
        <v>1846</v>
      </c>
      <c r="E19" s="2"/>
      <c r="F19" s="2" t="s">
        <v>18</v>
      </c>
      <c r="G19" s="9" t="s">
        <v>1847</v>
      </c>
      <c r="H19" s="9" t="s">
        <v>23</v>
      </c>
      <c r="I19" s="9">
        <v>2025.0</v>
      </c>
      <c r="J19" s="9" t="s">
        <v>1848</v>
      </c>
      <c r="K19" s="10" t="s">
        <v>1849</v>
      </c>
      <c r="L19" s="9" t="s">
        <v>1850</v>
      </c>
      <c r="M19" s="9" t="str">
        <f t="shared" si="1"/>
        <v>Title: Effect of digitalisation on performance: evidence from dairy cooperatives of South India</v>
      </c>
      <c r="N19" s="46" t="str">
        <f t="shared" si="2"/>
        <v>Abstract: This study examines the effect of digital technology adoption on the performance of dairy cooperatives. It assesses the advantages and effects of digitalisation on intermediary variables, which subsequently influence outcome variables such as financial, operational, and firm-level employee performance.The research employed a quantitative, explanatory design, collecting data using a questionnaire survey. A structured questionnaire was administered to 996 senior officials of dairy cooperative societies of South India. SmartPLS was used for structural equation modelling. An importance-performance matrix analysis (IPMA) of path modelling was conducted to evaluate the effect of exogenous variables.The study’s findings indicate that digitalisation is a crucial factor influencing organisational performance, encompassing financial, operational, and employee performance. Digitalisation directly influences the integration of digital infrastructure, human resources, business processes, marketing and sales, external stakeholders, supply chain and logistics, and strategic decision-making.This study evaluates a theoretically relevant, refined conceptualisation of digitalisation performance effects. It also illustrates an improvement in the digitalisation performance network, emphasising the specific relationships between digitalisation and organisational performance outcomes, thereby making several significant contributions to the field. The primary contribution of this research is the unified model, which incorporates operational and managerial practice dimensions along with various performance outcomes—financial, operational, and firm-level employee performances. This study demonstrates the interplay of factors in digitalisation that contribute to the enhanced performance of dairy cooperatives. We extend the findings of Abou-Foul et al. (2021), Alma et al. (2018), Alzadjali and Elbanna (2020), Caldera et al. (2021), Hughes et al. (2006) and Redoli et al. (2008) by illustrating that enhanced financial performance in dairy cooperatives is predominantly achieved through the proficient digitalisation of operational and managerial practices, with optimal results observed in the areas of ISCLM and IPI. Unlike previous studies in various industries by Bhatt et al. (2019), Lopez-Nicolas and Soto-Acosta (2010), and Mohd Salleh et al. (2017), which do not examine the extent of adoption, the present study has extensively taken into account the level and degree of digitalisation.Digitalisation is of utmost importance in financial, operational, and employee performance, emphasising its pivotal role in the success of contemporary organisations (Martinez, 2019). The research emphasises the significance of supply chain and logistics management (ISCLM) for optimising operational performance (Zhang et al., 2022), whereas marketing and sales integration (IMS) and human resources integration (IHR) need improvement. These data may inform strategic decision-making by emphasising high-performance sectors and rectifying underperforming regions, therefore enhancing operational efficiency and staff performance. The study emphasises the necessity of prioritising digital transformation initiatives, leveraging the predictive capabilities of digitalisation for strategic decision-making, and perpetually enhancing performance through targeted management efforts in areas characterised by high impact and high performance (Bresciani et al., 2021). Digitalisation exerts diverse impacts on intermediary variables, including ISCLM and IPI. Managers ought to prioritise investments in digital tools that directly influence these factors, such as ISCLM and IPI, due to their substantial effect sizes.The study underscores the importance of digital adoption in the dairy cooperative industry, highlighting its practical benefits such as improved operational efficiency, strategic decision-making, and workforce development. Digital tools can optimise supply chains, inventory management, and finance procedures, enhancing overall performance. Managers can use predictive analytics to make informed business decisions and mitigate risks. Training programs and capacity-building activities are crucial for enhancing digital literacy and technical skills among employees. Digitalisation can improve dairy farmers' livelihoods by increasing market access, real-time pricing data, and financial inclusion. Digital marketing and sales channels can reach a wider consumer demographic, enhancing product availability and quality assurance. The research emphasises the need to close the digital divide in rural regions, emphasising education and infrastructure for equitable access to technology. The research highlights the significance of socioeconomic inclusion in capacity-building initiatives and digital literacy education, alongside ethical issues such as data protection and equitable access to digital resources. The implementation techniques may include public-private collaborations and incentives for adoption via metrics of performance associated with technology utilisation.This research is the first empirical study on the effects of digitalisation on the dairy cooperative sector in India, although prior studies have addressed digitalisation in other industries. It examines the impact of digitalisation on the perceived organisational performance of dairy cooperatives and the degree of variation within the sector. The model’s predictive capability facilitates managerial recommendations, highlighting the importance of predictive analytics in the dairy sector.</v>
      </c>
      <c r="O19" s="9" t="s">
        <v>1851</v>
      </c>
      <c r="P19" s="9" t="s">
        <v>1852</v>
      </c>
      <c r="Q19" s="47"/>
    </row>
    <row r="20">
      <c r="A20" s="2" t="s">
        <v>18</v>
      </c>
      <c r="B20" s="2" t="s">
        <v>1853</v>
      </c>
      <c r="C20" s="2" t="s">
        <v>18</v>
      </c>
      <c r="D20" s="2" t="s">
        <v>1854</v>
      </c>
      <c r="E20" s="2"/>
      <c r="F20" s="2" t="s">
        <v>18</v>
      </c>
      <c r="G20" s="9" t="s">
        <v>1855</v>
      </c>
      <c r="H20" s="9" t="s">
        <v>23</v>
      </c>
      <c r="I20" s="9">
        <v>2025.0</v>
      </c>
      <c r="J20" s="9" t="s">
        <v>1856</v>
      </c>
      <c r="K20" s="10" t="s">
        <v>1857</v>
      </c>
      <c r="L20" s="9" t="s">
        <v>1858</v>
      </c>
      <c r="M20" s="9" t="str">
        <f t="shared" si="1"/>
        <v>Title: Digitalization of accounting processes and performance of small and medium enterprises: mediating role of exploitation and exploration</v>
      </c>
      <c r="N20" s="46" t="str">
        <f t="shared" si="2"/>
        <v>Abstract: This study aims to fill a gap in the literature regarding the digitalization of accounting processes (DAP) and its impact on small and medium enterprises (SMEs) performance. Current research primarily focuses on large organizations, leaving SMEs comparatively understudied. It remains unclear if DAP directly influences SME performance or if the exploitation dimension of organizational ambidexterity mediates this relationship. This study investigates both the direct and mediated effects of DAP on SME business performance.This study employs the ambidexterity theory and the technology-organization-environment (TOE) framework to present a conceptual framework that establishes a connection between DAP and SME performance, mediated by the influences of exploitation and exploration. To assess our hypotheses, we collected cross-sectional data from 254 SMEs in Oman. The analysis was conducted using structural equation modeling, implemented with Smart PLS.The findings suggest that DAP has a positive impact on both the exploitation and performance of SMEs. Additionally, exploitation not only directly affects performance but also partially mediates the relationship between DAP and performance.Despite the significance of this study, numerous limitations must be recognized. The research is confined to SMEs in Oman, which may limit the generalizability of the results. Subsequent research may utilize this approach in many cultural and geographic settings, including developed economies, to investigate potential discrepancies in DAP impact. Secondly, although the study emphasizes exploitation as a mediator, additional organizational characteristics, including leadership style, digital culture and strategy alignment, may potentially affect the DAP performance link and warrant further examination. Thirdly, while quantitatively robust, the use of statistical data fails to adequately represent the varied perspectives of SME managers throughout the digitalization process.The framework examined in this study offers practical guidance for decision-makers and policymakers involved in SME development. It underscores the significance of digitalizing accounting processes, which empowers these enterprises to enhance operational efficiencies by leveraging their existing resources and capabilities, ultimately resulting in improved business performance. These insights can inform practitioners in crafting policies and strategies that aim to ensure the sustainability of SMEs.This study contributes to the growing body of knowledge on digital transformation and its impact on organizational performance. It offers a distinctive perspective on the connection between DAP and SME performance. The uniqueness of this study lies in its presentation and testing of a framework that intersects two theories from separate domains: the TOE framework in technology adoption and the ambidexterity theory in strategic management. Moreover, the study examines the potential mediating role of exploitation in the relationship between DAP and SME performance.</v>
      </c>
      <c r="O20" s="9" t="s">
        <v>1859</v>
      </c>
      <c r="P20" s="9" t="s">
        <v>1860</v>
      </c>
      <c r="Q20" s="47"/>
    </row>
    <row r="21">
      <c r="A21" s="2" t="s">
        <v>20</v>
      </c>
      <c r="B21" s="2" t="s">
        <v>1861</v>
      </c>
      <c r="C21" s="2" t="s">
        <v>18</v>
      </c>
      <c r="D21" s="2" t="s">
        <v>1862</v>
      </c>
      <c r="E21" s="2"/>
      <c r="F21" s="2" t="s">
        <v>20</v>
      </c>
      <c r="G21" s="9" t="s">
        <v>1863</v>
      </c>
      <c r="H21" s="9" t="s">
        <v>23</v>
      </c>
      <c r="I21" s="9">
        <v>2025.0</v>
      </c>
      <c r="J21" s="9" t="s">
        <v>1864</v>
      </c>
      <c r="K21" s="10" t="s">
        <v>1865</v>
      </c>
      <c r="L21" s="9" t="s">
        <v>1866</v>
      </c>
      <c r="M21" s="9" t="str">
        <f t="shared" si="1"/>
        <v>Title: Investigating the nexus between business process management maturity and digital maturity: an empirical study of organizations in Poland</v>
      </c>
      <c r="N21" s="46" t="str">
        <f t="shared" si="2"/>
        <v>Abstract: The goal of this study is to investigate the relationship between business process management maturity and digital maturity, where the latter is represented by identified key critical dimensions.The study is qualitative-quantitative in nature. An exploratory research of digital maturity models developed by management consultancies made it possible to identify the common, practical dimensions deemed critical for digital maturity, such as digital culture, processes, strategy, customer value, technological readiness, governance, change management, digital competencies of employees and use of data. Data on BPM and digital maturity from organizations operating in Poland were collected using the research questionnaire. Employing structural equation modeling (PLS-SEM), the analysis of the relationships between BPM maturity and the nine dimensions of digital maturity was carried out.The statistical analysis revealed a strong impact of BPM maturity on change management capabilities. The dimensions of digital processes, competencies, governance, strategy and technological readiness were found to be moderately positively influenced by BPM maturity. The analysis did not confirm a positive influence of BPM maturity on building digital customer value or data usage. We conclude that excelling in BPM can support an organization’s digital transformation efforts. However, attention should be paid to employing BPM in a way that extends beyond standardization and efficiency and enables customer-centricity and innovation.The article proposes novel contributions by emphasizing the importance of BPM maturity in achieving digital maturity, which may contribute to successful digital transformation. Additionally, the original conclusions include the identification of common dimensions of digital maturity derived from business practice.</v>
      </c>
      <c r="O21" s="9" t="s">
        <v>1867</v>
      </c>
      <c r="P21" s="9" t="s">
        <v>1868</v>
      </c>
      <c r="Q21" s="47"/>
    </row>
    <row r="22">
      <c r="A22" s="2" t="s">
        <v>18</v>
      </c>
      <c r="B22" s="2" t="s">
        <v>1869</v>
      </c>
      <c r="C22" s="2" t="s">
        <v>18</v>
      </c>
      <c r="D22" s="2" t="s">
        <v>1870</v>
      </c>
      <c r="E22" s="2"/>
      <c r="F22" s="2" t="s">
        <v>18</v>
      </c>
      <c r="G22" s="9" t="s">
        <v>1871</v>
      </c>
      <c r="H22" s="9" t="s">
        <v>23</v>
      </c>
      <c r="I22" s="9">
        <v>2025.0</v>
      </c>
      <c r="J22" s="9" t="s">
        <v>1872</v>
      </c>
      <c r="K22" s="10" t="s">
        <v>1873</v>
      </c>
      <c r="L22" s="9" t="s">
        <v>1874</v>
      </c>
      <c r="M22" s="9" t="str">
        <f t="shared" si="1"/>
        <v>Title: Unlocking the influence of empowering leadership on digital transformation through innovative work behavior: evidence from the Indian IT sector</v>
      </c>
      <c r="N22" s="46" t="str">
        <f t="shared" si="2"/>
        <v>Abstract: Digital transformation witnessed from the viewpoint of the new institutional theory is the outcome of several digital breakthroughs that bring together new actors, organizational structures, practices and values intending to challenge, replace or enhance current business models and procedures. In line with this framework, this study seeks to empirically investigate the influence of empowering leadership on a firm’s digital transformation efforts. Additionally, it explores the mediating role of employees’ innovative work behavior within the context of digital transformation and empowering leadership.To achieve the proposed objectives, structural equation modelling (SEM) was performed using Smart PLS, on a sample of 221 employees working in the Indian IT sector. SPSS was utilized to gain insights into the descriptive statistics of the sample.The findings disclosed empowering leadership as a critical facilitator of digital transformation by overcoming the issue of employee resistance to change through their unique traits. Furthermore, innovative work behavior is found to be a significant mediator within the aforementioned relationship.The contribution of the study lies in its empirical examination of novel relationships, notably the direct link between empowering leadership and digital transformation, as well as the indirect association through innovative work behavior. These relationships have not been thoroughly explored in the literature so far, making this study a valuable addition. The research also offers several key insights about the drivers of DT for industry experts that can be practically implemented.The novelty of the study lies in exploring empowering leadership as the driver/facilitator of digital transformation, which has not been done before despite the increasing relevance of its traits in the digital era. Moreover, the study provides clarity about the critical role of innovative employees in promoting digitalization in the organization.</v>
      </c>
      <c r="O22" s="9" t="s">
        <v>1875</v>
      </c>
      <c r="P22" s="9" t="s">
        <v>1876</v>
      </c>
      <c r="Q22" s="47"/>
    </row>
    <row r="23">
      <c r="A23" s="2" t="s">
        <v>18</v>
      </c>
      <c r="B23" s="2" t="s">
        <v>1877</v>
      </c>
      <c r="C23" s="2" t="s">
        <v>18</v>
      </c>
      <c r="D23" s="2" t="s">
        <v>1878</v>
      </c>
      <c r="E23" s="2"/>
      <c r="F23" s="2" t="s">
        <v>18</v>
      </c>
      <c r="G23" s="9" t="s">
        <v>1312</v>
      </c>
      <c r="H23" s="9" t="s">
        <v>23</v>
      </c>
      <c r="I23" s="9">
        <v>2025.0</v>
      </c>
      <c r="J23" s="9" t="s">
        <v>1313</v>
      </c>
      <c r="K23" s="10" t="s">
        <v>1879</v>
      </c>
      <c r="L23" s="9" t="s">
        <v>1315</v>
      </c>
      <c r="M23" s="9" t="str">
        <f t="shared" si="1"/>
        <v>Title: Advertising in the digital era: Can AI evoke emotions like humans?</v>
      </c>
      <c r="N23" s="46" t="str">
        <f t="shared" si="2"/>
        <v>Abstract: This study investigates the variations in consumers’ affective responses to AI-generated versus human-generated content in a firm’s advertising copywriting, analysing emotional reactions to short-form promotional text across three affective dimensions—Pleasure, Arousal, and Dominance—from the PAD emotional model.A Mann-Whitney analysis on SPSS 29 is conducted to assess group differences on a sample of 222 participants randomly assigned to one of two experimental conditions. The analysis evaluates group variances across emotional constructs alongside three control variables: AI Encounter, AI recognition and AI trust.The results indicate no significant differences among groups regarding the main emotional dimensions, suggesting relevant implications for AI integration in business process automations. However, trust and familiarity with AI technology influence consumers’ responses differently across conditions.This study sheds light on new business opportunities for enhancing creative communication processes with AI implementation, providing practitioners with relevant insights to improve advertising and copywriting by collaboratively using AI in crafting emotionally engaging advertisements for effective communication strategies.</v>
      </c>
      <c r="O23" s="9" t="s">
        <v>1880</v>
      </c>
      <c r="P23" s="9" t="s">
        <v>1317</v>
      </c>
      <c r="Q23" s="47"/>
    </row>
    <row r="24">
      <c r="A24" s="2" t="s">
        <v>18</v>
      </c>
      <c r="B24" s="2" t="s">
        <v>1881</v>
      </c>
      <c r="C24" s="2" t="s">
        <v>18</v>
      </c>
      <c r="D24" s="2" t="s">
        <v>1882</v>
      </c>
      <c r="E24" s="2"/>
      <c r="F24" s="2" t="s">
        <v>18</v>
      </c>
      <c r="G24" s="9" t="s">
        <v>1883</v>
      </c>
      <c r="H24" s="9" t="s">
        <v>23</v>
      </c>
      <c r="I24" s="9">
        <v>2025.0</v>
      </c>
      <c r="J24" s="9" t="s">
        <v>1884</v>
      </c>
      <c r="K24" s="10" t="s">
        <v>1885</v>
      </c>
      <c r="L24" s="9" t="s">
        <v>1886</v>
      </c>
      <c r="M24" s="9" t="str">
        <f t="shared" si="1"/>
        <v>Title: About the interplay between technological resources and institutional factors for realizing digital work: a public sector long-term view</v>
      </c>
      <c r="N24" s="46" t="str">
        <f t="shared" si="2"/>
        <v>Abstract: The digital era requires organizations to realign their work practices, culture, and structure. This study investigates the complex dynamics of organizational adaptation to rapid technological advancements by examining the interplay between technological resources and institutional factors over time.An in-depth long-term case study of a public sector organization forms the basis of this research. The study employs the resource-based view (RBV) and institutional theory as theoretical frameworks to analyze the organization’s digital transformation journey, integrating qualitative and quantitative data collection methods.The findings reveal a gradual evolution in the organization’s digital maturity, transitioning from a focus on IT infrastructure to a comprehensive integration of technological resources with organizational processes and human capital. The study underscores the critical synergy between institutional factors and technological adaptation, with key milestones marking the organization’s progress toward a digitally integrated and employee-centric state. External factors, such as the COVID-19 pandemic, are shown to accelerate digital transformation.The study outlines a tailored roadmap for public sector organizations to align institutional culture and structure with technological resources, facilitating successful digital transformation.This study provides a novel long-term perspective on digital transformation, emphasizing the importance of balancing resource optimization with institutional alignment. It offers strategic guidance for organizations embarking on digital transformation journeys, highlighting the role of institutional culture, employee engagement, and external catalysts in achieving sustainable digital integration.</v>
      </c>
      <c r="O24" s="9" t="s">
        <v>1887</v>
      </c>
      <c r="P24" s="9" t="s">
        <v>1888</v>
      </c>
      <c r="Q24" s="47"/>
    </row>
    <row r="25">
      <c r="A25" s="2" t="s">
        <v>20</v>
      </c>
      <c r="B25" s="2" t="s">
        <v>1889</v>
      </c>
      <c r="C25" s="2" t="s">
        <v>18</v>
      </c>
      <c r="D25" s="2" t="s">
        <v>1890</v>
      </c>
      <c r="E25" s="2"/>
      <c r="F25" s="2" t="s">
        <v>20</v>
      </c>
      <c r="G25" s="9" t="s">
        <v>1689</v>
      </c>
      <c r="H25" s="9" t="s">
        <v>23</v>
      </c>
      <c r="I25" s="9">
        <v>2025.0</v>
      </c>
      <c r="J25" s="9" t="s">
        <v>1690</v>
      </c>
      <c r="K25" s="10" t="s">
        <v>1891</v>
      </c>
      <c r="L25" s="9" t="s">
        <v>1692</v>
      </c>
      <c r="M25" s="9" t="str">
        <f t="shared" si="1"/>
        <v>Title: Unveiling how business process management capabilities foster dynamic decision-making for effectiveness of sustainable digital transformation</v>
      </c>
      <c r="N25" s="46" t="str">
        <f t="shared" si="2"/>
        <v>Abstract: This research aims at investigating how business process management capabilities (BPMC) impact the effectiveness of sustainable digital transformation (ESDT). Furthermore, it delves into the mediation of dynamic decision-making (DDM) in the relationship between BPMC and ESDT.This research employed the hypothetico-deductive technique. The statistical database was generated from sample of 712 respondents from small and medium companies (SMEs) in Vietnam, utilizing convenience and snowball sampling methods. The two-step process utilizing structural equation modeling, supported by SmartPLS version 4.1.0.9 and AMOS 28, was employed to assess the measurement model, while SmartPLS version 4.1.0.9 was used to evaluate the structural model.The results of the analysis emphasize significant and positive correlations between the proposed constructs related to significance and effect size. The statistical results indicated that BPMC had a significant and beneficial effect on ESDT. This relationship was partially mediated by DMM.The salient point emphasized that practitioners should prioritize enhancing focus on BPMC and DDM, as this would significantly facilitate more comprehensive solutions, enabling SMEs to achieve optimal success in sustainable digital transformation. Policymakers and government influencers are urged to concentrate on innovative attributes and ensure a conducive environment for the implementation of innovation by enacting regulations that promote the application of digital technology.The findings of this study will broaden scholars’ understanding of the influence of BPMC on ESDT. The originality of the research is to provide research directions for advancing studies on the role of DDM in the context of sustainable digital transformation.</v>
      </c>
      <c r="O25" s="9" t="s">
        <v>1892</v>
      </c>
      <c r="P25" s="9" t="s">
        <v>1694</v>
      </c>
      <c r="Q25" s="47"/>
    </row>
    <row r="26">
      <c r="A26" s="2" t="s">
        <v>18</v>
      </c>
      <c r="B26" s="2" t="s">
        <v>1893</v>
      </c>
      <c r="C26" s="2" t="s">
        <v>18</v>
      </c>
      <c r="D26" s="2" t="s">
        <v>1894</v>
      </c>
      <c r="E26" s="2"/>
      <c r="F26" s="2" t="s">
        <v>20</v>
      </c>
      <c r="G26" s="9" t="s">
        <v>1895</v>
      </c>
      <c r="H26" s="9" t="s">
        <v>23</v>
      </c>
      <c r="I26" s="9">
        <v>2025.0</v>
      </c>
      <c r="J26" s="9" t="s">
        <v>1896</v>
      </c>
      <c r="K26" s="10" t="s">
        <v>1897</v>
      </c>
      <c r="L26" s="9" t="s">
        <v>1898</v>
      </c>
      <c r="M26" s="9" t="str">
        <f t="shared" si="1"/>
        <v>Title: Design principles for process improvement and innovation systems</v>
      </c>
      <c r="N26" s="46" t="str">
        <f t="shared" si="2"/>
        <v>Abstract: Given today’s dynamic environment, process improvement and innovation (PII) are a central activity for business process management. Despite increasingly available process data and advances in artificial intelligence, only a few works address the automation of PII, highlighting the need for so-called PII systems that support human process designers. However, previous research focuses on problem statements and expository software engineering artifacts. In contrast, design knowledge for PII systems remains scarce, presenting challenges for researchers and practitioners alike. Prescriptive knowledge could address this issue and support future PIIS development. Thus, this paper provides design knowledge for PII systems in the form of 14 design principles.We follow the design science research paradigm, building on two systematic literature reviews, 20 exploratory expert interviews and two evaluation surveys.This paper presents three design requirements and 14 design principles for PII systems as the main contribution. They help to identify necessary functionalities, guide the design and development of future PIIS and serve as a starting point toward comprehensive design knowledge for PII systems.The original contribution of this paper consists of prescriptive design knowledge for PII systems based on literature and qualitative insights. To the best of our knowledge, we are the first to define design principles for PII systems, bringing together knowledge from related system classes as well as unique requirements from a process design perspective.</v>
      </c>
      <c r="O26" s="9" t="s">
        <v>1899</v>
      </c>
      <c r="P26" s="9" t="s">
        <v>1900</v>
      </c>
      <c r="Q26" s="47"/>
    </row>
    <row r="27">
      <c r="A27" s="2" t="s">
        <v>18</v>
      </c>
      <c r="B27" s="2" t="s">
        <v>1901</v>
      </c>
      <c r="C27" s="2" t="s">
        <v>18</v>
      </c>
      <c r="D27" s="2" t="s">
        <v>1902</v>
      </c>
      <c r="E27" s="2"/>
      <c r="F27" s="2" t="s">
        <v>18</v>
      </c>
      <c r="G27" s="9" t="s">
        <v>1903</v>
      </c>
      <c r="H27" s="9" t="s">
        <v>23</v>
      </c>
      <c r="I27" s="9">
        <v>2024.0</v>
      </c>
      <c r="J27" s="9" t="s">
        <v>1904</v>
      </c>
      <c r="K27" s="10" t="s">
        <v>1905</v>
      </c>
      <c r="L27" s="9" t="s">
        <v>1906</v>
      </c>
      <c r="M27" s="9" t="str">
        <f t="shared" si="1"/>
        <v>Title: Boosting intellectual capital and digital maturity of SMEs: an investigation of enterprises in an Italian Southern tourist district</v>
      </c>
      <c r="N27" s="46" t="str">
        <f t="shared" si="2"/>
        <v>Abstract: This study intends to analyze the relationship between the digital maturity of SMEs and intellectual capital, investigating the determining factors. Starting from the endowment in terms of intellectual capital and evaluating Management Style, Decision-Making Competences, and Business Network, a model is proposed aiming to provide a comprehensive measure of SMEs’ digital maturity and thus to improve understanding and, consequently, effectiveness. The empirical analysis allows assessing the validity and applicability of the suggested model, providing valuable insights for the improvement of digital strategy and competitiveness of SMEs in the Amalfi Coast Tourist District (Italy), with evident implications also for policymakers and the community.A mixed-methods research strategy was utilized to confirm research hypotheses that were derived from literature review. The field study was organized into two separate phases: the first phase, which is qualitative, employed focus groups comprising key stakeholders (managers and entrepreneurs) from various companies within the Amalfi Coast Tourist District. This phase adhered to the principles of homogeneity (to facilitate deeper discussions) and heterogeneity (to allow for a broader range of viewpoints among participants). The insights gathered from these preliminary focus groups informed the subsequent quantitative phase. In this second phase, structured interviews were conducted using a questionnaire to probe the participants’ views on digital maturity. This analysis involved 94 companies, all part of the Amalfi Coast Tourist District, assessing their digitalization levels and highlighting key management attributes. Logistic regression was applied to quantitatively analyze the data, effectively assessing the impact of various independent variables (such as Management Style, Decision-Making Competencies and Business Network) on the dependent variable, digital maturity. Employing both qualitative and quantitative methods provides a thorough and nuanced understanding of the digital maturity landscape within the specified context.The main results suggest the existence of a correlation between the analyzed variables and digital maturity. Innovation, indeed, increases by applying a data-driven leadership style. Intellectual capital (measured in its three components of human capital: decision-making competences; structural capital: management style; and relational capital: business network) influences digital maturity, although some of the variables used are not equally weighted.The main contribution of this article is to provide an in-depth understanding of the company components that favor digital maturity, to support strategic choices oriented towards a conscious digital transition. The results enrich the existing literature on intellectual capital in terms of its contribution to the digitalization of organizations, which can be a critical success factor in the context of SMEs.</v>
      </c>
      <c r="O27" s="9" t="s">
        <v>1907</v>
      </c>
      <c r="P27" s="9" t="s">
        <v>1908</v>
      </c>
      <c r="Q27" s="47"/>
    </row>
    <row r="28">
      <c r="A28" s="2" t="s">
        <v>18</v>
      </c>
      <c r="B28" s="2" t="s">
        <v>1909</v>
      </c>
      <c r="C28" s="2" t="s">
        <v>18</v>
      </c>
      <c r="D28" s="2" t="s">
        <v>1910</v>
      </c>
      <c r="E28" s="2"/>
      <c r="F28" s="2" t="s">
        <v>18</v>
      </c>
      <c r="G28" s="9" t="s">
        <v>1911</v>
      </c>
      <c r="H28" s="9" t="s">
        <v>23</v>
      </c>
      <c r="I28" s="9">
        <v>2024.0</v>
      </c>
      <c r="J28" s="9" t="s">
        <v>1912</v>
      </c>
      <c r="K28" s="10" t="s">
        <v>1913</v>
      </c>
      <c r="L28" s="12"/>
      <c r="M28" s="9" t="str">
        <f t="shared" si="1"/>
        <v>Title: Does FinTech adoption impact on sustainability of small businesses: mediating role of financial well-being</v>
      </c>
      <c r="N28" s="46" t="str">
        <f t="shared" si="2"/>
        <v>Abstract: This paper aims to explore the impact of FinTech adoption on small business sustainability and to understand how financial well-being acts as a mediator in this relationship. which is essential in fostering business sustainability in today’s dynamic business landscape.A survey was conducted with an initial sample of 500 respondents, and subsequently, a final analysis was performed using a sample size of 321 respondents. Data was collected through a self-administered survey, and the hypothesized model was assessed using the Smart PLS analysis technique.The findings revealed significant positive associations between Fintech adoption and small business sustainability, and financial well-being acts as a significant mediator in establishing this relationship. Financial well-being has a positive and significant impact on sustainability, with substantial and positive correlations with their respective elements.Small businesses will realize the significance of financial well-being in their operations. This realization can motivate them to invest in digital tools such as payment systems and accounting software to streamline their operations and increase their resilience.The results of this research can serve as a foundational framework for enhancing business sustainability in the Fintech sector, thereby facilitating the financial industry’s efforts to achieve economies of scale globally. Future research can investigate specific aspects, industries or regions deeper to provide a more comprehensive understanding of the study.</v>
      </c>
      <c r="O28" s="9" t="s">
        <v>1914</v>
      </c>
      <c r="P28" s="9" t="s">
        <v>1915</v>
      </c>
      <c r="Q28" s="47"/>
    </row>
    <row r="29">
      <c r="A29" s="2" t="s">
        <v>18</v>
      </c>
      <c r="B29" s="2" t="s">
        <v>1916</v>
      </c>
      <c r="C29" s="2" t="s">
        <v>18</v>
      </c>
      <c r="D29" s="2" t="s">
        <v>1917</v>
      </c>
      <c r="E29" s="2"/>
      <c r="F29" s="2" t="s">
        <v>18</v>
      </c>
      <c r="G29" s="9" t="s">
        <v>1666</v>
      </c>
      <c r="H29" s="9" t="s">
        <v>23</v>
      </c>
      <c r="I29" s="9">
        <v>2024.0</v>
      </c>
      <c r="J29" s="9" t="s">
        <v>1667</v>
      </c>
      <c r="K29" s="10" t="s">
        <v>1918</v>
      </c>
      <c r="L29" s="9" t="s">
        <v>1669</v>
      </c>
      <c r="M29" s="9" t="str">
        <f t="shared" si="1"/>
        <v>Title: Unlocking the potential of digital innovations on BPM: a bibliometric and systematic literature review</v>
      </c>
      <c r="N29" s="46" t="str">
        <f t="shared" si="2"/>
        <v>Abstract: This study aims to perform a bibliometric and systematic literature review (SLR) to elucidate the current landscape and to propose a framework that defines and explores research strands to guide the formulation of business process management (BPM) strategies anchored in digital innovations.A bibliometric analysis of 238 papers from the last 10 years (2014–2023) that were correlated to BPM strategies and digital innovations was conducted. Additionally, a SLR was performed on 15 selected papers, making it possible to propose a framework that explored research strands through the content analysis.A framework comprising eight research strands (value creation; ambidexterity; governance; agility in processes; strategic process management; external context and culture and integrated systems) was developed. It proposes a research agenda and provides valuable insights as a reference for formulating BPM organizational strategies anchored in digital innovations.This study acknowledges the limitation of utilizing a single software for bibliometric analysis. The framework developed in this study has not yet been validated.This paper provides insights to assist managers in comprehending BPM strategies anchored in digital innovations and calls for organizations to prepare for future digital needs.This paper contributes to advancing our understanding of BPM aligned with the demands of a digital age society.The developed framework sheds light on the current landscape and research strands that explore the association between digital innovations and BPM strategies. This provides a valuable opportunity for future qualitative and quantitative studies to explore the eight research strands presented in the framework.</v>
      </c>
      <c r="O29" s="9" t="s">
        <v>1919</v>
      </c>
      <c r="P29" s="9" t="s">
        <v>1671</v>
      </c>
      <c r="Q29" s="47"/>
    </row>
    <row r="30">
      <c r="A30" s="2" t="s">
        <v>18</v>
      </c>
      <c r="B30" s="2" t="s">
        <v>1920</v>
      </c>
      <c r="C30" s="2" t="s">
        <v>18</v>
      </c>
      <c r="D30" s="2" t="s">
        <v>1921</v>
      </c>
      <c r="E30" s="2"/>
      <c r="F30" s="2" t="s">
        <v>18</v>
      </c>
      <c r="G30" s="9" t="s">
        <v>1922</v>
      </c>
      <c r="H30" s="9" t="s">
        <v>23</v>
      </c>
      <c r="I30" s="9">
        <v>2024.0</v>
      </c>
      <c r="J30" s="9" t="s">
        <v>1923</v>
      </c>
      <c r="K30" s="10" t="s">
        <v>1924</v>
      </c>
      <c r="L30" s="9" t="s">
        <v>1925</v>
      </c>
      <c r="M30" s="9" t="str">
        <f t="shared" si="1"/>
        <v>Title: Implementation of Quality 4.0 framework in the electronics sector using ANP and QFD methodologies</v>
      </c>
      <c r="N30" s="46" t="str">
        <f t="shared" si="2"/>
        <v>Abstract: Quality 4.0 is essential to the Industry 4.0 framework, notably in the electronics sector. It evaluates product quality in real-time using automatic process controls, quality tools and procedures. The implementation of Quality 4.0 criteria in the electronics industry is the subject of this study’s investigation and analysis. In this study, nine Customer Requirements (CRs) and 18 Design Requirements (DRs) have been defined to adopt Quality 4.0, aiming to increase yield while reducing defects. This study has developed a Quality 4.0 framework for effective implementation, incorporating the People, Process and Technology categories.Many CRs and DRs of Quality 4.0 exhibit interdependencies. The Analytic Network Process (ANP) considers interdependencies among the criteria at various levels. Quality Function Deployment (QFD) can capture the customer’s voice, which is particularly important in Quality 4.0. Therefore, in this research, we use an integrated ANP-QFD methodology for prioritizing DRs based on the customers' needs and preferences, ultimately leading to better product and service development.According to the research findings, the most critical consumer criteria for Quality 4.0 in the electronics sector are automatic systems, connectivity, compliance and leadership. The Intelligent Internet of Things (IIOTs) has emerged as the most significant design requirement that enables effective control in production. It is observed that robotics process automation and a workforce aligned with Quality 4.0 also play crucial roles.Existing literature does not include studies on identifying CRs and DRs for implementing Quality 4.0 in the electronics industry. To address this gap, we propose a framework to integrate real-time quality measures into the Industry 4.0 context, thereby facilitating the implementation of Quality 4.0 in the electronics industry. This study can provide valuable insights for industry practitioners to implement Quality 4.0 effectively in their organizations.</v>
      </c>
      <c r="O30" s="9" t="s">
        <v>1926</v>
      </c>
      <c r="P30" s="9" t="s">
        <v>1927</v>
      </c>
      <c r="Q30" s="47"/>
    </row>
    <row r="31">
      <c r="A31" s="2" t="s">
        <v>20</v>
      </c>
      <c r="B31" s="2" t="s">
        <v>1928</v>
      </c>
      <c r="C31" s="2" t="s">
        <v>18</v>
      </c>
      <c r="D31" s="2" t="s">
        <v>1929</v>
      </c>
      <c r="E31" s="2"/>
      <c r="F31" s="2" t="s">
        <v>18</v>
      </c>
      <c r="G31" s="9" t="s">
        <v>1349</v>
      </c>
      <c r="H31" s="9" t="s">
        <v>23</v>
      </c>
      <c r="I31" s="9">
        <v>2024.0</v>
      </c>
      <c r="J31" s="9" t="s">
        <v>1350</v>
      </c>
      <c r="K31" s="10" t="s">
        <v>1930</v>
      </c>
      <c r="L31" s="9" t="s">
        <v>1352</v>
      </c>
      <c r="M31" s="9" t="str">
        <f t="shared" si="1"/>
        <v>Title: Business process management and digitalization – a reciprocal relationship</v>
      </c>
      <c r="N31" s="46" t="str">
        <f t="shared" si="2"/>
        <v>Abstract: This study investigated the interplay between business process management (BPM) and digitalization in organizations and developed principles for designing their interaction.This study was explorative and used a questionnaire-based survey that involved experts in BPM and digitalization who were actively engaged in these two domains in their organizations to come up with the design principles. The survey and the design principles were based on Rosemann and vom Brocke's (2010) six core elements of BPM.Digitalization was seen as influencing how BPM is practiced in organizations by strengthening organizations’ focus on BPM, and conversely, BPM was perceived as beneficial for digitalization and digitalization outcomes. In addition, based on Rosemann and vom Brocke’s six core elements of BPM, we proposed six principles for designing the interplay of BPM and digitalization in organizations.Our empirical investigation was situated in a Norwegian context and included 104 respondents. While we have no reason to believe that our findings should not be valid and useful in other regions, this is a limitation in generalizing our findings, and a natural follow-up would be to investigate our research questions in other geographical areas. We are also aware of the potential response bias in our sample. Moreover, to outline the principles for designing the interactions of BPM and digitalization, we applied the six core elements of BPM by Rosemann and vom Brocke (2010) as our theoretical lens. We acknowledge that there are more issues related to the interplay of BPM and digitalization than we have dealt with in this study.This study has several implications for organizations. First, managers may use our proposed design principles to decide how to integrate BPM and digitalization. Second, although this study showed that each discipline nurtures its own culture, building an organizational culture that combines values from each discipline can enable a process-oriented organization to innovate its operations and services with digital technology. Third, managers should align the responsibilities and tasks of process owners with the demands for the digitalization of business processes. Fourth, managers, when integrating BPM and digitalization, should take care not to impede the generative attributes of each discipline.Processes and digital technologies play important roles in society at all levels. BPM seeks to understand how processes unfold and explores how new practices may better serve individuals, organizations and society (vom Brocke et al., 2021), while digitalization is concerned with how various kinds of modern digital technologies may trigger organizational and social changes (Markus and Rowe, 2023; Suri and Jack, 2016).This study is one of the first studies to investigate the interplay between BPM and digitalization – how digitalization affects BPM practices in organizations and how BPM influences digitalization outcomes. In addition, this study offers novel principles for designing the interaction between BPM and digitalization.</v>
      </c>
      <c r="O31" s="9" t="s">
        <v>1931</v>
      </c>
      <c r="P31" s="9" t="s">
        <v>1354</v>
      </c>
      <c r="Q31" s="47"/>
    </row>
    <row r="32">
      <c r="A32" s="2" t="s">
        <v>18</v>
      </c>
      <c r="B32" s="2" t="s">
        <v>1932</v>
      </c>
      <c r="C32" s="2" t="s">
        <v>18</v>
      </c>
      <c r="D32" s="2" t="s">
        <v>1933</v>
      </c>
      <c r="E32" s="2"/>
      <c r="F32" s="2" t="s">
        <v>18</v>
      </c>
      <c r="G32" s="9" t="s">
        <v>1666</v>
      </c>
      <c r="H32" s="9" t="s">
        <v>23</v>
      </c>
      <c r="I32" s="9">
        <v>2024.0</v>
      </c>
      <c r="J32" s="9" t="s">
        <v>1682</v>
      </c>
      <c r="K32" s="10" t="s">
        <v>1934</v>
      </c>
      <c r="L32" s="9" t="s">
        <v>1684</v>
      </c>
      <c r="M32" s="9" t="str">
        <f t="shared" si="1"/>
        <v>Title: Unraveling the trends in business process management: a comprehensive bibliometric analysis of management and business literature</v>
      </c>
      <c r="N32" s="46" t="str">
        <f t="shared" si="2"/>
        <v>Abstract: This study aims to analyze international scientific production from 1960 to 2023 on business process management (BPM), highlighting the latest trends in BPM in the field of management and business during the 21st century.We conducted a bibliometric analysis of 729 BPM articles from management and business journals using the SCOPUS database and VOSviewer software to map the scholarly landscape.Nearly 45% of the papers were published between 2018 and 2023, prominently featuring the Business Process Management Journal. The University of São Paulo and Queensland University of Technology were the most prolific institutions. Significant emerging trends identified include Strategic Management, Digital Transformation, and IoT. Author Röglinger was noted for the highest publication rate.The analysis was restricted to journal articles from one database, potentially overlooking insights from conferences, books, and other formats.The study highlights the significant benefits of integrating technologies like Artificial Intelligence and IoT in BPM, improving operational efficiency, competitiveness, and innovation in adaptability and service personalization.Technological advancements in BPM could enhance employment, require new skills, support a sustainable economy, and improve organizational transparency and service accessibility, bolstering corporate social responsibility and inclusion.This research offers a unique overview of the integration of emerging technologies in BPM, shedding light on their strategic and social implications, and providing critical insights for optimizing processes and fostering business innovation.</v>
      </c>
      <c r="O32" s="9" t="s">
        <v>1935</v>
      </c>
      <c r="P32" s="9" t="s">
        <v>1686</v>
      </c>
      <c r="Q32" s="47"/>
    </row>
    <row r="33">
      <c r="A33" s="2" t="s">
        <v>20</v>
      </c>
      <c r="B33" s="2" t="s">
        <v>1936</v>
      </c>
      <c r="C33" s="2" t="s">
        <v>20</v>
      </c>
      <c r="D33" s="2" t="s">
        <v>1937</v>
      </c>
      <c r="E33" s="2"/>
      <c r="F33" s="2" t="s">
        <v>20</v>
      </c>
      <c r="G33" s="9" t="s">
        <v>1674</v>
      </c>
      <c r="H33" s="9" t="s">
        <v>23</v>
      </c>
      <c r="I33" s="9">
        <v>2024.0</v>
      </c>
      <c r="J33" s="9" t="s">
        <v>1675</v>
      </c>
      <c r="K33" s="10" t="s">
        <v>1938</v>
      </c>
      <c r="L33" s="9" t="s">
        <v>1677</v>
      </c>
      <c r="M33" s="9" t="str">
        <f t="shared" si="1"/>
        <v>Title: Unlocking the promise of process mining: shaping perceptions and impact in the public sector</v>
      </c>
      <c r="N33" s="46" t="str">
        <f t="shared" si="2"/>
        <v>Abstract: Worldwide challenges impose public organizations to rethink their processes and satisfactorily meet citizens’ needs. Process mining (PM) techniques enable organizations to objectively analyse and improve their processes, by providing higher process transparency and efficiency. However, extant literature on PM applications in the public sector reveals there is still limited evidence on the opportunities and challenges perceived from PM introduction in the public sector, and on PM potential to enhance public sector digital transformation: this study aims to fill these gaps.Based on Business Process Management and digital innovation fields of research, we administered a questionnaire to a sample of Italian civil servants working in different public organizations to investigate their perceptions of PM opportunities and challenges and the extent to which it can support public sector digital transformation. A three-level analysis was conducted to inspect findings with different levels of granularity, and results were analysed both descriptively and quantitatively.We found a positive attitude towards PM introduction in the public sector, and perceived opportunities and challenges related to both the technical and the social systems. The triangulation between close-ended and open-ended questions suggests that PM could be the missing link between public sector digitalization and digital transformation. These findings can be used by policymakers to develop the best strategies to introduce PM into public organizations and support its adoption, and by researchers to further explore PM role in public sector digital transformation.Despite PM claiming to push digital transformation, it is not clear if it is also true for public sector organizations. This paper addresses this gap and it is among the first attempts to explore PM from civil servants’ viewpoint to investigate their perceptions of PM opportunities and challenges, as well as the variables that influence these perceptions.</v>
      </c>
      <c r="O33" s="9" t="s">
        <v>1939</v>
      </c>
      <c r="P33" s="9" t="s">
        <v>1679</v>
      </c>
      <c r="Q33" s="47"/>
    </row>
    <row r="34">
      <c r="A34" s="2" t="s">
        <v>18</v>
      </c>
      <c r="B34" s="2" t="s">
        <v>1940</v>
      </c>
      <c r="C34" s="2" t="s">
        <v>18</v>
      </c>
      <c r="D34" s="2" t="s">
        <v>1941</v>
      </c>
      <c r="E34" s="2"/>
      <c r="F34" s="2" t="s">
        <v>18</v>
      </c>
      <c r="G34" s="9" t="s">
        <v>1629</v>
      </c>
      <c r="H34" s="9" t="s">
        <v>23</v>
      </c>
      <c r="I34" s="9">
        <v>2024.0</v>
      </c>
      <c r="J34" s="9" t="s">
        <v>1630</v>
      </c>
      <c r="K34" s="10" t="s">
        <v>1942</v>
      </c>
      <c r="L34" s="9" t="s">
        <v>1632</v>
      </c>
      <c r="M34" s="9" t="str">
        <f t="shared" si="1"/>
        <v>Title: The use of business and technology management (BTM) integrated practice in business development initiatives – an ADR cycle</v>
      </c>
      <c r="N34" s="46" t="str">
        <f t="shared" si="2"/>
        <v>Abstract: The paper reports a study that evaluated the effectiveness and usefulness of Business and Technology Management (BTM), a management practice for formulating business digital strategies that address organization, processes and technology in an integrative way.The research followed action design research guidelines that combine the methodological principles of design science research and action research.Evidence from the study confirmed the adequacy and usefulness of BTM as a solution to an old management problem of internal fit, synergies, alignment or strategic integration. It also led to an improvement in its way of working, namely, a management practice with four process stages: (1) define trade objectives, (2) design an integrated business model, (3) manage the business transformation and execution and (4) evaluate the results obtained.The study exemplifies how practice research can be used within a long-term research pursuit to provide empirical evidence that permits evaluating and improving a research-originated management approach.Being a theory-for-action, BTM has direct relevance for managers engaged in defining organizational and technological strategies connected with business results. The paper discloses an improved version of BTM together with a description of its application in a medium-sized company operating in the tourism sector.BTM addresses a recurrent issue raised by researchers and practitioners concerning a failure to bring different management perspectives together when formulating a strategy. Therefore, its value lies in its ability to assist in the integration of management perspectives into business development initiatives.</v>
      </c>
      <c r="O34" s="9" t="s">
        <v>1943</v>
      </c>
      <c r="P34" s="9" t="s">
        <v>1634</v>
      </c>
      <c r="Q34" s="47"/>
    </row>
    <row r="35">
      <c r="A35" s="2" t="s">
        <v>18</v>
      </c>
      <c r="B35" s="2" t="s">
        <v>1944</v>
      </c>
      <c r="C35" s="2" t="s">
        <v>18</v>
      </c>
      <c r="D35" s="2" t="s">
        <v>1945</v>
      </c>
      <c r="E35" s="2"/>
      <c r="F35" s="2" t="s">
        <v>18</v>
      </c>
      <c r="G35" s="9" t="s">
        <v>1946</v>
      </c>
      <c r="H35" s="9" t="s">
        <v>23</v>
      </c>
      <c r="I35" s="9">
        <v>2024.0</v>
      </c>
      <c r="J35" s="9" t="s">
        <v>1947</v>
      </c>
      <c r="K35" s="10" t="s">
        <v>1948</v>
      </c>
      <c r="L35" s="9" t="s">
        <v>1949</v>
      </c>
      <c r="M35" s="9" t="str">
        <f t="shared" si="1"/>
        <v>Title: The role of knowledge management to improve organizational performance through organizational ambidexterity within the uncertainties</v>
      </c>
      <c r="N35" s="46" t="str">
        <f t="shared" si="2"/>
        <v>Abstract: This study highlights the significance of knowledge management in the relationship between organizational ambidexterity and organizational performance within the context of Indonesian SMEs.The study adopts a quantitative research approach, employing a survey questionnaire to collect data from a sample of SMEs operating in Indonesia. Structural Equation Modeling using Partial Least Square is used to investigate the relationship between variables.The findings of this study show that in the context of small and medium enterprises, the variables of environmental and technological uncertainty are not driving factors in organizational ambidexterity. In contrast, market uncertainty has a significant effect on organizational ambidexterity. Moreover, it is also found that knowledge management does not support the variables of environmental, market, and technological uncertainty on organizational ambidexterity in small and medium enterprises. The results show that knowledge management plays a significant role in organizational ambidexterity. It also shows that knowledge management could support a significant way between organizational ambidexterity and organizational performance.The findings of this study give insights for SMEs to attain a sustainable competitive edge in a dynamic business landscape by implementing efficient knowledge management techniques that bolster their ambidextrous capacities.</v>
      </c>
      <c r="O35" s="9" t="s">
        <v>1950</v>
      </c>
      <c r="P35" s="9" t="s">
        <v>1951</v>
      </c>
      <c r="Q35" s="47"/>
    </row>
    <row r="36">
      <c r="A36" s="2" t="s">
        <v>20</v>
      </c>
      <c r="B36" s="2" t="s">
        <v>1952</v>
      </c>
      <c r="C36" s="2" t="s">
        <v>20</v>
      </c>
      <c r="D36" s="2" t="s">
        <v>1953</v>
      </c>
      <c r="E36" s="2"/>
      <c r="F36" s="2" t="s">
        <v>20</v>
      </c>
      <c r="G36" s="9" t="s">
        <v>1480</v>
      </c>
      <c r="H36" s="9" t="s">
        <v>23</v>
      </c>
      <c r="I36" s="9">
        <v>2024.0</v>
      </c>
      <c r="J36" s="9" t="s">
        <v>1481</v>
      </c>
      <c r="K36" s="10" t="s">
        <v>1954</v>
      </c>
      <c r="L36" s="9" t="s">
        <v>1483</v>
      </c>
      <c r="M36" s="9" t="str">
        <f t="shared" si="1"/>
        <v>Title: Improving care pathways through BPM and telemedicine: an Italian study</v>
      </c>
      <c r="N36" s="46" t="str">
        <f t="shared" si="2"/>
        <v>Abstract: The future increase of chronic diseases in the world requires new challenges in the health domain to improve patients' care from the point of view of the organizational processes, clinical pathways and technological solutions of digital health. For this reason, the present paper aims to focus on the study and application of well-known clinical practices and efficient organizational approaches through an innovative model (TALIsMAn) to support new care process redesign and digitalization for chronic patients.In addition to specific clinical models employed to manage chronic conditions such as the Population Health Management and Chronic Care Model, we introduce a Business Process Management methodology implementation supported by a set of e-health technologies, in order to manage Care Pathways (CPs) digitalization and procedures improvement.This study shows that telemedicine services with advanced devices and technologies are not enough to provide significant changes in the healthcare sector if other key aspects such as health processes, organizational systems, interactions between actors and responsibilities are not considered and improved. Therefore, new clinical models and organizational approaches are necessary together with a deep technological change, otherwise, theoretical benefits given by telemedicine services, which often employ advanced Information and Communication Technology (ICT) systems and devices, may not be translated into effective enhancements. They are obtained not only through the implementation of single telemedicine services, but integrating them in a wider digital ecosystem, where clinicians are supported in different clinical steps they have to perform.The present work defines a novel methodological framework based on organizational, clinical and technological innovation, in order to redesign the territorial care for people with chronic diseases. This innovative ecosystem applied in the Italian research project TALIsMAn is based on the concept of a continuum of care and digitalization of CPs supported by Business Process Management System and telemedicine services. The main goal is to organize the different socio-medical activities in a unique and integrated IT system that should be sustainable, scalable and replicable.</v>
      </c>
      <c r="O36" s="9" t="s">
        <v>1955</v>
      </c>
      <c r="P36" s="9" t="s">
        <v>1485</v>
      </c>
      <c r="Q36" s="47"/>
    </row>
    <row r="37">
      <c r="A37" s="2" t="s">
        <v>18</v>
      </c>
      <c r="B37" s="2" t="s">
        <v>1956</v>
      </c>
      <c r="C37" s="2" t="s">
        <v>18</v>
      </c>
      <c r="D37" s="2" t="s">
        <v>1957</v>
      </c>
      <c r="E37" s="2"/>
      <c r="F37" s="2" t="s">
        <v>20</v>
      </c>
      <c r="G37" s="9" t="s">
        <v>1472</v>
      </c>
      <c r="H37" s="9" t="s">
        <v>23</v>
      </c>
      <c r="I37" s="9">
        <v>2024.0</v>
      </c>
      <c r="J37" s="9" t="s">
        <v>1473</v>
      </c>
      <c r="K37" s="10" t="s">
        <v>1958</v>
      </c>
      <c r="L37" s="9" t="s">
        <v>1475</v>
      </c>
      <c r="M37" s="9" t="str">
        <f t="shared" si="1"/>
        <v>Title: Graphics based business process harnessing tools, advancing digital maturity of business</v>
      </c>
      <c r="N37" s="46" t="str">
        <f t="shared" si="2"/>
        <v>Abstract: The advancement of digital maturity at a business level has proven to be challenging, with limited time, resources and skills in extracting and mapping business processes. In order to advance digitalization, the mapping of all business activities is essential. To close this gap, this research is aimed at enabling the operational level extraction and classification of business activities using a graphical methodology. This objective is accomplished through the development of a digital tool that leverages Software Development Life Cycle (SDLC) principles.This research is focused on facilitating rapid extraction of business activities with the adoption of a graphical methodology. Business activities are captured through a digital tool in a structured, interlinked and hierarchical manner.Notably, this work is novel as it introduces a new graphical tool to replace traditional tools in the domain of Business Process Mapping (BPM). This graphical tool is distinguished by a unique feature; that is a self-configuring database with the flexibility to capture all process options, providing innovative solutions to the challenges faced in digitalizing business processes.This work is original in that a new graphical interface is developed to replace traditional tools in the space of BP data gathering. The unique challenge of an auto configuring database with flexibility to capture all process options is presented.</v>
      </c>
      <c r="O37" s="9" t="s">
        <v>1959</v>
      </c>
      <c r="P37" s="9" t="s">
        <v>1477</v>
      </c>
      <c r="Q37" s="47"/>
    </row>
    <row r="38">
      <c r="A38" s="2" t="s">
        <v>20</v>
      </c>
      <c r="B38" s="2" t="s">
        <v>1960</v>
      </c>
      <c r="C38" s="2" t="s">
        <v>18</v>
      </c>
      <c r="D38" s="2" t="s">
        <v>1961</v>
      </c>
      <c r="E38" s="2"/>
      <c r="F38" s="2" t="s">
        <v>20</v>
      </c>
      <c r="G38" s="9" t="s">
        <v>1962</v>
      </c>
      <c r="H38" s="9" t="s">
        <v>23</v>
      </c>
      <c r="I38" s="9">
        <v>2024.0</v>
      </c>
      <c r="J38" s="9" t="s">
        <v>1963</v>
      </c>
      <c r="K38" s="10" t="s">
        <v>1964</v>
      </c>
      <c r="L38" s="9" t="s">
        <v>1834</v>
      </c>
      <c r="M38" s="9" t="str">
        <f t="shared" si="1"/>
        <v>Title: Creating AI business value through BPM capabilities</v>
      </c>
      <c r="N38" s="46" t="str">
        <f t="shared" si="2"/>
        <v>Abstract: Although businesses continue to take up artificial intelligence (AI), concerns remain that companies are not realising the full value of their investments. The study aims to provide insights into how AI creates business value by investigating the mediating role of Business Process Management (BPM) capabilities.The integrative model of IT Business Value was contextualised, and structural equation modelling was applied to validate the proposed serial multiple mediation model using a sample of 448 organisations based in the EU.The results validate the proposed serial multiple mediation model according to which AI adoption increases organisational performance through decision-making and business process performance. Process automation, organisational learning and process innovation are significant complementary partial mediators, thereby shedding light on how AI creates business value.In pursuing a complex nomological framework, multiple perspectives on realising business value from AI investments were incorporated. Several moderators presenting complementary organisational resources (e.g. culture, digital maturity, BPM maturity) could be included to identify behaviour in more complex relationships. The ethical and moral issues surrounding AI and its use could also be examined.The provided insights can help guide organisations towards the most promising AI activities of process automation with AI-enabled decision-making, organisational learning and process innovation to yield business value.While previous research assumed a moderated relationship, this study extends the growing literature on AI business value by empirically investigating a comprehensive nomological network that links AI adoption to organisational performance in a BPM setting.</v>
      </c>
      <c r="O38" s="9" t="s">
        <v>1965</v>
      </c>
      <c r="P38" s="9" t="s">
        <v>1966</v>
      </c>
      <c r="Q38" s="47"/>
    </row>
    <row r="39">
      <c r="A39" s="2" t="s">
        <v>18</v>
      </c>
      <c r="B39" s="2" t="s">
        <v>1967</v>
      </c>
      <c r="C39" s="2" t="s">
        <v>18</v>
      </c>
      <c r="D39" s="2" t="s">
        <v>1968</v>
      </c>
      <c r="E39" s="2"/>
      <c r="F39" s="2" t="s">
        <v>18</v>
      </c>
      <c r="G39" s="9" t="s">
        <v>1969</v>
      </c>
      <c r="H39" s="9" t="s">
        <v>23</v>
      </c>
      <c r="I39" s="9">
        <v>2024.0</v>
      </c>
      <c r="J39" s="9" t="s">
        <v>1970</v>
      </c>
      <c r="K39" s="10" t="s">
        <v>1971</v>
      </c>
      <c r="L39" s="9" t="s">
        <v>1972</v>
      </c>
      <c r="M39" s="9" t="str">
        <f t="shared" si="1"/>
        <v>Title: Unlocking the relationship between ambidextrous leadership style and HRM practices in knowledge-intensive SMES</v>
      </c>
      <c r="N39" s="46" t="str">
        <f t="shared" si="2"/>
        <v>Abstract: This paper aims to explore the relationship between owner-manager or leader’s ambidextrous leadership style and its effect on human resource management (HRM) practices, contextual ambidexterity and knowledge-intensive small- and medium-enterprises (SMEs) strategic agility.This study presents an in-depth qualitative case study analysis of two knowledge-intensive SMEs from India’s information technology and health-care products industry serving a range of global clients. Using the theoretical lenses of empowerment-focused HRM practices, ambidextrous leaders, contextual ambidexterity and strategic agility, semi-structured interview data of leaders, managers and employees of the case organizations were analysed. Through a two-staged analytical process, we abductively developed a novel conceptual framework at the intersection of the above theoretical lenses.The findings suggest that the knowledge-intensive SME’s strategic agility, ambidexterity and empowerment-focussed HRM approach was influenced by the owner-manager or leader’s ambidextrous leadership style and their philosophy towards managing people and had a positive impact in creating a culture of trust, participation, risk-taking and openness, and led to delivering innovative products and services as well as several positive employee-level outcomes.Recent literature reviews on HRM In SMEs highlight several gaps, including the impact of owner-manager or leader’s philosophy of managing people in shaping HRM practices and employee outcomes. This paper thus adds to the existing literature on HRM and knowledge-intensive SMEs.</v>
      </c>
      <c r="O39" s="9" t="s">
        <v>1973</v>
      </c>
      <c r="P39" s="9" t="s">
        <v>1974</v>
      </c>
      <c r="Q39" s="47"/>
    </row>
    <row r="40">
      <c r="A40" s="2" t="s">
        <v>20</v>
      </c>
      <c r="B40" s="2" t="s">
        <v>1975</v>
      </c>
      <c r="C40" s="2" t="s">
        <v>18</v>
      </c>
      <c r="D40" s="2" t="s">
        <v>1976</v>
      </c>
      <c r="E40" s="2"/>
      <c r="F40" s="2" t="s">
        <v>20</v>
      </c>
      <c r="G40" s="9" t="s">
        <v>1977</v>
      </c>
      <c r="H40" s="9" t="s">
        <v>23</v>
      </c>
      <c r="I40" s="9">
        <v>2023.0</v>
      </c>
      <c r="J40" s="9" t="s">
        <v>1978</v>
      </c>
      <c r="K40" s="10" t="s">
        <v>1979</v>
      </c>
      <c r="L40" s="9" t="s">
        <v>1980</v>
      </c>
      <c r="M40" s="9" t="str">
        <f t="shared" si="1"/>
        <v>Title: Business processes management as a tool to enhance intellectual capital in the digitalization era: the new challenges to face</v>
      </c>
      <c r="N40" s="46" t="str">
        <f t="shared" si="2"/>
        <v>Abstract: Digitalization is affecting business management and pushing for new strategies, innovative products, new ways to communicate with stakeholders and new channels. This phenomenon is unavoidable, and companies have to face it in a holistic and integrated way. One holistic and interconnected approach, when studying enterprise challenges, is represented by the business process management method, a fitting mechanism when digitalization needs to be amalgamated in business practices, enhancing the intellectual capital (IC), therefore, this study researches digitalization under business process lens, in a sample of small and medium enterprises (SMEs), that constitute an under-explored set, as regard digitalization, process management and IC. The research aims to explore the digital tools and business processes link and the related impact on performance, benefits and IC.In exploring digitalization, a sample of Italian SMEs was scrutinized. The data were elaborated using two types of tests: (1) the binomial tests for the categorical questions and (2) the zeta test was used for quantitative variables. Furthermore, the partial least square (PLS)-SEM model was applied.Findings reveal that some digital tools are more adopted in the sample analysed, and also some particular digital tools are more inclined to support certain business processes. Furthermore, not only performance benefits emerge, but also benefits in terms of better communication and faster decisions, supporting the decision making process of managers, also considering that business processes approach is one way to manage IC.Thanks to the conducted research it is possible to make aware managers and owners of SMEs to consciously choose the right type of digitalization investments, without neglecting training programme, to realize the company digital transformation, providing a map and bearing in mind the value added creation, protecting their IC.The paper's originality is represented by the contribution in opening the black box about digitalization, business process management and IC in small and medium companies.</v>
      </c>
      <c r="O40" s="9" t="s">
        <v>1981</v>
      </c>
      <c r="P40" s="9" t="s">
        <v>1982</v>
      </c>
      <c r="Q40" s="47"/>
    </row>
    <row r="41">
      <c r="A41" s="2" t="s">
        <v>18</v>
      </c>
      <c r="B41" s="2" t="s">
        <v>1983</v>
      </c>
      <c r="C41" s="2" t="s">
        <v>18</v>
      </c>
      <c r="D41" s="2" t="s">
        <v>1984</v>
      </c>
      <c r="E41" s="2"/>
      <c r="F41" s="2" t="s">
        <v>18</v>
      </c>
      <c r="G41" s="9" t="s">
        <v>1985</v>
      </c>
      <c r="H41" s="9" t="s">
        <v>23</v>
      </c>
      <c r="I41" s="9">
        <v>2023.0</v>
      </c>
      <c r="J41" s="9" t="s">
        <v>1986</v>
      </c>
      <c r="K41" s="10" t="s">
        <v>1987</v>
      </c>
      <c r="L41" s="9" t="s">
        <v>1988</v>
      </c>
      <c r="M41" s="9" t="str">
        <f t="shared" si="1"/>
        <v>Title: Robotic process automation and artificial intelligence capabilities driving digital strategy: a resource-based view</v>
      </c>
      <c r="N41" s="46" t="str">
        <f t="shared" si="2"/>
        <v>Abstract: Research of currently limited literature sees Robotic Process Automation (RPA) as an important tool at the tactical level. However, the literature has not considered its potential contribution to creating competitive advantages. This paper aims to link RPA and Resource-based view (RBV) literature, proposing a conceptual framework boosting RPA research as part of an organizational AI strategy. This study applied a Systematic Literature Review (SRL), combining bibliometrics and content analysis. This study also built a new framework based on the updated RBV model that was transformed based on the RPA literature review results. By bridging the two bodies of literature on RBV and RPA, this study manages to show the strategic side of the technology. Therefore, this study brought to light the most updated fundamental concepts of complementarity and scale-free fungible resources from RBV theory and AI technologies, applied to the domains of RPA, information systems and information technology (IS/IT) through the development of a new theoretical lens. Also, this study was able to elaborate on a new conceptual framework for AI strategy formulation to help organizations on their journey to AI utilization. The authors did not find any research that has shown the strategic side of RPA, nor any that has used a theoretical lens based on the RBV theory to show this side. To the best of the author’s knowledge, this study seems to be the first to make the case for RPA's strategic potential.</v>
      </c>
      <c r="O41" s="9" t="s">
        <v>1989</v>
      </c>
      <c r="P41" s="9" t="s">
        <v>1990</v>
      </c>
      <c r="Q41" s="47"/>
    </row>
    <row r="42">
      <c r="A42" s="2" t="s">
        <v>18</v>
      </c>
      <c r="B42" s="2" t="s">
        <v>1991</v>
      </c>
      <c r="C42" s="2" t="s">
        <v>18</v>
      </c>
      <c r="D42" s="2" t="s">
        <v>1992</v>
      </c>
      <c r="E42" s="2"/>
      <c r="F42" s="2" t="s">
        <v>20</v>
      </c>
      <c r="G42" s="9" t="s">
        <v>1993</v>
      </c>
      <c r="H42" s="9" t="s">
        <v>23</v>
      </c>
      <c r="I42" s="9">
        <v>2023.0</v>
      </c>
      <c r="J42" s="9" t="s">
        <v>1994</v>
      </c>
      <c r="K42" s="10" t="s">
        <v>1995</v>
      </c>
      <c r="L42" s="9" t="s">
        <v>1996</v>
      </c>
      <c r="M42" s="9" t="str">
        <f t="shared" si="1"/>
        <v>Title: Enhancing decision-making of IT demand management with process mining</v>
      </c>
      <c r="N42" s="46" t="str">
        <f t="shared" si="2"/>
        <v>Abstract: Digitalization, innovation and changing customer requirements drive the continuous improvement of an organization's business processes. IT demand management (ITDM) as a methodology supports the holistic governance of IT and the corresponding business process change (BPC), by allocating resources to meet a company's requirements and strategic objectives. As ITDM decision-makers are not fully aware of how the as-is business processes operate and interact, making informed decisions that positively impact the to-be process is a key challenge.In this paper, the authors address this challenge by developing a novel approach that integrates process mining and ITDM. To this end, the authors conduct an action research study where the researchers participated in the design, creation and evaluation of the approach. The proposed approach is illustrated using two sample demands of an insurance claims process. These demands are used to construct the artefact in multiple research circles and to validate the approach in practice. The authors applied learning and reflection methods for incrementally adjusting this study’s approach.The study shows that the utilization of process mining activities during process changes on an operational level contributes to (1) increasing accuracy and efficiency of ITDM; (2) timely identification of potential risks and dependencies and (3) support of testing and acceptance of IT demands.The implementation of this study’s approach improved ITDM practice. It appropriately addressed the information needs of decision-makers and unveiled the effects and consequences of process changes. Furthermore, providing a clearer picture of the process dependencies clarified the responsibilities and the interfaces at the intra- and inter-process level.</v>
      </c>
      <c r="O42" s="9" t="s">
        <v>1997</v>
      </c>
      <c r="P42" s="9" t="s">
        <v>1998</v>
      </c>
      <c r="Q42" s="47"/>
    </row>
    <row r="43">
      <c r="A43" s="2" t="s">
        <v>18</v>
      </c>
      <c r="B43" s="2" t="s">
        <v>1999</v>
      </c>
      <c r="C43" s="2" t="s">
        <v>18</v>
      </c>
      <c r="D43" s="2" t="s">
        <v>2000</v>
      </c>
      <c r="E43" s="2"/>
      <c r="F43" s="2" t="s">
        <v>18</v>
      </c>
      <c r="G43" s="9" t="s">
        <v>2001</v>
      </c>
      <c r="H43" s="9" t="s">
        <v>23</v>
      </c>
      <c r="I43" s="9">
        <v>2023.0</v>
      </c>
      <c r="J43" s="9" t="s">
        <v>2002</v>
      </c>
      <c r="K43" s="10" t="s">
        <v>2003</v>
      </c>
      <c r="L43" s="9" t="s">
        <v>2004</v>
      </c>
      <c r="M43" s="9" t="str">
        <f t="shared" si="1"/>
        <v>Title: Critical success factors for change management in business process management</v>
      </c>
      <c r="N43" s="46" t="str">
        <f t="shared" si="2"/>
        <v>Abstract: The purpose of this study is to determine the influence of project critical success factors (CSFs) on change management in the context of business process management (BPM). Despite widespread interest in BPM, the existing literature is insufficient in addressing the antecedents that contribute to change management in business process projects.Key factors of change management success in BPM projects were initially identified in a systematic literature review (SLR) and were used as antecedents of change management through a structural equation modeling (SEM) with 464 business project stakeholders. Next, a neural network analysis allowed the key factors to be ranked non-linearly. Finally, a latent class analysis (LCA) was performed to determine the sample's heterogeneous groups based on their project management characteristics.Project management, top management support and technological competencies were the main CSFs identified as having positive effects on change management. The most important factor is project management, followed by top management support, which plays a crucial mediating role in enabling change management. Although relevant, technological competencies were secondary in the study. Regarding project management CSF, four heterogeneous classes of individuals were determined.Although this study provides an opportunity to observe CSFs, it does not address the need to analyze the phenomenon in different classifications of projects, regarding maturity, complexity, project management approach and other aspects that differentiate projects in a meaningful way.The study allows practitioners to understand the critical factors underlying change management and take necessary actions to manage it, recognizing that individuals have heterogeneous profiles regarding project management.This study pioneeringly discusses the CSFs of change management BPM projects to enable successful change management, ranking the main factors and mapping heterogeneous profiles.</v>
      </c>
      <c r="O43" s="9" t="s">
        <v>2005</v>
      </c>
      <c r="P43" s="9" t="s">
        <v>2006</v>
      </c>
      <c r="Q43" s="47"/>
    </row>
    <row r="44">
      <c r="A44" s="2" t="s">
        <v>18</v>
      </c>
      <c r="B44" s="2" t="s">
        <v>2007</v>
      </c>
      <c r="C44" s="2" t="s">
        <v>18</v>
      </c>
      <c r="D44" s="2" t="s">
        <v>2008</v>
      </c>
      <c r="E44" s="2"/>
      <c r="F44" s="2" t="s">
        <v>18</v>
      </c>
      <c r="G44" s="9" t="s">
        <v>2009</v>
      </c>
      <c r="H44" s="9" t="s">
        <v>23</v>
      </c>
      <c r="I44" s="9">
        <v>2023.0</v>
      </c>
      <c r="J44" s="9" t="s">
        <v>2010</v>
      </c>
      <c r="K44" s="10" t="s">
        <v>2011</v>
      </c>
      <c r="L44" s="9" t="s">
        <v>2012</v>
      </c>
      <c r="M44" s="9" t="str">
        <f t="shared" si="1"/>
        <v>Title: Business process reengineering for designing a knowledge-enabled customer-centric competitiveness strategy</v>
      </c>
      <c r="N44" s="46" t="str">
        <f t="shared" si="2"/>
        <v>Abstract: The study aims to design a holistic multi-stage hierarchical model that leverages the firm's knowledge-enabled distinctive core competencies (DCCs) and builds enduring and profitable customer relationships to achieve sustainable competitive advantage (SCA) in dynamic and challenging environments. It developed a knowledge-enabled customer-centric competitiveness strategy (KCCS) model that integrates four pillars: business process reengineering (BPR), knowledge management (KM), customer relationship management (CRM) and competitiveness strategy. It also proposed a BPR model to enable cross-functional cooperation and coordination for firms dealing with customers, provided a blueprint for KCCS's successful implementation and compared the KCCS model with other customer-centric (CC) approaches.This study adopted an exploratory research design based on a literature review of relevant studies. It has systematically analyzed 130 articles and books from Scopus, the Web of Science, Google Scholar and other renowned databases from 1982 to 2022. The analysis involved identifying and selecting relevant literature and conducting thematic research to develop a theoretical KCCS model that integrates BPR, KM, CRM, competitiveness strategy and the firm's SCA into a KCCS model.This study developed an integrative KCCS theoretical model rooted in the extant literature in BPR, KM, CRM, competitiveness strategy, DCCs, SCA and other fields. The study proposed a BPR model as a significant component of KCCS that enables cross-functional cooperation and coordination, which are often troublesome for firms in their dealings with customers. The study also provided a blueprint for successfully implementing the KCCS model and compared the KCCS model with other CC approaches.This study filled many research gaps in the literature in which knowledge-enabled CC frameworks are widely scattered. It offered a conceptual multi-stage hierarchical KCCS model that combines interrelated elements of BPR, KM, CRM, and competitiveness strategy. It proposed a BPR model as a significant component of the KCCS that enables cross-functional cooperation and coordination, which frequently form barriers when dealing with customers. It also provided a blueprint for successfully implementing the KCCS and compared it with other CC approaches.</v>
      </c>
      <c r="O44" s="9" t="s">
        <v>2013</v>
      </c>
      <c r="P44" s="9" t="s">
        <v>2014</v>
      </c>
      <c r="Q44" s="47"/>
    </row>
    <row r="45">
      <c r="A45" s="2" t="s">
        <v>20</v>
      </c>
      <c r="B45" s="2" t="s">
        <v>2015</v>
      </c>
      <c r="C45" s="2" t="s">
        <v>18</v>
      </c>
      <c r="D45" s="2" t="s">
        <v>2016</v>
      </c>
      <c r="E45" s="2"/>
      <c r="F45" s="2" t="s">
        <v>18</v>
      </c>
      <c r="G45" s="9" t="s">
        <v>2017</v>
      </c>
      <c r="H45" s="9" t="s">
        <v>23</v>
      </c>
      <c r="I45" s="9">
        <v>2023.0</v>
      </c>
      <c r="J45" s="9" t="s">
        <v>2018</v>
      </c>
      <c r="K45" s="10" t="s">
        <v>2019</v>
      </c>
      <c r="L45" s="9" t="s">
        <v>2020</v>
      </c>
      <c r="M45" s="9" t="str">
        <f t="shared" si="1"/>
        <v>Title: How business process management culture supports digital innovation: a quantitative assessment</v>
      </c>
      <c r="N45" s="46" t="str">
        <f t="shared" si="2"/>
        <v>Abstract: Current research suggests culture as a driving force of successful digital innovation (DI) that may not only built an organization's capability to digitally innovate but also reduce impeding factors within the organization. Only few empirical accounts support this hypothesis so far. Details of how culture supports DI are yet under-researched. This article aims to investigate the relationship between culture, organizational DI capabilities and DI barriers.The authors address this issue by using survey data from German municipalities (n = 668), build a structural equation model (SEM) and analyze data using partial least squares SEM.Results indicate that the business process management (BPM) culture dimensions continuous improvement and process innovation support DI capabilities. Barriers exist that partially mediate the impact of culture on capabilities.The results of this study show that BPM culture is not a uniform construct and that its dimensions have both positive and negative impact on the building of organizational digitalization capabilities.</v>
      </c>
      <c r="O45" s="9" t="s">
        <v>2021</v>
      </c>
      <c r="P45" s="9" t="s">
        <v>2022</v>
      </c>
      <c r="Q45" s="47"/>
    </row>
    <row r="46">
      <c r="A46" s="2" t="s">
        <v>18</v>
      </c>
      <c r="B46" s="2" t="s">
        <v>2023</v>
      </c>
      <c r="C46" s="2" t="s">
        <v>18</v>
      </c>
      <c r="D46" s="2" t="s">
        <v>2024</v>
      </c>
      <c r="E46" s="2"/>
      <c r="F46" s="2" t="s">
        <v>18</v>
      </c>
      <c r="G46" s="9" t="s">
        <v>2025</v>
      </c>
      <c r="H46" s="9" t="s">
        <v>23</v>
      </c>
      <c r="I46" s="9">
        <v>2023.0</v>
      </c>
      <c r="J46" s="9" t="s">
        <v>2026</v>
      </c>
      <c r="K46" s="10" t="s">
        <v>2027</v>
      </c>
      <c r="L46" s="9" t="s">
        <v>2028</v>
      </c>
      <c r="M46" s="9" t="str">
        <f t="shared" si="1"/>
        <v>Title: The role of digital knowledge servitization in supply chain management</v>
      </c>
      <c r="N46" s="46" t="str">
        <f t="shared" si="2"/>
        <v>Abstract: This paper aims to contribute to overcoming the gap existing in the supply chain literature related to digital servitization by bridging digital servitization with knowledge management and identifying the rise of digital knowledge servitization as a driver for changes in the supply chain business model towards open innovation.The study follows an inductive grounded theory approach for theory building. To analyse the impact of digital knowledge servitization, in-depth interviews of managers in the main business units of the Volvo Group supply chain ecosystem were carried out.The results show how the digital servitization process affects the supply chain business model, highlighting the central role of knowledge in the service ecosystem and the rise of the theoretical concept of digital knowledge servitization. In particular, through the Innovation Lab (Volvo Group) study, the paper contributes to bringing together the theoretical knowledge-based view of servitization with the digital servitization concept, which demonstrates the role of this combined perspective in the transformation of the supply chain; this is carried out by introducing a new business model based on open innovation in inbound and outbound processes.The research offers interesting insights from a managerial perspective, as increasingly advanced and complex digital solutions require shorter times in supply chain management (SCM). Companies need to be able to quickly manage information and knowledge flows deriving from internal and external interactions and involvement with external actors upstream and downstream of the supply chain ecosystem. Therefore, the digital knowledge servitization of the supply chain also highlights implications for managers in terms of human resources management.The novel research goal is to contribute to the supply chain literature by integrating the digital servitization with the knowledge view and analysing the impact on the inbound and outbound supply chain through the introduction of an open innovation business model.</v>
      </c>
      <c r="O46" s="9" t="s">
        <v>2029</v>
      </c>
      <c r="P46" s="9" t="s">
        <v>2030</v>
      </c>
      <c r="Q46" s="47"/>
    </row>
    <row r="47">
      <c r="A47" s="2" t="s">
        <v>18</v>
      </c>
      <c r="B47" s="2" t="s">
        <v>2031</v>
      </c>
      <c r="C47" s="2" t="s">
        <v>18</v>
      </c>
      <c r="D47" s="2" t="s">
        <v>2032</v>
      </c>
      <c r="E47" s="2"/>
      <c r="F47" s="2" t="s">
        <v>18</v>
      </c>
      <c r="G47" s="9" t="s">
        <v>2033</v>
      </c>
      <c r="H47" s="9" t="s">
        <v>23</v>
      </c>
      <c r="I47" s="9">
        <v>2023.0</v>
      </c>
      <c r="J47" s="9" t="s">
        <v>2034</v>
      </c>
      <c r="K47" s="10" t="s">
        <v>2035</v>
      </c>
      <c r="L47" s="9" t="s">
        <v>2036</v>
      </c>
      <c r="M47" s="9" t="str">
        <f t="shared" si="1"/>
        <v>Title: A process mining impacts framework</v>
      </c>
      <c r="N47" s="46" t="str">
        <f t="shared" si="2"/>
        <v>Abstract: Process mining (PM) specialises in extracting insights from event logs to facilitate the improvement of an organisation's business processes. Industry trends show the proliferation and continued growth of PM techniques. To address the minimal attention given to developing empirically supported frameworks to assess the nature of impact in the PM domain, this study proposes a framework that identifies the key categories of PM impacts and their interrelationships.The qualitatively derived framework is built, re-specified and validated from a diverse collection of 62 PM case reports. With multiple rounds of coding supported by coder corroborations, inductively extracted concepts relating to impact from a first set of 12 case reports were grouped into themes and sub-themes to derive an a-priori framework by adopting the balanced scorecard as a theoretical lens. Concepts from the remaining 50 case reports were deductively grouped to re-specify and validate the proposed PM impacts framework. Further analysis identified interrelationships between impacts, which extends our understanding of the identified PM impacts.The proposed framework captures PM impacts in four main categories: (a) impact on the process, (b) customer impact, (c) financial impact, and (d) impact on innovation and learning. The authors extended this analysis to identify the interrelationships between these categories, which vividly demonstrates how impact on the process mediates the attainment of the other three impact types.The need for a deeper understanding of PM impacts within the context of contemporary PM practice is addressed by this work. The PM impacts framework provides a classification of PM impacts into four categories with 19 subcategories. It also identifies direct, moderating and mediating relationships between categories and subcategories whilst highlighting the role of impact on the process as a precursor to the other types of PM impact.</v>
      </c>
      <c r="O47" s="9" t="s">
        <v>2037</v>
      </c>
      <c r="P47" s="9" t="s">
        <v>2038</v>
      </c>
      <c r="Q47" s="47"/>
    </row>
    <row r="48">
      <c r="A48" s="2" t="s">
        <v>20</v>
      </c>
      <c r="B48" s="2" t="s">
        <v>2039</v>
      </c>
      <c r="C48" s="2" t="s">
        <v>18</v>
      </c>
      <c r="D48" s="2" t="s">
        <v>2040</v>
      </c>
      <c r="E48" s="2"/>
      <c r="F48" s="2" t="s">
        <v>18</v>
      </c>
      <c r="G48" s="9" t="s">
        <v>2041</v>
      </c>
      <c r="H48" s="9" t="s">
        <v>23</v>
      </c>
      <c r="I48" s="9">
        <v>2022.0</v>
      </c>
      <c r="J48" s="9" t="s">
        <v>2042</v>
      </c>
      <c r="K48" s="10" t="s">
        <v>2043</v>
      </c>
      <c r="L48" s="9" t="s">
        <v>2044</v>
      </c>
      <c r="M48" s="9" t="str">
        <f t="shared" si="1"/>
        <v>Title: A machine learning-based human resources recruitment system for business process management: using LSA, BERT and SVM</v>
      </c>
      <c r="N48" s="46" t="str">
        <f t="shared" si="2"/>
        <v>Abstract: Studies on mining text and generating intelligence on human resource documents are rare. This research aims to use artificial intelligence and machine learning techniques to facilitate the employee selection process through latent semantic analysis (LSA), bidirectional encoder representations from transformers (BERT) and support vector machines (SVM). The research also compares the performance of different machine learning, text vectorization and sampling approaches on the human resource (HR) resume data.LSA and BERT are used to discover and understand the hidden patterns from a textual resume dataset, and SVM is applied to build the screening model and improve performance.Based on the results of this study, LSA and BERT are proved useful in retrieving critical topics, and SVM can optimize the prediction model performance with the help of cross-validation and variable selection strategies.The technique and its empirical conclusions provide a practical, theoretical basis and reference for HR research.The novel methods proposed in the study can assist HR practitioners in designing and improving their existing recruitment process. The topic detection techniques used in the study provide HR practitioners insights to identify the skill set of a particular recruiting position.To the best of the authors’ knowledge, this research is the first study that uses LSA, BERT, SVM and other machine learning models in human resource management and resume classification. Compared with the existing machine learning-based resume screening system, the proposed system can provide more interpretable insights for HR professionals to understand the recommendation results through the topics extracted from the resumes. The findings of this study can also help organizations to find a better and effective approach for resume screening and evaluation.</v>
      </c>
      <c r="O48" s="9" t="s">
        <v>2045</v>
      </c>
      <c r="P48" s="9" t="s">
        <v>2046</v>
      </c>
      <c r="Q48" s="47"/>
    </row>
    <row r="49">
      <c r="A49" s="2" t="s">
        <v>18</v>
      </c>
      <c r="B49" s="2" t="s">
        <v>2047</v>
      </c>
      <c r="C49" s="2" t="s">
        <v>18</v>
      </c>
      <c r="D49" s="2" t="s">
        <v>2048</v>
      </c>
      <c r="E49" s="2"/>
      <c r="F49" s="2" t="s">
        <v>18</v>
      </c>
      <c r="G49" s="9" t="s">
        <v>2049</v>
      </c>
      <c r="H49" s="9" t="s">
        <v>23</v>
      </c>
      <c r="I49" s="9">
        <v>2022.0</v>
      </c>
      <c r="J49" s="9" t="s">
        <v>2050</v>
      </c>
      <c r="K49" s="10" t="s">
        <v>2051</v>
      </c>
      <c r="L49" s="9" t="s">
        <v>2052</v>
      </c>
      <c r="M49" s="9" t="str">
        <f t="shared" si="1"/>
        <v>Title: Prioritising enabling factors of Internet of things (IoT) adoption in digital supply chain</v>
      </c>
      <c r="N49" s="46" t="str">
        <f t="shared" si="2"/>
        <v>Abstract: This paper explores the role of Internet of things (IoT) enabling factors in adopting digital supply chain.Analytical hierarchy process (AHP) was used to rank performance measures and prioritise the enabling factors. Semi-structured interviews were conducted to validate and support key research findings from the AHP analysis.The results show that level of customer demand is the most important indicator in adopting IoT while the level of product/process flexibility is the least important. System integration and IoT infrastructure are the top two enabling factors in increasing the level of process stability, supply chain connectivity, and product/process flexibility, respectively. Furthermore, the study suggests that the enabling factors for IoT adoption are directly connected with organisational resources/technological capabilities that support the resource-based view theory. This research identified interdependencies between IoT enabling factors and key performance measures for IoT adoption success in managing the digital supply chain.Supply chain managers can use the empirical findings of this study to prioritise IoT adoption, based on the relative importance of enabling factors and performance measures. The research findings are focused on broader supply chain practices of large companies rather than a specific industry and SMEs. Hence, any industry-specific adoption factors and SMEs were not evident from this study.This research study empirically established priorities of enabling factors for IoT adoption, along with inter-dependencies among enabling factors as a basis for developing guidelines for IoT adoption.</v>
      </c>
      <c r="O49" s="9" t="s">
        <v>2053</v>
      </c>
      <c r="P49" s="9" t="s">
        <v>2054</v>
      </c>
      <c r="Q49" s="47"/>
    </row>
    <row r="50">
      <c r="A50" s="2" t="s">
        <v>18</v>
      </c>
      <c r="B50" s="2" t="s">
        <v>2055</v>
      </c>
      <c r="C50" s="2" t="s">
        <v>18</v>
      </c>
      <c r="D50" s="2" t="s">
        <v>2056</v>
      </c>
      <c r="E50" s="2"/>
      <c r="F50" s="2" t="s">
        <v>18</v>
      </c>
      <c r="G50" s="9" t="s">
        <v>2057</v>
      </c>
      <c r="H50" s="9" t="s">
        <v>23</v>
      </c>
      <c r="I50" s="9">
        <v>2022.0</v>
      </c>
      <c r="J50" s="9" t="s">
        <v>2058</v>
      </c>
      <c r="K50" s="10" t="s">
        <v>2059</v>
      </c>
      <c r="L50" s="9" t="s">
        <v>2060</v>
      </c>
      <c r="M50" s="9" t="str">
        <f t="shared" si="1"/>
        <v>Title: Digitalization in small and medium enterprise: a parsimonious model of digitalization of accounting information for sustainable innovation ecosystem value generation</v>
      </c>
      <c r="N50" s="46" t="str">
        <f t="shared" si="2"/>
        <v>Abstract: This study aims to dispense a concrete and coherent picture on the role of digitalization of accounting information (DOAI) among the small and medium-sized enterprises (SMEs) through a statistically reliable and parsimonious paradigm for procuring the impact of DOAI on sustainable innovation ecosystem (SIE) and public value (PV) generation. With this cue, the geographical scope of this tentative manuscript was framed in SMEs of developing countries.A three-pronged methodology was disposed in this research, namely, literature review, expert interviews and self-administered survey. Qualitative data was procured from a series of semi-structured in-depth interviews. The quantitative data was drawn on a self-administered survey in which the closed-ended questionnaires were conveniently circulated to a cross-sectional sample of 583 respondents. The data captured from quantitative approach was processed and analyzed via covariance-based structural equation modeling with AMOS 26.0.The outcomes analysis highlighted that there were significant positive associations between the hypothesized constructs regarding significance and effect size. These interlinks were also partially mediated through the mediation of quality of information on financial reports and SIE.This research was bounded by geographical provenance emphasis on one country and relative smallness of the data set procured through anonymous survey-based approach drawn from a convenient sample of digitally savvy respondents working in one sub-sector resulted in the reduction in the robustness and generalizability of the observations. Nevertheless, these above-mentioned limitations could thus offer the starting points for novel avenues creation for the future research.The practitioners would definitely have valuable benefits from in-depth insights on the obtained findings. Concretely, as lifting the degree of understandings on the magnitude of long-term cooperation and superior coordination within the SIE would enable practitioners to enlarge their business viewpoints to better cope with the challenges of complicated business settings, facilitating them to co-create PV for all their key stakeholders through giving priority to implementing DOAI.Society could benefit from this study if policymakers and the influencers of government focus on innovative features and assure the possible environment for innovation deployment through embarking on introducing policies that would facilitate the digitalization as well as stimulate and incentivize establishing the SIE for PV generation. It would be good for both the SMEs and society when SMEs could thrive in community settings as well as this togetherness.Unpacking the potential of DOAI has been considered as the promising research avenues that are outlined not only to redress the shortfall in the research stream in relation to the digitalization among SMEs but also provide the right directions for sustainable development among SMEs.</v>
      </c>
      <c r="O50" s="9" t="s">
        <v>2061</v>
      </c>
      <c r="P50" s="9" t="s">
        <v>2062</v>
      </c>
      <c r="Q50" s="47"/>
    </row>
    <row r="51">
      <c r="A51" s="2" t="s">
        <v>18</v>
      </c>
      <c r="B51" s="2" t="s">
        <v>2063</v>
      </c>
      <c r="C51" s="2" t="s">
        <v>18</v>
      </c>
      <c r="D51" s="2" t="s">
        <v>2064</v>
      </c>
      <c r="E51" s="2"/>
      <c r="F51" s="2" t="s">
        <v>18</v>
      </c>
      <c r="G51" s="9" t="s">
        <v>2065</v>
      </c>
      <c r="H51" s="9" t="s">
        <v>23</v>
      </c>
      <c r="I51" s="9">
        <v>2022.0</v>
      </c>
      <c r="J51" s="9" t="s">
        <v>2066</v>
      </c>
      <c r="K51" s="10" t="s">
        <v>2067</v>
      </c>
      <c r="L51" s="9" t="s">
        <v>2068</v>
      </c>
      <c r="M51" s="9" t="str">
        <f t="shared" si="1"/>
        <v>Title: How to make it stick? Institutionalising process improvement initiatives</v>
      </c>
      <c r="N51" s="46" t="str">
        <f t="shared" si="2"/>
        <v>Abstract: Understanding how organisations can institutionalise the outcomes of process improvement initiatives is limited. This paper explores how process changes resulting from improvement initiatives are adhered to, so that the changed processes become the new “norm” and people do not revert to old practices. This study proposes an institutionalisation process for process improvement initiatives.Firstly, a literature review identified Tolbert and Zucker’s (1996) institutionalisation framework as a suitable conceptual framework on which to base the enquiry. The second phase (the focus of this paper) applied the findings from two case studies to adapt this framework (its stages and related factors) to fit process improvement contexts.The paper presents an empirically and theoretically supported novel institutionalisation process for process improvement initiatives. The three stages of the institutionalisation process presented by Tolbert and Zucker (1996) have been respecified into four stages, explaining how process changes are institutionalised through “Planning”, “Implementation”, “Objectification” and “Sedimentation” (the original first stage, i.e. “Habitualisation” being divided into Planning and Implementation). Some newly identified Business Process Management (BPM) specific factors influencing the institutionalisation processes are also discussed and triangulated with the BPM literature.The study contributes to the BPM literature by conceptualising and theorising the stages of institutionalisation of process improvement initiatives. In doing so, the study explicitly identifies and considers several key contextual factors that drive the stages of institutionalisation. Practitioners can use this to better manage process change and future researchers can use this framework to operationalise institutionalisation of process change.This is the first research study that provides an empirically supported and clearly conceptualised understanding of the stages of institutionalising process improvement outcomes.</v>
      </c>
      <c r="O51" s="9" t="s">
        <v>2069</v>
      </c>
      <c r="P51" s="9" t="s">
        <v>2070</v>
      </c>
      <c r="Q51" s="47"/>
    </row>
    <row r="52">
      <c r="A52" s="2" t="s">
        <v>20</v>
      </c>
      <c r="B52" s="2" t="s">
        <v>2071</v>
      </c>
      <c r="C52" s="2" t="s">
        <v>18</v>
      </c>
      <c r="D52" s="2" t="s">
        <v>2072</v>
      </c>
      <c r="E52" s="2"/>
      <c r="F52" s="2" t="s">
        <v>20</v>
      </c>
      <c r="G52" s="9" t="s">
        <v>1606</v>
      </c>
      <c r="H52" s="9" t="s">
        <v>23</v>
      </c>
      <c r="I52" s="9">
        <v>2022.0</v>
      </c>
      <c r="J52" s="9" t="s">
        <v>1607</v>
      </c>
      <c r="K52" s="10" t="s">
        <v>2073</v>
      </c>
      <c r="L52" s="9" t="s">
        <v>1609</v>
      </c>
      <c r="M52" s="9" t="str">
        <f t="shared" si="1"/>
        <v>Title: Success factors of process digitalization projects – insights from an exploratory study</v>
      </c>
      <c r="N52" s="46" t="str">
        <f t="shared" si="2"/>
        <v>Abstract: In an exploratory approach, the authors conducted a structured literature review to extract candidate process digitalization project (PDP) success factors (SFs) from the literature on business process management (BPM), project management (PM) and digitalization. After that, the authors validated, refined and extended these intermediate results through interviews with 21 members of diverse PDP teams. Finally, the authors proposed the PDP success model by linking the candidate SFs with relevant success criteria.Digitalization substantially impacts organizations, which increasingly use digital technologies (DTs) to improve and innovate their business processes. While there are methods and tools for identifying process digitalization ideas and related projects (PDPs), guidance on the successful implementation of PDPs is missing. Hence, the authors set out to explore PDP SFs.The PDP success model covers 38 PDP success factor candidates, whereof 28 are already backed by the literature and ten have emerged during the interviews. Furthermore, the SFs are structured according to seven categories from the literature covering a broad range of sociotechnical topics (i.e. strategy, structure, culture, people, process, project and technology) as well as equipped with preliminary success rationales.The work is the first to systematically explore PDP SFs. The PDP success model shows that PDPs require a unique set of SFs, which combine established and hitherto underrepresented knowledge. It extends the knowledge on BPM and serves as foundation for future (confirmatory) research on business process digitalization and the successful implementation of PDPs.</v>
      </c>
      <c r="O52" s="9" t="s">
        <v>2074</v>
      </c>
      <c r="P52" s="9" t="s">
        <v>1611</v>
      </c>
      <c r="Q52" s="47"/>
    </row>
    <row r="53">
      <c r="A53" s="2" t="s">
        <v>18</v>
      </c>
      <c r="B53" s="2" t="s">
        <v>2075</v>
      </c>
      <c r="C53" s="2" t="s">
        <v>18</v>
      </c>
      <c r="D53" s="2" t="s">
        <v>2076</v>
      </c>
      <c r="E53" s="2"/>
      <c r="F53" s="2" t="s">
        <v>18</v>
      </c>
      <c r="G53" s="9" t="s">
        <v>2077</v>
      </c>
      <c r="H53" s="9" t="s">
        <v>23</v>
      </c>
      <c r="I53" s="9">
        <v>2022.0</v>
      </c>
      <c r="J53" s="9" t="s">
        <v>2078</v>
      </c>
      <c r="K53" s="10" t="s">
        <v>2079</v>
      </c>
      <c r="L53" s="9" t="s">
        <v>2080</v>
      </c>
      <c r="M53" s="9" t="str">
        <f t="shared" si="1"/>
        <v>Title: Building organizational resilience with digital transformation</v>
      </c>
      <c r="N53" s="46" t="str">
        <f t="shared" si="2"/>
        <v>Abstract: Purpose
Uncertain times [e.g. coronavirus disease 2019 (COVID-19)] require service businesses to respond in creative, flexible and resilient ways. This paper aims to develop and test the theoretical relationship between digital transformation and organizational resilience (OR), and the consequences of OR on organizations and employees during turbulent times.
Design/methodology/approach
A scale development was first conducted with an expert panel. Later, 474 participants who work as employees in small and medium-sized service enterprises were recruited for structural equation modeling (SEM). Exploratory factor analysis (EFA), confirmatory factor analysis (CFA) and path analysis were conducted to test the relationship between dimensions of digital maturity, dimensions of OR and two consequential variables: organizational performance and employees’ state optimism.
Findings
Strategic technology investment helps organizations to develop systematic control sustain operations in crises but may not directly contribute to employees’ capabilities of accurately understanding external turmoil, actively seeking available resources and rapidly developing adaptive solutions. Transformation management intensity equips an organization with transformative vision, governance and culture, and such transformative built-in leadership enables the organization to embrace employees with talents and innovativeness and help employees grow their capabilities when facing crises. The dimensions of OR have different influences on the organization and employees.
Originality/value
This research develops and tests the dimensions and measurement items of OR for the services domain and empirically tested how the dimensions of digital maturity influence the dimensions of OR, and how OR influences the organization’s performance and employees’ state optimism.
</v>
      </c>
      <c r="O53" s="15" t="s">
        <v>2081</v>
      </c>
      <c r="P53" s="9" t="s">
        <v>2082</v>
      </c>
      <c r="Q53" s="47"/>
    </row>
    <row r="54">
      <c r="A54" s="2" t="s">
        <v>18</v>
      </c>
      <c r="B54" s="2" t="s">
        <v>2083</v>
      </c>
      <c r="C54" s="2" t="s">
        <v>18</v>
      </c>
      <c r="D54" s="2" t="s">
        <v>2084</v>
      </c>
      <c r="E54" s="2"/>
      <c r="F54" s="2" t="s">
        <v>18</v>
      </c>
      <c r="G54" s="9" t="s">
        <v>2085</v>
      </c>
      <c r="H54" s="9" t="s">
        <v>23</v>
      </c>
      <c r="I54" s="9">
        <v>2021.0</v>
      </c>
      <c r="J54" s="9" t="s">
        <v>2086</v>
      </c>
      <c r="K54" s="10" t="s">
        <v>2087</v>
      </c>
      <c r="L54" s="9" t="s">
        <v>2088</v>
      </c>
      <c r="M54" s="9" t="str">
        <f t="shared" si="1"/>
        <v>Title: Skills and competencies for digital transformation – a critical analysis in the context of robotic process automation</v>
      </c>
      <c r="N54" s="46" t="str">
        <f t="shared" si="2"/>
        <v>Abstract: Purpose
Digital transformation of organizations has major implications for required skills and competencies of the workforce, both as a prerequisite for implementation, and, as a consequence of the transformation. The purpose of this study is to analyze required skills and competencies for digital transformation using the context of robotic process automation (RPA) as an example.
Design/methodology/approach
This study is based on an explorative, thematic coding analysis of 119 job advertisements related to RPA. The data was collected from major online job platforms, qualitatively coded and subsequently analyzed quantitatively.
Findings
The research highlights the general importance of specific skills and competencies for digital transformation and shows a gap between available skills and required skills. Moreover, it is concluded that reskilling the existing workforce might be difficult. Many emerging positions can be found in the consulting sector, which raises questions about the permanent vs temporary nature of the requirements, as well as the difficulty of acquiring the required knowledge.
Originality/value
This paper contributes to knowledge by providing new empirical findings and a novel perspective to the ongoing discussion of digital skills, employment effects and reskilling demands of the existing workforce owing to recent technological developments and automation in the overall context of digital transformation.
</v>
      </c>
      <c r="O54" s="15" t="s">
        <v>2089</v>
      </c>
      <c r="P54" s="9" t="s">
        <v>2090</v>
      </c>
      <c r="Q54" s="47"/>
    </row>
    <row r="55">
      <c r="A55" s="2" t="s">
        <v>20</v>
      </c>
      <c r="B55" s="2" t="s">
        <v>2091</v>
      </c>
      <c r="C55" s="2" t="s">
        <v>18</v>
      </c>
      <c r="D55" s="2" t="s">
        <v>2092</v>
      </c>
      <c r="E55" s="2"/>
      <c r="F55" s="2" t="s">
        <v>20</v>
      </c>
      <c r="G55" s="9" t="s">
        <v>1456</v>
      </c>
      <c r="H55" s="9" t="s">
        <v>23</v>
      </c>
      <c r="I55" s="9">
        <v>2021.0</v>
      </c>
      <c r="J55" s="9" t="s">
        <v>1457</v>
      </c>
      <c r="K55" s="10" t="s">
        <v>2093</v>
      </c>
      <c r="L55" s="9" t="s">
        <v>1459</v>
      </c>
      <c r="M55" s="9" t="str">
        <f t="shared" si="1"/>
        <v>Title: Exploring IT/IS proactive and knowledge transfer on enterprise digital business transformation (EDBT): a technology-knowledge perspective</v>
      </c>
      <c r="N55" s="46" t="str">
        <f t="shared" si="2"/>
        <v>Abstract: Business process management (BPM) has been discussed in much literature as a crucial approach to achieve firm-enterprise business performance, however in term of digital business transformation to face the current digital enterprise business era, there is still much to be explored. Drawing sociotechnical perspective of ETHICS theory, the study develops and conceptualize information technologies/systems (IT/IS) proactive capability and socialization-codification knowledge process that produce business transformation process in digital-based era.Of the 173 company-enterprise respondents in Indonesia, the authors empirically test and validate the conceptual model using structural equation model tool-SmartPLS and SPSS statistical. The enterprise respondents were manufactures industry, construction services, hardware and software, plantation and agriculture, financial and insurance services, and other retail trade.The authors found different findings of mediating effect and direct relationship effect. Socialization knowledge process has directly influence IT/IS proactive capability and enterprise digital business transformation. Codification knowledge process has successfully support IT/IS proactive capability, but unsupported correlation on enterprise digital business transformation. Also, IT/IS proactive capability positively influence enterprise digital business transformation. Enterprise business process suffers when the firm transform their business process into digital-based only using codification knowledge practices because documented knowledge (codification type) is not strong enough to help company in the way of enterprise digital business transformation. Mediating role show IT/IS proactive capability is crucial approach for enterprise business transformation to maximize codification knowledge practices. The findings present one fully supported results of mediation role through IT/IS proactive capability. A stronger support for enterprise IT/IS strategy in company, a high opportunity for codification knowledge practices to improve the digital ways to transform the enterprise business process. In short, the results can guide enterprise managers on how to manage their knowledge resources and maximizing emerging technologies to achieve enterprise digital business transformation.The authors acknowledged that future studies would be worthwhile to create, develop and strengthen the model and its related foundation. Future research may try different concept/theory that applicable in enterprise digital business transformation. Also, an opportunity for future study is how enterprise digital business transformation in different context of industries with the current emerging technologies (e.g. IoT, big data, AI).This study offers a theoretical and conceptual framework to the applicable digital-based within enterprise business transformation context. A knowledge/novel contribution of this study is the integration of a sociotechnical that highly relevant and drives enterprise digital business transformation. This study also is an effort to combine some areas such as business transformation strategy, knowledge-intensive business services, knowledge management and IT/IS.</v>
      </c>
      <c r="O55" s="9" t="s">
        <v>2094</v>
      </c>
      <c r="P55" s="9" t="s">
        <v>1461</v>
      </c>
      <c r="Q55" s="47"/>
    </row>
    <row r="56">
      <c r="A56" s="2" t="s">
        <v>18</v>
      </c>
      <c r="B56" s="2" t="s">
        <v>2095</v>
      </c>
      <c r="C56" s="2" t="s">
        <v>18</v>
      </c>
      <c r="D56" s="2" t="s">
        <v>2096</v>
      </c>
      <c r="E56" s="2"/>
      <c r="F56" s="2" t="s">
        <v>18</v>
      </c>
      <c r="G56" s="9" t="s">
        <v>2097</v>
      </c>
      <c r="H56" s="9" t="s">
        <v>23</v>
      </c>
      <c r="I56" s="9">
        <v>2021.0</v>
      </c>
      <c r="J56" s="9" t="s">
        <v>2098</v>
      </c>
      <c r="K56" s="10" t="s">
        <v>2099</v>
      </c>
      <c r="L56" s="9" t="s">
        <v>2100</v>
      </c>
      <c r="M56" s="9" t="str">
        <f t="shared" si="1"/>
        <v>Title: Information Technology Alignment and Innovation: 30 Years of Intersecting Research</v>
      </c>
      <c r="N56" s="46" t="str">
        <f t="shared" si="2"/>
        <v>Abstract: Business-IT alignment (hereafter alignment) and information technology-enabled innovation (hereafter innovation) are essential for firm performance and competitive advantage. During the past 30 years, alignment and innovation literature streams have grown and become important areas of inquiry in the Information Systems field. Nevertheless, both literature streams have remained separate; it is unclear where and how the two streams overlap. To our knowledge, none of the existing review articles has systematically examined this overlap or how each literature stream informs the other. In this monograph, we bridge this gap and present findings from a review of the alignment and innovation literature streams published between 1990 and 2020 in the Senior Scholars’ Basket of Eight Journals of the Association for Information Systems. We summarize approaches, challenges, and opportunities seen in the alignment and innovation literature streams. Our analysis reveals that alignment scholars tend to overlook the complexities inherent in the process of innovating and view innovation as a black box. Meanwhile, innovation scholars assume different organizational components during the innovation process seamlessly work together to support alignment. We conclude that scholars in both camps should consider undertaking studies that examine aligning and innovating as interdependent processes: aligning involves coordination and cooperation among business units, and in many cases, innovations are needed to achieve alignment. Similarly, innovating with information technology jolts the organization out of its previous alignment and requires aligning in parallel to innovating to restore alignment. We end the monograph by presenting guidance to both scholars and practitioners interested in alignment and IT-enabled innovation.</v>
      </c>
      <c r="O56" s="9" t="s">
        <v>2101</v>
      </c>
      <c r="P56" s="9" t="s">
        <v>2102</v>
      </c>
      <c r="Q56" s="47"/>
    </row>
  </sheetData>
  <autoFilter ref="$A$1:$Q$56"/>
  <conditionalFormatting sqref="A1:Q56">
    <cfRule type="expression" dxfId="0" priority="1">
      <formula>COUNTIF($F1,"Conforme")</formula>
    </cfRule>
  </conditionalFormatting>
  <conditionalFormatting sqref="A1:Q56">
    <cfRule type="expression" dxfId="1" priority="2">
      <formula>COUNTIF($F1,"Inconforme")</formula>
    </cfRule>
  </conditionalFormatting>
  <conditionalFormatting sqref="A1:F56">
    <cfRule type="expression" dxfId="2" priority="3">
      <formula>$E1= "Duvida"</formula>
    </cfRule>
  </conditionalFormatting>
  <dataValidations>
    <dataValidation type="list" allowBlank="1" showErrorMessage="1" sqref="A2:A56 C2:C56 E2:F56">
      <formula1>"Conforme,Inconforme - Artigos com conteúdo pago,Inconforme -Artigos duplicados ou similares,Inconforme - Artigos indisponíveis para download ou visualização;,Inconforme - Artigos que não estejam relacionados com as perguntas de pequisa,Inconforme - Artigo"&amp;"s secundários,Inconforme,Duvida"</formula1>
    </dataValidation>
  </dataValidations>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1"/>
    <hyperlink r:id="rId41" ref="K42"/>
    <hyperlink r:id="rId42" ref="K43"/>
    <hyperlink r:id="rId43" ref="K44"/>
    <hyperlink r:id="rId44" ref="K45"/>
    <hyperlink r:id="rId45" ref="K46"/>
    <hyperlink r:id="rId46" ref="K47"/>
    <hyperlink r:id="rId47" ref="K48"/>
    <hyperlink r:id="rId48" ref="K49"/>
    <hyperlink r:id="rId49" ref="K50"/>
    <hyperlink r:id="rId50" ref="K51"/>
    <hyperlink r:id="rId51" ref="K52"/>
    <hyperlink r:id="rId52" ref="K53"/>
    <hyperlink r:id="rId53" ref="K54"/>
    <hyperlink r:id="rId54" ref="K55"/>
    <hyperlink r:id="rId55" ref="K56"/>
  </hyperlinks>
  <drawing r:id="rId5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38"/>
    <col customWidth="1" min="2" max="2" width="16.0"/>
    <col customWidth="1" min="3" max="4" width="17.0"/>
    <col customWidth="1" min="5" max="5" width="15.75"/>
    <col customWidth="1" min="6" max="6" width="29.63"/>
    <col customWidth="1" min="7" max="7" width="6.5"/>
    <col customWidth="1" min="8" max="8" width="6.38"/>
    <col customWidth="1" min="9" max="9" width="21.13"/>
    <col customWidth="1" min="10" max="10" width="12.0"/>
    <col customWidth="1" min="11" max="11" width="38.0"/>
    <col customWidth="1" min="13" max="13" width="12.0"/>
    <col customWidth="1" min="14" max="14" width="79.13"/>
    <col customWidth="1" min="15" max="15" width="14.75"/>
    <col customWidth="1" min="16" max="16" width="26.0"/>
    <col customWidth="1" min="18" max="18" width="46.88"/>
    <col customWidth="1" min="19" max="19" width="7.63"/>
    <col customWidth="1" min="21" max="23" width="12.0"/>
  </cols>
  <sheetData>
    <row r="1">
      <c r="A1" s="2" t="s">
        <v>2103</v>
      </c>
      <c r="B1" s="2"/>
      <c r="C1" s="2" t="s">
        <v>3</v>
      </c>
      <c r="D1" s="2"/>
      <c r="E1" s="2" t="s">
        <v>5</v>
      </c>
      <c r="F1" s="2"/>
      <c r="G1" s="48" t="s">
        <v>2104</v>
      </c>
      <c r="H1" s="4" t="s">
        <v>2105</v>
      </c>
      <c r="I1" s="4" t="s">
        <v>2106</v>
      </c>
      <c r="J1" s="4" t="s">
        <v>10</v>
      </c>
      <c r="K1" s="4" t="s">
        <v>2107</v>
      </c>
      <c r="L1" s="6"/>
      <c r="M1" s="4" t="s">
        <v>2108</v>
      </c>
      <c r="N1" s="49" t="s">
        <v>2109</v>
      </c>
      <c r="O1" s="4" t="s">
        <v>2110</v>
      </c>
      <c r="P1" s="4" t="s">
        <v>2111</v>
      </c>
      <c r="Q1" s="4" t="s">
        <v>2112</v>
      </c>
      <c r="R1" s="4" t="s">
        <v>14</v>
      </c>
      <c r="S1" s="4" t="s">
        <v>2113</v>
      </c>
      <c r="T1" s="48"/>
      <c r="U1" s="6"/>
      <c r="V1" s="6"/>
      <c r="W1" s="6"/>
      <c r="X1" s="6"/>
      <c r="Y1" s="4"/>
      <c r="Z1" s="6"/>
      <c r="AA1" s="6"/>
      <c r="AB1" s="6"/>
      <c r="AC1" s="6"/>
      <c r="AD1" s="6"/>
      <c r="AE1" s="6"/>
      <c r="AF1" s="6"/>
      <c r="AG1" s="6"/>
    </row>
    <row r="2">
      <c r="A2" s="2" t="s">
        <v>18</v>
      </c>
      <c r="B2" s="2" t="s">
        <v>2114</v>
      </c>
      <c r="C2" s="2" t="s">
        <v>20</v>
      </c>
      <c r="D2" s="2" t="s">
        <v>2115</v>
      </c>
      <c r="E2" s="2"/>
      <c r="F2" s="2" t="s">
        <v>1357</v>
      </c>
      <c r="G2" s="50" t="s">
        <v>2116</v>
      </c>
      <c r="H2" s="9">
        <v>2023.0</v>
      </c>
      <c r="I2" s="9" t="s">
        <v>2117</v>
      </c>
      <c r="J2" s="9" t="s">
        <v>1442</v>
      </c>
      <c r="K2" s="10" t="s">
        <v>2118</v>
      </c>
      <c r="L2" s="51">
        <f t="shared" ref="L2:L3" si="1">(Q2-P2)</f>
        <v>9</v>
      </c>
      <c r="M2" s="9" t="str">
        <f t="shared" ref="M2:M73" si="2">"Title: " &amp; J2</f>
        <v>Title: Evaluating the Economic and Sustainability Impacts of Drones in Viticulture using BPMN-based Simulation</v>
      </c>
      <c r="N2" s="52" t="str">
        <f t="shared" ref="N2:N73" si="3">"Abstract: " &amp; O2</f>
        <v>Abstract: This paper presents an investigation into the economic impact of drones in viticulture, an area that has not been previously researched. The authors calculate the economic impacts of drones in viticulture and use this to measure the overall sustainability impact assessment for this technology. The study aims to explore a method for investigating the impact of technological changes on business processes in viticulture. This involves selecting viticultural business processes, representing them using Business Process Model and Notation (BPMN), and considering their simulation. Backpack sprayers and trailed sprayers were considered conventional application methods. The application of crop protection products by drone was considered a digitalized variant. Literature research and guideline-based expert interviews with vinegrowers provided the information basis. The study focuses on plant protection in viticulture, but the results can be applied to other agricultural processes. By integrating all three indicators for sustainability, the study provides an evidence-based method for evaluating the impact of drones on viticultural business processes. © 2023 The Authors. Published by Elsevier B.V. This is an open access article under the CC BY-NC-ND license (https://creativecommons.org/licenses/by-nc-nd/4.0)</v>
      </c>
      <c r="O2" s="42" t="s">
        <v>2119</v>
      </c>
      <c r="P2" s="9">
        <v>892.0</v>
      </c>
      <c r="Q2" s="9">
        <v>901.0</v>
      </c>
      <c r="R2" s="9" t="s">
        <v>1446</v>
      </c>
      <c r="S2" s="9" t="s">
        <v>2120</v>
      </c>
      <c r="T2" s="6"/>
      <c r="U2" s="6"/>
      <c r="V2" s="6"/>
      <c r="W2" s="6"/>
      <c r="X2" s="6"/>
      <c r="Y2" s="9"/>
      <c r="Z2" s="6"/>
      <c r="AA2" s="6"/>
      <c r="AB2" s="6"/>
      <c r="AC2" s="6"/>
      <c r="AD2" s="6"/>
      <c r="AE2" s="6"/>
      <c r="AF2" s="6"/>
      <c r="AG2" s="6"/>
    </row>
    <row r="3">
      <c r="A3" s="2" t="s">
        <v>20</v>
      </c>
      <c r="B3" s="2" t="s">
        <v>2121</v>
      </c>
      <c r="C3" s="2" t="s">
        <v>20</v>
      </c>
      <c r="D3" s="2" t="s">
        <v>2122</v>
      </c>
      <c r="E3" s="2"/>
      <c r="F3" s="2" t="s">
        <v>1357</v>
      </c>
      <c r="G3" s="50" t="s">
        <v>2123</v>
      </c>
      <c r="H3" s="9">
        <v>2025.0</v>
      </c>
      <c r="I3" s="9" t="s">
        <v>2124</v>
      </c>
      <c r="J3" s="9" t="s">
        <v>1832</v>
      </c>
      <c r="K3" s="10" t="s">
        <v>2125</v>
      </c>
      <c r="L3" s="6">
        <f t="shared" si="1"/>
        <v>25</v>
      </c>
      <c r="M3" s="9" t="str">
        <f t="shared" si="2"/>
        <v>Title: Indonesian organization digital innovation: the influence of business process management capabilities</v>
      </c>
      <c r="N3" s="52" t="str">
        <f t="shared" si="3"/>
        <v>Abstract: Purpose – Business process management (BPM) has emerged as one of the most widely adopted approaches for organizations to managing business processes effectively. However, Indonesian organizations often face significant challenges in implementing and managing BPM. This study aims to evaluate the influence of BPM capabilities on organizational digital innovation in Indonesia. Design/methodology/approach – This study employed a mixed sequential model and had 369 valid respondents who filled in the online questionnaire and 30 respondents who participated in qualitative interviews were conducted. Partial least squares structural equation modeling was used to analyze the questionnaire data, while content analysis was used to analyze the qualitative data. Findings – BPM capabilities such as process context management, process compliance management, process data analytics, process architecture and integration and adaptive process improvement exerted a statistically significant influence on reducing digitalization barriers, thereby enabling organizations to better prepare for and manage the complexities of digital transformation. Advanced process automation did not have a significant effect on reducing organizational digitalization barriers. Practical implications – The study emphasizes the importance of prioritizing regulatory compliance and data analytics initiatives before adopting advanced process automation, ensuring job security and promoting a more positive acceptance of change throughout an organization. Originality/value – Strengthening capabilities focused on regulatory compliance and data analytics has proven beneficial in creating a stable and secure work environment, thereby alleviating employees' concerns during digital transformation and encouraging innovation. © 2025 Emerald Publishing Limited</v>
      </c>
      <c r="O3" s="9" t="s">
        <v>2126</v>
      </c>
      <c r="P3" s="9">
        <v>1.0</v>
      </c>
      <c r="Q3" s="9">
        <v>26.0</v>
      </c>
      <c r="R3" s="9" t="s">
        <v>1836</v>
      </c>
      <c r="S3" s="12"/>
      <c r="T3" s="48"/>
      <c r="U3" s="6"/>
      <c r="V3" s="6"/>
      <c r="W3" s="6"/>
      <c r="X3" s="6"/>
      <c r="Y3" s="9"/>
      <c r="Z3" s="6"/>
      <c r="AA3" s="6"/>
      <c r="AB3" s="6"/>
      <c r="AC3" s="6"/>
      <c r="AD3" s="6"/>
      <c r="AE3" s="6"/>
      <c r="AF3" s="6"/>
      <c r="AG3" s="6"/>
    </row>
    <row r="4">
      <c r="A4" s="2" t="s">
        <v>18</v>
      </c>
      <c r="B4" s="2" t="s">
        <v>2127</v>
      </c>
      <c r="C4" s="2" t="s">
        <v>18</v>
      </c>
      <c r="D4" s="2" t="s">
        <v>2128</v>
      </c>
      <c r="E4" s="2"/>
      <c r="F4" s="2" t="s">
        <v>18</v>
      </c>
      <c r="G4" s="50" t="s">
        <v>2129</v>
      </c>
      <c r="H4" s="9">
        <v>2024.0</v>
      </c>
      <c r="I4" s="9" t="s">
        <v>2124</v>
      </c>
      <c r="J4" s="9" t="s">
        <v>2130</v>
      </c>
      <c r="K4" s="10" t="s">
        <v>2131</v>
      </c>
      <c r="L4" s="6"/>
      <c r="M4" s="9" t="str">
        <f t="shared" si="2"/>
        <v>Title: Process Mining, Modeling, and Management in Construction: A Critical Review of Three Decades of Research Coupled with a Current Industry Perspective</v>
      </c>
      <c r="N4" s="52" t="str">
        <f t="shared" si="3"/>
        <v>Abstract: The so-called digital transformation of the construction industry is essential to overcoming long-standing global productivity stagnation. This transformation aims to adopt the latest technological developments and methodologies to improve construction productivity while supporting data-informed decision-making. However, the construction sector has fallen short of meeting the fast-growing population's demands for sustainable quality infrastructure at the required pace as it has not yet taken full advantage of these advancements. Despite broad experience in managing projects, when it comes to modeling, monitoring, and re-engineering processes, the construction industry has fallen behind several other industries. To overcome these challenges, efficient construction processes and operational strategies are essential to keeping organizations competitive and meeting market demands. In this regard, even though several studies on process modeling and management in construction exist, research on construction process improvement and automation through data-driven process mining remains understudied. Moreover, the literature lacks a comprehensive review of process-oriented studies with practical industry insights. To fill these gaps, this paper aims to provide an exhaustive analysis of process mining, modeling, and management as reported by the most current state of the literature in the architecture, engineering, construction/facility management (AEC/FM) domain coupled with a current industry perspective. As a result, the authors: (1) propose a conceptual process classification framework that considers the broad spectrum of process-oriented studies in the existing literature; (2) identify construction processes commonly present across a project's life cycle; (3) design and conduct structured interviews with subject matter experts to validate identified processes and get industry insights about them; (4) spot major literature gaps describing future research opportunities; and (5) develop a business process model canvas template that supports construction organizations in improving their corporate memory and pursuing construction productivity growth by better managing, monitoring, and automating construction processes. © 2024 American Society of Civil Engineers.</v>
      </c>
      <c r="O4" s="9" t="s">
        <v>2132</v>
      </c>
      <c r="P4" s="12"/>
      <c r="Q4" s="53"/>
      <c r="R4" s="9" t="s">
        <v>2133</v>
      </c>
      <c r="S4" s="12"/>
      <c r="T4" s="48"/>
      <c r="U4" s="6"/>
      <c r="V4" s="6"/>
      <c r="W4" s="6"/>
      <c r="X4" s="6"/>
      <c r="Y4" s="9"/>
      <c r="Z4" s="6"/>
      <c r="AA4" s="6"/>
      <c r="AB4" s="6"/>
      <c r="AC4" s="6"/>
      <c r="AD4" s="6"/>
      <c r="AE4" s="6"/>
      <c r="AF4" s="6"/>
      <c r="AG4" s="6"/>
    </row>
    <row r="5">
      <c r="A5" s="2" t="s">
        <v>18</v>
      </c>
      <c r="B5" s="2" t="s">
        <v>2134</v>
      </c>
      <c r="C5" s="2" t="s">
        <v>18</v>
      </c>
      <c r="D5" s="2" t="s">
        <v>2135</v>
      </c>
      <c r="E5" s="2"/>
      <c r="F5" s="2" t="s">
        <v>18</v>
      </c>
      <c r="G5" s="50" t="s">
        <v>2136</v>
      </c>
      <c r="H5" s="9">
        <v>2021.0</v>
      </c>
      <c r="I5" s="9" t="s">
        <v>2117</v>
      </c>
      <c r="J5" s="9" t="s">
        <v>910</v>
      </c>
      <c r="K5" s="10" t="s">
        <v>2137</v>
      </c>
      <c r="L5" s="6"/>
      <c r="M5" s="9" t="str">
        <f t="shared" si="2"/>
        <v>Title: Self-managed Organization: A Role of Business Process Management</v>
      </c>
      <c r="N5" s="52" t="str">
        <f t="shared" si="3"/>
        <v>Abstract: Among with process automation and digitalization trends, which requires a strong structural and process-oriented approach, new paradigm of self-managed organization become a mainstream cultivating the value of decentralization of decision power. With different titles as Management 3.0, holacracy, teal organization or reinventing organization, the same idea is spread-a transition from typical hierarchical management pyramid to the flat organization of self-organized teams with given authorities for decision making. Ongoing discussions are both supporting and criticizing. Most of them are focused on organizational changes, mind-set, and methods to assist transition. Keeping attention to the social component of the new management paradigm in organizational ecosystem, an attention to its technical side is missed. It includes business process and information system governance. The aim of the paper is to start a discourse and consider if self-managed organization benefit from a systematic approach of process management, as well as consider risks what can bring to business process continuity. © 2021 IEEE.</v>
      </c>
      <c r="O5" s="9" t="s">
        <v>2138</v>
      </c>
      <c r="P5" s="12"/>
      <c r="Q5" s="53"/>
      <c r="R5" s="9" t="s">
        <v>912</v>
      </c>
      <c r="S5" s="12"/>
      <c r="T5" s="6"/>
      <c r="U5" s="6"/>
      <c r="V5" s="6"/>
      <c r="W5" s="6"/>
      <c r="X5" s="6"/>
      <c r="Y5" s="9"/>
      <c r="Z5" s="6"/>
      <c r="AA5" s="6"/>
      <c r="AB5" s="6"/>
      <c r="AC5" s="6"/>
      <c r="AD5" s="6"/>
      <c r="AE5" s="6"/>
      <c r="AF5" s="6"/>
      <c r="AG5" s="6"/>
    </row>
    <row r="6">
      <c r="A6" s="2" t="s">
        <v>18</v>
      </c>
      <c r="B6" s="2" t="s">
        <v>2139</v>
      </c>
      <c r="C6" s="2" t="s">
        <v>18</v>
      </c>
      <c r="D6" s="2" t="s">
        <v>2140</v>
      </c>
      <c r="E6" s="2"/>
      <c r="F6" s="2" t="s">
        <v>20</v>
      </c>
      <c r="G6" s="50" t="s">
        <v>2141</v>
      </c>
      <c r="H6" s="9">
        <v>2022.0</v>
      </c>
      <c r="I6" s="9" t="s">
        <v>2117</v>
      </c>
      <c r="J6" s="9" t="s">
        <v>850</v>
      </c>
      <c r="K6" s="10" t="s">
        <v>2142</v>
      </c>
      <c r="L6" s="6">
        <f t="shared" ref="L6:L7" si="4">(Q6-P6)</f>
        <v>0</v>
      </c>
      <c r="M6" s="9" t="str">
        <f t="shared" si="2"/>
        <v>Title: Business Process Automation in Retail</v>
      </c>
      <c r="N6" s="52" t="str">
        <f t="shared" si="3"/>
        <v>Abstract: Digital transformation nowadays is stated as a driving force for competitive business. It is widely mentioned in many industries as a key factor to meet the ambition of being an innovative company. Although a lack of understanding the essence of the technology, its value and functional benefits can result in missed expectation and losses of time and monetary investments. Despite various use cases and success stories, implementation of the technology into organization business processes requires strong understanding how a particular technology can deliver business expected values. The paper summarizes authors' research on automation implementation in retail business. The goal is to explore what activities should the company perform to successfully implement process automation in Retail sector. Although there are frameworks available describing process automation implementation, there is limited research available specifically for the retail industry. The paper discusses elements of a conceptual framework for process automation considering retail specific, also considered within the paper. © 2022 IEEE.</v>
      </c>
      <c r="O6" s="9" t="s">
        <v>2143</v>
      </c>
      <c r="P6" s="12"/>
      <c r="Q6" s="53"/>
      <c r="R6" s="9" t="s">
        <v>852</v>
      </c>
      <c r="S6" s="12"/>
      <c r="T6" s="6"/>
      <c r="U6" s="6"/>
      <c r="V6" s="6"/>
      <c r="W6" s="6"/>
      <c r="X6" s="6"/>
      <c r="Y6" s="9"/>
      <c r="Z6" s="6"/>
      <c r="AA6" s="6"/>
      <c r="AB6" s="6"/>
      <c r="AC6" s="6"/>
      <c r="AD6" s="6"/>
      <c r="AE6" s="6"/>
      <c r="AF6" s="6"/>
      <c r="AG6" s="6"/>
    </row>
    <row r="7">
      <c r="A7" s="2" t="s">
        <v>20</v>
      </c>
      <c r="B7" s="2" t="s">
        <v>2144</v>
      </c>
      <c r="C7" s="1" t="s">
        <v>20</v>
      </c>
      <c r="D7" s="2" t="s">
        <v>2145</v>
      </c>
      <c r="E7" s="2"/>
      <c r="F7" s="2" t="s">
        <v>20</v>
      </c>
      <c r="G7" s="50" t="s">
        <v>2146</v>
      </c>
      <c r="H7" s="9">
        <v>2025.0</v>
      </c>
      <c r="I7" s="9" t="s">
        <v>2117</v>
      </c>
      <c r="J7" s="9" t="s">
        <v>2147</v>
      </c>
      <c r="K7" s="10" t="s">
        <v>2148</v>
      </c>
      <c r="L7" s="6">
        <f t="shared" si="4"/>
        <v>9</v>
      </c>
      <c r="M7" s="9" t="str">
        <f t="shared" si="2"/>
        <v>Title: From Silos to Synergy: Embedding BPM at Sri Lanka Telecom to Drive Strategic Alignment</v>
      </c>
      <c r="N7" s="52" t="str">
        <f t="shared" si="3"/>
        <v>Abstract: This case study details the internally led transformation of Sri Lanka Telecom (SLT) from a legacy, siloed telco into a process-oriented, digitally enabled enterprise. Confronted by deregulation, increasing customer expectations, and fragmented operations, SLT lacked both business process management (BPM) maturity and external consultancy support. In response, the organisation initiated a 'learning-by-doing' journey that gradually institutionalised BPM as a strategic capability. Anchored by the TM Forum's enhanced Telecom Operations Map (eTOM) process framework and catalysed by pressing operational pain points, SLT's business process re-engineering team evolved from a small task force into a center of excellence. BPM practices were progressively embedded into major IT initiatives, including customer relationship management, enterprise resource planning, service-oriented architecture, and robotic process automation, enabling greater agility, transparency, and service responsiveness. SLT's experience offers compelling insights into how process capability can be built from within, by empowering internal champions, aligning with global reference models, and embracing iterative stakeholder-driven design. The case shows how BPM can move beyond efficiency, serving as an enabler of digital transformation, strategic alignment, and cultural renewal. It provides a transferable roadmap for organisations seeking sustainable transformation under resource constraints, specially in emerging markets. © 2025 CEUR-WS. All rights reserved.</v>
      </c>
      <c r="O7" s="9" t="s">
        <v>2149</v>
      </c>
      <c r="P7" s="9">
        <v>11.0</v>
      </c>
      <c r="Q7" s="9">
        <v>20.0</v>
      </c>
      <c r="R7" s="53"/>
      <c r="S7" s="12"/>
      <c r="T7" s="48"/>
      <c r="U7" s="6"/>
      <c r="V7" s="6"/>
      <c r="W7" s="6"/>
      <c r="X7" s="6"/>
      <c r="Y7" s="9"/>
      <c r="Z7" s="6"/>
      <c r="AA7" s="6"/>
      <c r="AB7" s="6"/>
      <c r="AC7" s="6"/>
      <c r="AD7" s="6"/>
      <c r="AE7" s="6"/>
      <c r="AF7" s="6"/>
      <c r="AG7" s="6"/>
    </row>
    <row r="8">
      <c r="A8" s="1" t="s">
        <v>18</v>
      </c>
      <c r="B8" s="2" t="s">
        <v>2150</v>
      </c>
      <c r="C8" s="1" t="s">
        <v>18</v>
      </c>
      <c r="D8" s="2" t="s">
        <v>2151</v>
      </c>
      <c r="E8" s="2"/>
      <c r="F8" s="2" t="s">
        <v>18</v>
      </c>
      <c r="G8" s="50" t="s">
        <v>2152</v>
      </c>
      <c r="H8" s="9">
        <v>2022.0</v>
      </c>
      <c r="I8" s="9" t="s">
        <v>2117</v>
      </c>
      <c r="J8" s="9" t="s">
        <v>2153</v>
      </c>
      <c r="K8" s="10" t="s">
        <v>2154</v>
      </c>
      <c r="L8" s="6"/>
      <c r="M8" s="9" t="str">
        <f t="shared" si="2"/>
        <v>Title: ROH-BOT: An IoT Wearable and Inclusive Health Device for Remote Patient Monitoring with Different Alarm Systems</v>
      </c>
      <c r="N8" s="52" t="str">
        <f t="shared" si="3"/>
        <v>Abstract: For the last two years, the world has been fighting an invisible enemy: COVID-19 (coronavirus). The spreading of this virus caused an unprecedented pandemic, bringing out some critical health system issues due to overcrowded hospitals and undersized medical personnel compared to the number of infected. Indeed, in this context, health facilities have proven inadequate in treating COVID-19 patients who were in quarantine at home, leading to overcrowded hospitals. An efficient home monitoring system would have reserved hospital beds for patients in severe conditions while, at the same time, doctors would have followed up on patients who had mild disease symptoms remotely. Unfortunately, the development of telemedicine was not enough; devices were not user-friendly and had insufficient memory to guarantee daily data storage. ROH-BOT is an IoT device that allows real-Time contact with the doctor, tracking the patient's vital values, and registers the critical parameters that characterize the specific disease. It also allows quick contact with a trusted third person due to its association with a Telegram bot. Moreover, thanks to its user-friendly characteristics, ROH-BOT increases the growing digitalization in the medical field and the democratization of medical technology. In this way, ROH-BOT aims to solve the difficulties related to home monitoring relieved during the pandemic. © 2022 IEEE.</v>
      </c>
      <c r="O8" s="9" t="s">
        <v>2155</v>
      </c>
      <c r="P8" s="9">
        <v>68.0</v>
      </c>
      <c r="Q8" s="9">
        <v>73.0</v>
      </c>
      <c r="R8" s="9" t="s">
        <v>937</v>
      </c>
      <c r="S8" s="12"/>
      <c r="T8" s="48"/>
      <c r="U8" s="6"/>
      <c r="V8" s="6"/>
      <c r="W8" s="6"/>
      <c r="X8" s="6"/>
      <c r="Y8" s="9"/>
      <c r="Z8" s="6"/>
      <c r="AA8" s="6"/>
      <c r="AB8" s="6"/>
      <c r="AC8" s="6"/>
      <c r="AD8" s="6"/>
      <c r="AE8" s="6"/>
      <c r="AF8" s="6"/>
      <c r="AG8" s="6"/>
    </row>
    <row r="9">
      <c r="A9" s="1" t="s">
        <v>18</v>
      </c>
      <c r="B9" s="2" t="s">
        <v>2156</v>
      </c>
      <c r="C9" s="1" t="s">
        <v>18</v>
      </c>
      <c r="D9" s="2" t="s">
        <v>2157</v>
      </c>
      <c r="E9" s="2"/>
      <c r="F9" s="2" t="s">
        <v>18</v>
      </c>
      <c r="G9" s="50" t="s">
        <v>2158</v>
      </c>
      <c r="H9" s="9">
        <v>2024.0</v>
      </c>
      <c r="I9" s="9" t="s">
        <v>2117</v>
      </c>
      <c r="J9" s="9" t="s">
        <v>2159</v>
      </c>
      <c r="K9" s="10" t="s">
        <v>2160</v>
      </c>
      <c r="L9" s="6"/>
      <c r="M9" s="9" t="str">
        <f t="shared" si="2"/>
        <v>Title: Scheduling Robotic Assisted Surgery within the Perioperative Process</v>
      </c>
      <c r="N9" s="52" t="str">
        <f t="shared" si="3"/>
        <v>Abstract: This study examines the outcomes of perioperative operating room scheduling using robotic assisted surgical procedures within the hospital environment. Based on a 193-month longitudinal study of a large 1,157 registered-bed academic medical center, the observed effects are viewed through a lens of information technology (IT) impact on core capabilities and core strategy. To this end, a digital transformation framework yields a patient-centric improvement across the perioperative scheduling of robotic assisted surgeries and the associated sub-processes. This research adds to existing perioperative scheduling and digital transformation literature, as well as highlights limitations on robotic assisted surgeries, potential capabilities, and subsequent contextual understanding to minimize perioperative process complexity with respect to improved robotic assisted scheduling capabilities. Conclusions include theoretical and practical implications as well as study limitations. © 2024 30th Americas Conference on Information Systems, AMCIS 2024. All rights reserved.</v>
      </c>
      <c r="O9" s="9" t="s">
        <v>2161</v>
      </c>
      <c r="P9" s="12"/>
      <c r="Q9" s="53"/>
      <c r="R9" s="53"/>
      <c r="S9" s="53"/>
      <c r="T9" s="48"/>
      <c r="U9" s="6"/>
      <c r="V9" s="6"/>
      <c r="W9" s="6"/>
      <c r="X9" s="6"/>
      <c r="Y9" s="9"/>
      <c r="Z9" s="6"/>
      <c r="AA9" s="6"/>
      <c r="AB9" s="6"/>
      <c r="AC9" s="6"/>
      <c r="AD9" s="6"/>
      <c r="AE9" s="6"/>
      <c r="AF9" s="6"/>
      <c r="AG9" s="6"/>
    </row>
    <row r="10">
      <c r="A10" s="1" t="s">
        <v>18</v>
      </c>
      <c r="B10" s="2" t="s">
        <v>2162</v>
      </c>
      <c r="C10" s="1" t="s">
        <v>18</v>
      </c>
      <c r="D10" s="2" t="s">
        <v>2163</v>
      </c>
      <c r="E10" s="2"/>
      <c r="F10" s="2" t="s">
        <v>18</v>
      </c>
      <c r="G10" s="50" t="s">
        <v>2164</v>
      </c>
      <c r="H10" s="9">
        <v>2024.0</v>
      </c>
      <c r="I10" s="9" t="s">
        <v>2124</v>
      </c>
      <c r="J10" s="9" t="s">
        <v>2165</v>
      </c>
      <c r="K10" s="10" t="s">
        <v>2166</v>
      </c>
      <c r="L10" s="6"/>
      <c r="M10" s="9" t="str">
        <f t="shared" si="2"/>
        <v>Title: Digital transformation dilemma in the era of changing dynamics: How organizational culture influence the success of digital transformation</v>
      </c>
      <c r="N10" s="52" t="str">
        <f t="shared" si="3"/>
        <v>Abstract: BACKGROUND: Digital transformation has become one of the most important topics in business, as companies try to use technology to improve their processes and gain a competitive edge. However, the success of digital transformation projects can be affected by organizational culture, which can make it easier or harder for digital transformation projects to be successfully implemented. OBJECTIVE: This study seeks to investigate the impact of organizational culture on the success of digital transformation. The study measures dimensions of organizational culture and how they impact the success of digital transformation projects. METHODS: 264 employees from various firms provided information via a questionnaire, and the study used Structural Equation Modelling (SEM) with AMOS software to evaluate the information and develop the proposed conceptual framework. RESULTS: The results demonstrate that employee empowerment has a positive and significant impact on digital transformation, while new organizational practice, support of change, and teamwork do not. CONCLUSIONS: These findings are crucial for advancing the current understanding of the role of organizational culture in the success of digital transformation projects. By shedding light on this relationship, this study contributes to the literature on digital transformation and provides organizations with insights that can inform their digital transformation strategies. © 2024 – IOS Press.</v>
      </c>
      <c r="O10" s="9" t="s">
        <v>2167</v>
      </c>
      <c r="P10" s="9">
        <v>455.0</v>
      </c>
      <c r="Q10" s="9">
        <v>472.0</v>
      </c>
      <c r="R10" s="9" t="s">
        <v>2168</v>
      </c>
      <c r="S10" s="12"/>
      <c r="T10" s="6"/>
      <c r="U10" s="6"/>
      <c r="V10" s="6"/>
      <c r="W10" s="6"/>
      <c r="X10" s="6"/>
      <c r="Y10" s="9"/>
      <c r="Z10" s="6"/>
      <c r="AA10" s="6"/>
      <c r="AB10" s="6"/>
      <c r="AC10" s="6"/>
      <c r="AD10" s="6"/>
      <c r="AE10" s="6"/>
      <c r="AF10" s="6"/>
      <c r="AG10" s="6"/>
    </row>
    <row r="11">
      <c r="A11" s="1" t="s">
        <v>20</v>
      </c>
      <c r="B11" s="2" t="s">
        <v>2169</v>
      </c>
      <c r="C11" s="1" t="s">
        <v>18</v>
      </c>
      <c r="D11" s="2" t="s">
        <v>2170</v>
      </c>
      <c r="E11" s="2"/>
      <c r="F11" s="2" t="s">
        <v>20</v>
      </c>
      <c r="G11" s="50" t="s">
        <v>2171</v>
      </c>
      <c r="H11" s="9">
        <v>2021.0</v>
      </c>
      <c r="I11" s="9" t="s">
        <v>2124</v>
      </c>
      <c r="J11" s="9" t="s">
        <v>1306</v>
      </c>
      <c r="K11" s="10" t="s">
        <v>2172</v>
      </c>
      <c r="L11" s="6">
        <f t="shared" ref="L11:L12" si="5">(Q11-P11)</f>
        <v>0</v>
      </c>
      <c r="M11" s="9" t="str">
        <f t="shared" si="2"/>
        <v>Title: A quantitative and qualitative study of the link between business process management and digital innovation</v>
      </c>
      <c r="N11" s="52" t="str">
        <f t="shared" si="3"/>
        <v>Abstract: The information revolution leaves its mark on businesses, resulting in organizations looking for digital innovation (DI) to apply to their business processes and anticipate competitors. Since the interplay between business process management (BPM) and DI has been underdeveloped, this mixed-methods article investigates the strength and nature of the relationship. We supplement the findings of an international survey (stage 1) with explanations from an expert panel (stage 2) to generalize a positive yet moderate link because of manifold contextual factors affecting strategic decision-making. We extend the technology–organization–environment (TOE) framework and profile organizations along their digital process innovation (DPI) mastery in a readiness matrix. © 2020 Elsevier B.V.</v>
      </c>
      <c r="O11" s="9" t="s">
        <v>2173</v>
      </c>
      <c r="P11" s="12"/>
      <c r="Q11" s="53"/>
      <c r="R11" s="9" t="s">
        <v>1309</v>
      </c>
      <c r="S11" s="12"/>
      <c r="T11" s="48"/>
      <c r="U11" s="6"/>
      <c r="V11" s="6"/>
      <c r="W11" s="6"/>
      <c r="X11" s="6"/>
      <c r="Y11" s="9"/>
      <c r="Z11" s="6"/>
      <c r="AA11" s="6"/>
      <c r="AB11" s="6"/>
      <c r="AC11" s="6"/>
      <c r="AD11" s="6"/>
      <c r="AE11" s="6"/>
      <c r="AF11" s="6"/>
      <c r="AG11" s="6"/>
    </row>
    <row r="12">
      <c r="A12" s="1" t="s">
        <v>20</v>
      </c>
      <c r="B12" s="2" t="s">
        <v>2174</v>
      </c>
      <c r="C12" s="54" t="s">
        <v>20</v>
      </c>
      <c r="D12" s="2" t="s">
        <v>2175</v>
      </c>
      <c r="E12" s="2"/>
      <c r="F12" s="2" t="s">
        <v>20</v>
      </c>
      <c r="G12" s="50" t="s">
        <v>2176</v>
      </c>
      <c r="H12" s="9">
        <v>2024.0</v>
      </c>
      <c r="I12" s="9" t="s">
        <v>2117</v>
      </c>
      <c r="J12" s="9" t="s">
        <v>2177</v>
      </c>
      <c r="K12" s="10" t="s">
        <v>2178</v>
      </c>
      <c r="L12" s="6">
        <f t="shared" si="5"/>
        <v>0</v>
      </c>
      <c r="M12" s="9" t="str">
        <f t="shared" si="2"/>
        <v>Title: Extending BPM by Treating Processes as Components of Work Systems that Produce Product/Services Valued by Their Customers</v>
      </c>
      <c r="N12" s="52" t="str">
        <f t="shared" si="3"/>
        <v>Abstract: Rapid changes related to automation, digitalization, and AI have generated attempts to re-think established BPM ideas and methods. A new extension of work system theory (WST) and the work system perspective provide a path toward a multi-level understanding of situations that BPM addresses. This paper presents a new RAVC framework (Resources for Action, Value for Customers) that can be applied in different ways at six levels of granularity that apply the notion of using resources to produce product/services valued by customers. Basic ideas about WST are summarized and related to various aspects of BPM. The impetus for the new RAVC idea is presented along with assumptions underlying its application. RAVC is discussed using a medical example designed to illustrate selected ideas in each of six levels. The concluding section reflects on how WST and RAVC might inspire BPM extensions in directions that may not have been pursued to date. © 2024 International Conference on Information Systems. All Rights Reserved.</v>
      </c>
      <c r="O12" s="9" t="s">
        <v>2179</v>
      </c>
      <c r="P12" s="12"/>
      <c r="Q12" s="53"/>
      <c r="R12" s="53"/>
      <c r="S12" s="12"/>
      <c r="T12" s="6"/>
      <c r="U12" s="6"/>
      <c r="V12" s="6"/>
      <c r="W12" s="6"/>
      <c r="X12" s="6"/>
      <c r="Y12" s="9"/>
      <c r="Z12" s="6"/>
      <c r="AA12" s="6"/>
      <c r="AB12" s="6"/>
      <c r="AC12" s="6"/>
      <c r="AD12" s="6"/>
      <c r="AE12" s="6"/>
      <c r="AF12" s="6"/>
      <c r="AG12" s="6"/>
    </row>
    <row r="13">
      <c r="A13" s="54" t="s">
        <v>20</v>
      </c>
      <c r="B13" s="2" t="s">
        <v>2180</v>
      </c>
      <c r="C13" s="54" t="s">
        <v>18</v>
      </c>
      <c r="D13" s="2" t="s">
        <v>2181</v>
      </c>
      <c r="E13" s="2"/>
      <c r="F13" s="2" t="s">
        <v>18</v>
      </c>
      <c r="G13" s="50" t="s">
        <v>2182</v>
      </c>
      <c r="H13" s="9">
        <v>2022.0</v>
      </c>
      <c r="I13" s="9" t="s">
        <v>2117</v>
      </c>
      <c r="J13" s="9" t="s">
        <v>2183</v>
      </c>
      <c r="K13" s="10" t="s">
        <v>2184</v>
      </c>
      <c r="L13" s="6"/>
      <c r="M13" s="9" t="str">
        <f t="shared" si="2"/>
        <v>Title: BPM OR CPM？A CASE STUDY OF CROSS-DEPARTMENT COMMUNICATION BUSINESS OPERATION AND HIDDEN COST RELATED TO AMBIDEXTERITY PERFORMANCE</v>
      </c>
      <c r="N13" s="52" t="str">
        <f t="shared" si="3"/>
        <v>Abstract: Business process management (BPM) as a mature business operation management method has been applied by many enterprises. Its main concerns focus on solving the cross departmental communication problems. Cross-department communication is a visible symptom of the growing business problems of companies related to complexity，it is also a problem strongly related to BPM. These barriers will lead to low efficiency and poor-quality work, which is common in most organizations in China. This will bring hidden costs to the organization and even impact long-term performance. In the digital transformation age, organization ambidexterity is more important than ever to obtain short-term and long-term benefits. This case study suggests to combine the ambidextrous and hidden costs theory for outlining a collaborative network communication model (CNCM) and theory relationship model of hidden costs and ambidexterity BPM, in order to investigate the effect between the cross-department communication operation structure and organizational performance. This case study provided data collection by three data sources: 40 interviews of managers and employees, company records，observations over 3 months. The findings of the field study of this case are that cross-department communication operation structure has an effect on organizational performance and digital innovation. It also suggests that CNCM positively influences organizational exploration and exploitation ability. It can also alleviate cross-department communication obstacles, low efficiency, and poor-quality work. © 2022 International Conference on Information Systems, ICIS 2022: "Digitization for the Next Generation". All Rights Reserved.</v>
      </c>
      <c r="O13" s="9" t="s">
        <v>2185</v>
      </c>
      <c r="P13" s="12"/>
      <c r="Q13" s="53"/>
      <c r="R13" s="53"/>
      <c r="S13" s="12"/>
      <c r="T13" s="48"/>
      <c r="U13" s="6"/>
      <c r="V13" s="6"/>
      <c r="W13" s="6"/>
      <c r="X13" s="6"/>
      <c r="Y13" s="9"/>
      <c r="Z13" s="6"/>
      <c r="AA13" s="6"/>
      <c r="AB13" s="6"/>
      <c r="AC13" s="6"/>
      <c r="AD13" s="6"/>
      <c r="AE13" s="6"/>
      <c r="AF13" s="6"/>
      <c r="AG13" s="6"/>
    </row>
    <row r="14">
      <c r="A14" s="54" t="s">
        <v>20</v>
      </c>
      <c r="B14" s="2" t="s">
        <v>2186</v>
      </c>
      <c r="C14" s="54" t="s">
        <v>20</v>
      </c>
      <c r="D14" s="2" t="s">
        <v>2187</v>
      </c>
      <c r="E14" s="2"/>
      <c r="F14" s="2" t="s">
        <v>1357</v>
      </c>
      <c r="G14" s="50" t="s">
        <v>2188</v>
      </c>
      <c r="H14" s="9">
        <v>2024.0</v>
      </c>
      <c r="I14" s="9" t="s">
        <v>2124</v>
      </c>
      <c r="J14" s="9" t="s">
        <v>1481</v>
      </c>
      <c r="K14" s="10" t="s">
        <v>2189</v>
      </c>
      <c r="L14" s="6">
        <f>(Q14-P14)</f>
        <v>43</v>
      </c>
      <c r="M14" s="9" t="str">
        <f t="shared" si="2"/>
        <v>Title: Improving care pathways through BPM and telemedicine: an Italian study</v>
      </c>
      <c r="N14" s="52" t="str">
        <f t="shared" si="3"/>
        <v>Abstract: Purpose: The future increase of chronic diseases in the world requires new challenges in the health domain to improve patients' care from the point of view of the organizational processes, clinical pathways and technological solutions of digital health. For this reason, the present paper aims to focus on the study and application of well-known clinical practices and efficient organizational approaches through an innovative model (TALIsMAn) to support new care process redesign and digitalization for chronic patients. Design/methodology/approach: In addition to specific clinical models employed to manage chronic conditions such as the Population Health Management and Chronic Care Model, we introduce a Business Process Management methodology implementation supported by a set of e-health technologies, in order to manage Care Pathways (CPs) digitalization and procedures improvement. Findings: This study shows that telemedicine services with advanced devices and technologies are not enough to provide significant changes in the healthcare sector if other key aspects such as health processes, organizational systems, interactions between actors and responsibilities are not considered and improved. Therefore, new clinical models and organizational approaches are necessary together with a deep technological change, otherwise, theoretical benefits given by telemedicine services, which often employ advanced Information and Communication Technology (ICT) systems and devices, may not be translated into effective enhancements. They are obtained not only through the implementation of single telemedicine services, but integrating them in a wider digital ecosystem, where clinicians are supported in different clinical steps they have to perform. Originality/value: The present work defines a novel methodological framework based on organizational, clinical and technological innovation, in order to redesign the territorial care for people with chronic diseases. This innovative ecosystem applied in the Italian research project TALIsMAn is based on the concept of a continuum of care and digitalization of CPs supported by Business Process Management System and telemedicine services. The main goal is to organize the different socio-medical activities in a unique and integrated IT system that should be sustainable, scalable and replicable. © 2024, Emerald Publishing Limited.</v>
      </c>
      <c r="O14" s="9" t="s">
        <v>2190</v>
      </c>
      <c r="P14" s="9">
        <v>799.0</v>
      </c>
      <c r="Q14" s="9">
        <v>842.0</v>
      </c>
      <c r="R14" s="9" t="s">
        <v>1485</v>
      </c>
      <c r="S14" s="12"/>
      <c r="T14" s="48"/>
      <c r="U14" s="6"/>
      <c r="V14" s="6"/>
      <c r="W14" s="6"/>
      <c r="X14" s="6"/>
      <c r="Y14" s="9"/>
      <c r="Z14" s="6"/>
      <c r="AA14" s="6"/>
      <c r="AB14" s="6"/>
      <c r="AC14" s="6"/>
      <c r="AD14" s="6"/>
      <c r="AE14" s="6"/>
      <c r="AF14" s="6"/>
      <c r="AG14" s="6"/>
    </row>
    <row r="15">
      <c r="A15" s="54" t="s">
        <v>18</v>
      </c>
      <c r="B15" s="2" t="s">
        <v>2191</v>
      </c>
      <c r="C15" s="54" t="s">
        <v>18</v>
      </c>
      <c r="D15" s="2" t="s">
        <v>2192</v>
      </c>
      <c r="E15" s="2"/>
      <c r="F15" s="2" t="s">
        <v>18</v>
      </c>
      <c r="G15" s="50" t="s">
        <v>2193</v>
      </c>
      <c r="H15" s="9">
        <v>2023.0</v>
      </c>
      <c r="I15" s="9" t="s">
        <v>2124</v>
      </c>
      <c r="J15" s="9" t="s">
        <v>2194</v>
      </c>
      <c r="K15" s="10" t="s">
        <v>2195</v>
      </c>
      <c r="L15" s="6"/>
      <c r="M15" s="9" t="str">
        <f t="shared" si="2"/>
        <v>Title: Review of scientific literature on BPM concept in social sciences</v>
      </c>
      <c r="N15" s="52" t="str">
        <f t="shared" si="3"/>
        <v>Abstract: The business process management (BPM) approach enhances organizational competitiveness and facilitates digital business transformations. Successful implementation of BPM necessitates a comprehensive understanding of its conceptual foundations and developmental trajectory. This study aims to investigate BPM studies in social sciences, unraveling the evolution and main pillars of the BPM concept. The research methodology comprises a bibliometric analysis of 95 articles indexed in the Web of Science Core Collection from 1997 to 2023 using the Biblioshiny App, followed by a narrative literature review of the most highly cited publications. The results unveil a notable shift in BPM research to information technologies, reflecting an interdisciplinary nature of the BPM concept (going beyond management itself). However, the analysis indicates that BPM research in social sciences tends to be specialized and localized, characterized by limited collaboration among scholars, research teams, institutions, and countries. The study identifies a diverse range of relevant research topics encompassing the maturity concept, business process, process orientation, process performance, success factors, and data and knowledge management. Process modeling and improvement emerge as central but underexplored areas, while strategic management, complexity theory, and organizational processes display declining thematic trends. The most frequently cited research papers primarily focus on enriching BPM practices through integrating digital tools and innovations, emphasizing the role of organizational culture in facilitating BPM implementation and investigating the relationship between BPM and supply chain integration and performance. © 2023 LLC CPC Business Perspectives. All rights reserved.</v>
      </c>
      <c r="O15" s="9" t="s">
        <v>2196</v>
      </c>
      <c r="P15" s="9">
        <v>84.0</v>
      </c>
      <c r="Q15" s="9">
        <v>99.0</v>
      </c>
      <c r="R15" s="9" t="s">
        <v>2197</v>
      </c>
      <c r="S15" s="9" t="s">
        <v>2198</v>
      </c>
      <c r="T15" s="48"/>
      <c r="U15" s="6"/>
      <c r="V15" s="6"/>
      <c r="W15" s="6"/>
      <c r="X15" s="6"/>
      <c r="Y15" s="9"/>
      <c r="Z15" s="6"/>
      <c r="AA15" s="6"/>
      <c r="AB15" s="6"/>
      <c r="AC15" s="6"/>
      <c r="AD15" s="6"/>
      <c r="AE15" s="6"/>
      <c r="AF15" s="6"/>
      <c r="AG15" s="6"/>
    </row>
    <row r="16">
      <c r="A16" s="54" t="s">
        <v>18</v>
      </c>
      <c r="B16" s="2" t="s">
        <v>2199</v>
      </c>
      <c r="C16" s="54" t="s">
        <v>18</v>
      </c>
      <c r="D16" s="2" t="s">
        <v>2200</v>
      </c>
      <c r="E16" s="2"/>
      <c r="F16" s="2" t="s">
        <v>18</v>
      </c>
      <c r="G16" s="50" t="s">
        <v>2201</v>
      </c>
      <c r="H16" s="9">
        <v>2025.0</v>
      </c>
      <c r="I16" s="9" t="s">
        <v>2124</v>
      </c>
      <c r="J16" s="9" t="s">
        <v>1790</v>
      </c>
      <c r="K16" s="10" t="s">
        <v>2202</v>
      </c>
      <c r="L16" s="6"/>
      <c r="M16" s="9" t="str">
        <f t="shared" si="2"/>
        <v>Title: Digital technologies and sustainability as evolving business processes – an AI-driven scientific mapping perspective</v>
      </c>
      <c r="N16" s="52" t="str">
        <f t="shared" si="3"/>
        <v>Abstract: Purpose – This study aims to systematize research on how digital technologies support sustainability processes at the national level by applying business process management principles. It provides a structured framework for integrating digital technologies to enhance efficiency and scalability of sustainability initiatives and offers a comprehensive scientific map through a process-oriented, artificial intelligence (AI)-enabled analysis. The study develops a conceptual model that organizes key themes into enablers, transformations and outcomes, linking them to the triple bottom line, socio-technical systems and institutional theory. Design/methodology/approach – Using a dataset of over 8, 000 articles from Scopus, the study combines bibliometric techniques with Latent Dirichlet allocation (LDA) topic modeling to identify and categorize latent themes within digital sustainability research. Findings – The analysis uncovered 129 process-related topics with varying levels of research maturity, impact and geographic relevance. Key findings highlight underexplored areas, dominant trends and thematic imbalances across subject domains and regions. Research limitations/implications – The study is limited to the Scopus database and relies on metadata accuracy. Nonetheless, it offers a replicable AI-based method for mapping complex and dynamic research domains, supporting future theory development. Practical implications – The results offer actionable insights for researchers and practitioners aiming to manage, improve or design sustainability-related digital processes. Identified gaps and high-impact themes can inform policy, education and innovation strategies. Originality/value – This is the first large-scale study to apply topic modeling for mapping the intersection of digitalization and sustainability processes across countries. It advances the BPM literature by revealing new digital process domains relevant to sustainable development. © 2025 Emerald Publishing Limited</v>
      </c>
      <c r="O16" s="9" t="s">
        <v>2203</v>
      </c>
      <c r="P16" s="9">
        <v>1.0</v>
      </c>
      <c r="Q16" s="9">
        <v>30.0</v>
      </c>
      <c r="R16" s="9" t="s">
        <v>1794</v>
      </c>
      <c r="S16" s="12"/>
      <c r="T16" s="6"/>
      <c r="U16" s="6"/>
      <c r="V16" s="6"/>
      <c r="W16" s="6"/>
      <c r="X16" s="6"/>
      <c r="Y16" s="9"/>
      <c r="Z16" s="6"/>
      <c r="AA16" s="6"/>
      <c r="AB16" s="6"/>
      <c r="AC16" s="6"/>
      <c r="AD16" s="6"/>
      <c r="AE16" s="6"/>
      <c r="AF16" s="6"/>
      <c r="AG16" s="6"/>
    </row>
    <row r="17">
      <c r="A17" s="54" t="s">
        <v>18</v>
      </c>
      <c r="B17" s="2" t="s">
        <v>2204</v>
      </c>
      <c r="C17" s="54" t="s">
        <v>18</v>
      </c>
      <c r="D17" s="2" t="s">
        <v>2205</v>
      </c>
      <c r="E17" s="2"/>
      <c r="F17" s="2" t="s">
        <v>18</v>
      </c>
      <c r="G17" s="50" t="s">
        <v>2206</v>
      </c>
      <c r="H17" s="9">
        <v>2023.0</v>
      </c>
      <c r="I17" s="9" t="s">
        <v>2117</v>
      </c>
      <c r="J17" s="9" t="s">
        <v>2207</v>
      </c>
      <c r="K17" s="10" t="s">
        <v>2208</v>
      </c>
      <c r="L17" s="6"/>
      <c r="M17" s="9" t="str">
        <f t="shared" si="2"/>
        <v>Title: Robotic Process Automation: Exploring the Technological and Organizational Dimensions for Successful Implementation in Organizations</v>
      </c>
      <c r="N17" s="52" t="str">
        <f t="shared" si="3"/>
        <v>Abstract: This thesis proposes a case study focusing on Robotic Process Automation (RPA) in the context of digital transformation. The study aims to address RPA from both technological and organizational perspectives. From a technological viewpoint, task selection is a crucial first step in RPA. In that context, process mining (PM) is a key technique for identifying suitable tasks, and this research aims to study how PM can aid in systematically selecting tasks for RPA. From an organizational perspective, RPA projects require organizational support to overcome resistance and achieve employee commitment. However, there is limited literature addressing RPA from a strategic management perspective. This study seeks to explore the barriers and levers organizations encounter during RPA implementation from a strategic management viewpoint, using McKinsey's 7S framework. The research methodology involves a mixed approach. For the technological perspective, a quantitative case study will be conducted to apply PM process discovery techniques. For the organizational perspective, qualitative research with semi-structured interviews based on the 7S framework will be employed. The case study will be carried out in collaboration with a Spanish regional bank experienced in RPA implementation. The proposed solution aims to bridge the gap in RPA literature by addressing the challenges in task selection using PM techniques and exploring RPA deployment from a strategic management perspective. The innovative mixed methodology may open new research directions linking strategic management and RPA deployment. © 2023 Copyright for this paper by its authors. Use permitted under Creative Commons License Attribution 4.0 International (CC BY 4.0). CEUR Workshop Proceedings (CEUR-WS.org)</v>
      </c>
      <c r="O17" s="10" t="s">
        <v>2209</v>
      </c>
      <c r="P17" s="9">
        <v>36.0</v>
      </c>
      <c r="Q17" s="9">
        <v>45.0</v>
      </c>
      <c r="R17" s="53"/>
      <c r="S17" s="12"/>
      <c r="T17" s="6"/>
      <c r="U17" s="6"/>
      <c r="V17" s="6"/>
      <c r="W17" s="6"/>
      <c r="X17" s="6"/>
      <c r="Y17" s="9"/>
      <c r="Z17" s="6"/>
      <c r="AA17" s="6"/>
      <c r="AB17" s="6"/>
      <c r="AC17" s="6"/>
      <c r="AD17" s="6"/>
      <c r="AE17" s="6"/>
      <c r="AF17" s="6"/>
      <c r="AG17" s="6"/>
    </row>
    <row r="18">
      <c r="A18" s="54" t="s">
        <v>20</v>
      </c>
      <c r="B18" s="2" t="s">
        <v>2210</v>
      </c>
      <c r="C18" s="54" t="s">
        <v>20</v>
      </c>
      <c r="D18" s="2" t="s">
        <v>2211</v>
      </c>
      <c r="E18" s="2"/>
      <c r="F18" s="2" t="s">
        <v>20</v>
      </c>
      <c r="G18" s="50" t="s">
        <v>2212</v>
      </c>
      <c r="H18" s="9">
        <v>2022.0</v>
      </c>
      <c r="I18" s="9" t="s">
        <v>2124</v>
      </c>
      <c r="J18" s="9" t="s">
        <v>2213</v>
      </c>
      <c r="K18" s="10" t="s">
        <v>2214</v>
      </c>
      <c r="L18" s="6">
        <f t="shared" ref="L18:L19" si="6">(Q18-P18)</f>
        <v>0</v>
      </c>
      <c r="M18" s="9" t="str">
        <f t="shared" si="2"/>
        <v>Title: BUSINESS PROCESS MATURITY MODEL FOR DIGITAL TRANSFORMATION: AN ACTION DESIGN RESEARCH STUDY ON THE INTEGRATION OF INFORMATION TECHNOLOGY</v>
      </c>
      <c r="N18" s="52" t="str">
        <f t="shared" si="3"/>
        <v>Abstract: Business Process Maturity Models (BPMMs) receive growing attention within digital transformation to evaluate the maturity level of business processes regarding specific capabilities. However, existing models are primarily descriptive, with limited prescriptive features and guidance to improve the current state. Besides, the assessment methods of popular BPMMs do not adequately reflect the indispensable role of information technology (IT), i.e., IT systems and information flow, for business process management (BPM) and process performance. Motivated by a research project with an industry partner, we apply the practice-oriented Action Design Research methodology to introduce our comprehensive and prescriptive “BPMMxIT” maturity model that integrates the IT and BPM perspectives. This study details the development and application procedures and provides generalised design principles to evaluate process performance and capability maturity for digital transformation. Transparency and reproducibility are facilitated by extensive supplementary material. Finally, theoretical implications and pivotal directions for organisational practice and further research are outlined. © World Scientific Publishing Europe Ltd.</v>
      </c>
      <c r="O18" s="9" t="s">
        <v>2215</v>
      </c>
      <c r="P18" s="12"/>
      <c r="Q18" s="53"/>
      <c r="R18" s="9" t="s">
        <v>2216</v>
      </c>
      <c r="S18" s="12"/>
      <c r="T18" s="6"/>
      <c r="U18" s="6"/>
      <c r="V18" s="6"/>
      <c r="W18" s="6"/>
      <c r="X18" s="6"/>
      <c r="Y18" s="9"/>
      <c r="Z18" s="6"/>
      <c r="AA18" s="6"/>
      <c r="AB18" s="6"/>
      <c r="AC18" s="6"/>
      <c r="AD18" s="6"/>
      <c r="AE18" s="6"/>
      <c r="AF18" s="6"/>
      <c r="AG18" s="6"/>
    </row>
    <row r="19">
      <c r="A19" s="54" t="s">
        <v>18</v>
      </c>
      <c r="B19" s="2" t="s">
        <v>2217</v>
      </c>
      <c r="C19" s="54" t="s">
        <v>20</v>
      </c>
      <c r="D19" s="2" t="s">
        <v>2218</v>
      </c>
      <c r="E19" s="2"/>
      <c r="F19" s="2" t="s">
        <v>20</v>
      </c>
      <c r="G19" s="50" t="s">
        <v>2219</v>
      </c>
      <c r="H19" s="9">
        <v>2025.0</v>
      </c>
      <c r="I19" s="9" t="s">
        <v>2124</v>
      </c>
      <c r="J19" s="9" t="s">
        <v>2220</v>
      </c>
      <c r="K19" s="10" t="s">
        <v>2221</v>
      </c>
      <c r="L19" s="6">
        <f t="shared" si="6"/>
        <v>34</v>
      </c>
      <c r="M19" s="9" t="str">
        <f t="shared" si="2"/>
        <v>Title: Analysis and evaluation of business process management tools and techniques in the Industry 4.0</v>
      </c>
      <c r="N19" s="52" t="str">
        <f t="shared" si="3"/>
        <v>Abstract: The purpose of this paper is to analyse and evaluate the different tools and techniques of business process management (BPM) as well as selection and adoption factors for process mining tools in Industry 4.0 for BPM. This paper also discusses that how tools and techniques of process mining can be used to drive the pedals of microeconomics principles. This paper discusses the core concepts of BPM and process mining tool in Industry 4.0 as well as evaluation of different types of models, etc. A tactical roadmap has been provided with a lot of comparative analysis for selecting a process mining tool or software for initiating a business process optimisation or BPR program. This work lies in the fact that how the modern-day digitally enabled organisation, Industry 4.0 to be specific, can actually benefit and re-organise its legacy systems using data-driven business insights, in order to achieve operational excellence. Copyright © 2025 Inderscience Enterprises Ltd.</v>
      </c>
      <c r="O19" s="9" t="s">
        <v>2222</v>
      </c>
      <c r="P19" s="9">
        <v>165.0</v>
      </c>
      <c r="Q19" s="9">
        <v>199.0</v>
      </c>
      <c r="R19" s="9" t="s">
        <v>2223</v>
      </c>
      <c r="S19" s="12"/>
      <c r="T19" s="48"/>
      <c r="U19" s="6"/>
      <c r="V19" s="6"/>
      <c r="W19" s="6"/>
      <c r="X19" s="6"/>
      <c r="Y19" s="9"/>
      <c r="Z19" s="6"/>
      <c r="AA19" s="6"/>
      <c r="AB19" s="6"/>
      <c r="AC19" s="6"/>
      <c r="AD19" s="6"/>
      <c r="AE19" s="6"/>
      <c r="AF19" s="6"/>
      <c r="AG19" s="6"/>
    </row>
    <row r="20">
      <c r="A20" s="54" t="s">
        <v>18</v>
      </c>
      <c r="B20" s="2" t="s">
        <v>2224</v>
      </c>
      <c r="C20" s="54" t="s">
        <v>18</v>
      </c>
      <c r="D20" s="2" t="s">
        <v>2225</v>
      </c>
      <c r="E20" s="2"/>
      <c r="F20" s="2" t="s">
        <v>18</v>
      </c>
      <c r="G20" s="50" t="s">
        <v>2226</v>
      </c>
      <c r="H20" s="9">
        <v>2023.0</v>
      </c>
      <c r="I20" s="9" t="s">
        <v>2117</v>
      </c>
      <c r="J20" s="9" t="s">
        <v>1143</v>
      </c>
      <c r="K20" s="10" t="s">
        <v>2227</v>
      </c>
      <c r="L20" s="6"/>
      <c r="M20" s="9" t="str">
        <f t="shared" si="2"/>
        <v>Title: Digital Twin for Automated Industrial Optimization: Intelligent Machine Selection via Process Modelling</v>
      </c>
      <c r="N20" s="52" t="str">
        <f t="shared" si="3"/>
        <v>Abstract: Digital Twin (DT) is an emerging paradigm that enables a virtual model to effectively represent a physical process. In this paper, we present the adoption of the DT scheme by an offset printing company towards industrial optimization. The considered DT model is a virtual representation that serves as the digital copy of the physical printing process within an industrial unit. A virtual model for selecting the optimal machine line was developed to ensure cost-efficient printing. The machine line selection process was modeled as a decision process and then analyzed through simulations in a safe and cost-efficient digital environment, provided by the DT. Moreover, Machine Learning (ML) models were exploited to extract knowledge for the machine selection task, taking full advantage of the DT experiment. Based on real data and selection policies of a printing enterprise, the results revealed an improvement during the selection process, followed by a 5% cost reduction on the examined dataset. © 2023 IEEE.</v>
      </c>
      <c r="O20" s="9" t="s">
        <v>2228</v>
      </c>
      <c r="P20" s="9">
        <v>84.0</v>
      </c>
      <c r="Q20" s="9">
        <v>90.0</v>
      </c>
      <c r="R20" s="9" t="s">
        <v>1146</v>
      </c>
      <c r="S20" s="12"/>
      <c r="T20" s="48"/>
      <c r="U20" s="6"/>
      <c r="V20" s="6"/>
      <c r="W20" s="6"/>
      <c r="X20" s="6"/>
      <c r="Y20" s="9"/>
      <c r="Z20" s="6"/>
      <c r="AA20" s="6"/>
      <c r="AB20" s="6"/>
      <c r="AC20" s="6"/>
      <c r="AD20" s="6"/>
      <c r="AE20" s="6"/>
      <c r="AF20" s="6"/>
      <c r="AG20" s="6"/>
    </row>
    <row r="21">
      <c r="A21" s="54" t="s">
        <v>18</v>
      </c>
      <c r="B21" s="2" t="s">
        <v>2229</v>
      </c>
      <c r="C21" s="54" t="s">
        <v>18</v>
      </c>
      <c r="D21" s="2" t="s">
        <v>2230</v>
      </c>
      <c r="E21" s="2"/>
      <c r="F21" s="2" t="s">
        <v>18</v>
      </c>
      <c r="G21" s="50" t="s">
        <v>2231</v>
      </c>
      <c r="H21" s="9">
        <v>2022.0</v>
      </c>
      <c r="I21" s="9" t="s">
        <v>2124</v>
      </c>
      <c r="J21" s="9" t="s">
        <v>1607</v>
      </c>
      <c r="K21" s="10" t="s">
        <v>2232</v>
      </c>
      <c r="L21" s="6"/>
      <c r="M21" s="9" t="str">
        <f t="shared" si="2"/>
        <v>Title: Success factors of process digitalization projects – insights from an exploratory study</v>
      </c>
      <c r="N21" s="52" t="str">
        <f t="shared" si="3"/>
        <v>Abstract: Purpose: In an exploratory approach, the authors conducted a structured literature review to extract candidate process digitalization project (PDP) success factors (SFs) from the literature on business process management (BPM), project management (PM) and digitalization. After that, the authors validated, refined and extended these intermediate results through interviews with 21 members of diverse PDP teams. Finally, the authors proposed the PDP success model by linking the candidate SFs with relevant success criteria. Design/methodology/approach: Digitalization substantially impacts organizations, which increasingly use digital technologies (DTs) to improve and innovate their business processes. While there are methods and tools for identifying process digitalization ideas and related projects (PDPs), guidance on the successful implementation of PDPs is missing. Hence, the authors set out to explore PDP SFs. Findings: The PDP success model covers 38 PDP success factor candidates, whereof 28 are already backed by the literature and ten have emerged during the interviews. Furthermore, the SFs are structured according to seven categories from the literature covering a broad range of sociotechnical topics (i.e. strategy, structure, culture, people, process, project and technology) as well as equipped with preliminary success rationales. Originality/value: The work is the first to systematically explore PDP SFs. The PDP success model shows that PDPs require a unique set of SFs, which combine established and hitherto underrepresented knowledge. It extends the knowledge on BPM and serves as foundation for future (confirmatory) research on business process digitalization and the successful implementation of PDPs. © 2022, Emerald Publishing Limited.</v>
      </c>
      <c r="O21" s="9" t="s">
        <v>2233</v>
      </c>
      <c r="P21" s="9">
        <v>325.0</v>
      </c>
      <c r="Q21" s="9">
        <v>347.0</v>
      </c>
      <c r="R21" s="9" t="s">
        <v>1611</v>
      </c>
      <c r="S21" s="12"/>
      <c r="T21" s="48"/>
      <c r="U21" s="6"/>
      <c r="V21" s="6"/>
      <c r="W21" s="6"/>
      <c r="X21" s="6"/>
      <c r="Y21" s="9"/>
      <c r="Z21" s="6"/>
      <c r="AA21" s="6"/>
      <c r="AB21" s="6"/>
      <c r="AC21" s="6"/>
      <c r="AD21" s="6"/>
      <c r="AE21" s="6"/>
      <c r="AF21" s="6"/>
      <c r="AG21" s="6"/>
    </row>
    <row r="22">
      <c r="A22" s="54" t="s">
        <v>18</v>
      </c>
      <c r="B22" s="2" t="s">
        <v>2234</v>
      </c>
      <c r="C22" s="54" t="s">
        <v>18</v>
      </c>
      <c r="D22" s="2" t="s">
        <v>2235</v>
      </c>
      <c r="E22" s="2"/>
      <c r="F22" s="2" t="s">
        <v>18</v>
      </c>
      <c r="G22" s="50" t="s">
        <v>2236</v>
      </c>
      <c r="H22" s="9">
        <v>2023.0</v>
      </c>
      <c r="I22" s="9" t="s">
        <v>2124</v>
      </c>
      <c r="J22" s="9" t="s">
        <v>2237</v>
      </c>
      <c r="K22" s="10" t="s">
        <v>2238</v>
      </c>
      <c r="L22" s="6"/>
      <c r="M22" s="9" t="str">
        <f t="shared" si="2"/>
        <v>Title: THE LINK BETWEEN THE BUSINESS PROCESS MANAGEMENT CAPABILITIES AND THE BENEFITS CREATED BY ROBOTIC PROCESS AUTOMATION IN AN ORGANISATION; [RYŠYS TARP VERSLO PROCESŲ VALDYMO GALIMYBIŲ IR ROBOTIZUOTO PROCESŲ AUTOMATIZAVIMO ORGANIZACIJOJE TEIKIAMOS NAUDOS]</v>
      </c>
      <c r="N22" s="52" t="str">
        <f t="shared" si="3"/>
        <v>Abstract: In the context of the Fourth Industrial Revolution, as organisations are increasingly confronted with unclear and complex business environments, digital technologies are being used to acquire and maintain the dynamism, innovation, responsiveness to changing societal needs, and agility, which are essential in this time of changes. In the current competitive environment, organising the performance of an organisation solely on the basis of functions and assignments is no longer appropriate.There is a growing interest in the concept of the process-oriented organisation (Szelagowski, Berniak-Woźny, 2020) and a growing focus on the digitalisation of operations and business processes (Kirchmer, 2017; Siderska, 2020). This article aims to define the link between the essential aspects of the Business Process Management capabilities and the benefit generated by Robotic Process Automation based on theoretical insights. To sum up, the BPM capabilities impact the benefits generated by Robotic Process Automation in the organisation. © 2023, Vilnius University. All rights reserved.</v>
      </c>
      <c r="O22" s="9" t="s">
        <v>2239</v>
      </c>
      <c r="P22" s="9">
        <v>1060.0</v>
      </c>
      <c r="Q22" s="9">
        <v>1073.0</v>
      </c>
      <c r="R22" s="53"/>
      <c r="S22" s="12"/>
      <c r="T22" s="6"/>
      <c r="U22" s="6"/>
      <c r="V22" s="6"/>
      <c r="W22" s="6"/>
      <c r="X22" s="6"/>
      <c r="Y22" s="9"/>
      <c r="Z22" s="6"/>
      <c r="AA22" s="6"/>
      <c r="AB22" s="6"/>
      <c r="AC22" s="6"/>
      <c r="AD22" s="6"/>
      <c r="AE22" s="6"/>
      <c r="AF22" s="6"/>
      <c r="AG22" s="6"/>
    </row>
    <row r="23">
      <c r="A23" s="54" t="s">
        <v>18</v>
      </c>
      <c r="B23" s="2" t="s">
        <v>2240</v>
      </c>
      <c r="C23" s="54" t="s">
        <v>18</v>
      </c>
      <c r="D23" s="2" t="s">
        <v>2241</v>
      </c>
      <c r="E23" s="2"/>
      <c r="F23" s="2" t="s">
        <v>18</v>
      </c>
      <c r="G23" s="50" t="s">
        <v>2242</v>
      </c>
      <c r="H23" s="9">
        <v>2025.0</v>
      </c>
      <c r="I23" s="9" t="s">
        <v>2124</v>
      </c>
      <c r="J23" s="9" t="s">
        <v>1667</v>
      </c>
      <c r="K23" s="10" t="s">
        <v>2243</v>
      </c>
      <c r="L23" s="6"/>
      <c r="M23" s="9" t="str">
        <f t="shared" si="2"/>
        <v>Title: Unlocking the potential of digital innovations on BPM: a bibliometric and systematic literature review</v>
      </c>
      <c r="N23" s="52" t="str">
        <f t="shared" si="3"/>
        <v>Abstract: Purpose: This study aims to perform a bibliometric and systematic literature review (SLR) to elucidate the current landscape and to propose a framework that defines and explores research strands to guide the formulation of business process management (BPM) strategies anchored in digital innovations. Design/methodology/approach: A bibliometric analysis of 238 papers from the last 10 years (2014–2023) that were correlated to BPM strategies and digital innovations was conducted. Additionally, a SLR was performed on 15 selected papers, making it possible to propose a framework that explored research strands through the content analysis. Findings: A framework comprising eight research strands (value creation; ambidexterity; governance; agility in processes; strategic process management; external context and culture and integrated systems) was developed. It proposes a research agenda and provides valuable insights as a reference for formulating BPM organizational strategies anchored in digital innovations. Research limitations/implications: This study acknowledges the limitation of utilizing a single software for bibliometric analysis. The framework developed in this study has not yet been validated. Practical implications: This paper provides insights to assist managers in comprehending BPM strategies anchored in digital innovations and calls for organizations to prepare for future digital needs. Social implications: This paper contributes to advancing our understanding of BPM aligned with the demands of a digital age society. Originality/value: The developed framework sheds light on the current landscape and research strands that explore the association between digital innovations and BPM strategies. This provides a valuable opportunity for future qualitative and quantitative studies to explore the eight research strands presented in the framework. © 2024, Emerald Publishing Limited.</v>
      </c>
      <c r="O23" s="9" t="s">
        <v>2244</v>
      </c>
      <c r="P23" s="9">
        <v>1246.0</v>
      </c>
      <c r="Q23" s="9">
        <v>1273.0</v>
      </c>
      <c r="R23" s="9" t="s">
        <v>1671</v>
      </c>
      <c r="S23" s="12"/>
      <c r="T23" s="6"/>
      <c r="U23" s="6"/>
      <c r="V23" s="6"/>
      <c r="W23" s="6"/>
      <c r="X23" s="6"/>
      <c r="Y23" s="9"/>
      <c r="Z23" s="6"/>
      <c r="AA23" s="6"/>
      <c r="AB23" s="6"/>
      <c r="AC23" s="6"/>
      <c r="AD23" s="6"/>
      <c r="AE23" s="6"/>
      <c r="AF23" s="6"/>
      <c r="AG23" s="6"/>
    </row>
    <row r="24">
      <c r="A24" s="54" t="s">
        <v>18</v>
      </c>
      <c r="B24" s="2" t="s">
        <v>2245</v>
      </c>
      <c r="C24" s="2" t="s">
        <v>18</v>
      </c>
      <c r="D24" s="2" t="s">
        <v>2246</v>
      </c>
      <c r="E24" s="2"/>
      <c r="F24" s="2" t="s">
        <v>18</v>
      </c>
      <c r="G24" s="50" t="s">
        <v>2247</v>
      </c>
      <c r="H24" s="9">
        <v>2025.0</v>
      </c>
      <c r="I24" s="9" t="s">
        <v>2124</v>
      </c>
      <c r="J24" s="9" t="s">
        <v>1675</v>
      </c>
      <c r="K24" s="10" t="s">
        <v>2248</v>
      </c>
      <c r="L24" s="6"/>
      <c r="M24" s="9" t="str">
        <f t="shared" si="2"/>
        <v>Title: Unlocking the promise of process mining: shaping perceptions and impact in the public sector</v>
      </c>
      <c r="N24" s="52" t="str">
        <f t="shared" si="3"/>
        <v>Abstract: [No abstract available]</v>
      </c>
      <c r="O24" s="9" t="s">
        <v>2249</v>
      </c>
      <c r="P24" s="9">
        <v>3165.0</v>
      </c>
      <c r="Q24" s="9">
        <v>3191.0</v>
      </c>
      <c r="R24" s="9" t="s">
        <v>1679</v>
      </c>
      <c r="S24" s="12"/>
      <c r="T24" s="48"/>
      <c r="U24" s="6"/>
      <c r="V24" s="6"/>
      <c r="W24" s="6"/>
      <c r="X24" s="6"/>
      <c r="Y24" s="9"/>
      <c r="Z24" s="6"/>
      <c r="AA24" s="6"/>
      <c r="AB24" s="6"/>
      <c r="AC24" s="6"/>
      <c r="AD24" s="6"/>
      <c r="AE24" s="6"/>
      <c r="AF24" s="6"/>
      <c r="AG24" s="6"/>
    </row>
    <row r="25">
      <c r="A25" s="2" t="s">
        <v>20</v>
      </c>
      <c r="B25" s="2" t="s">
        <v>2250</v>
      </c>
      <c r="C25" s="2" t="s">
        <v>20</v>
      </c>
      <c r="D25" s="2" t="s">
        <v>2251</v>
      </c>
      <c r="E25" s="2"/>
      <c r="F25" s="2" t="s">
        <v>1357</v>
      </c>
      <c r="G25" s="50" t="s">
        <v>2252</v>
      </c>
      <c r="H25" s="9">
        <v>2025.0</v>
      </c>
      <c r="I25" s="9" t="s">
        <v>2124</v>
      </c>
      <c r="J25" s="9" t="s">
        <v>1359</v>
      </c>
      <c r="K25" s="10" t="s">
        <v>2253</v>
      </c>
      <c r="L25" s="6">
        <f t="shared" ref="L25:L26" si="7">(Q25-P25)</f>
        <v>22</v>
      </c>
      <c r="M25" s="9" t="str">
        <f t="shared" si="2"/>
        <v>Title: Business process management as a continuous enabler for digital innovation – insights from top executives</v>
      </c>
      <c r="N25" s="52" t="str">
        <f t="shared" si="3"/>
        <v>Abstract: Purpose – In light of the ever-increasing opportunities associated with new digital technologies, an emerging body of knowledge examines how and under what circumstances organizations leveraging business process management (BPM) can be receptive to and supportive of digital innovation-related opportunities. In this study, we ask: How can BPM be set up to enable digital innovation on a continuous basis? Design/methodology/approach – We conduct an inductive study with top executives in Central Europe. Our multi-method research consists of a Delphi study and two rounds of follow-up interviews. Findings – We theorize that BPM can enable digital innovation along four dimensions: organizational IT application portfolio, organizational structure, organizational culture and organizational capabilities. Based on this, we provide four conjectures on how BPM can enable digital innovation. Originality/value – Our study adds to the emerging debate around the connection between BPM and digital innovation by specifying how organizations can implement digital innovation initiatives while maintaining efficient and effective workflows. © 2025 Ralf Plattfaut and Thomas Grisold</v>
      </c>
      <c r="O25" s="9" t="s">
        <v>2254</v>
      </c>
      <c r="P25" s="9">
        <v>244.0</v>
      </c>
      <c r="Q25" s="9">
        <v>266.0</v>
      </c>
      <c r="R25" s="9" t="s">
        <v>1363</v>
      </c>
      <c r="S25" s="12"/>
      <c r="T25" s="48"/>
      <c r="U25" s="6"/>
      <c r="V25" s="6"/>
      <c r="W25" s="6"/>
      <c r="X25" s="6"/>
      <c r="Y25" s="9"/>
      <c r="Z25" s="6"/>
      <c r="AA25" s="6"/>
      <c r="AB25" s="6"/>
      <c r="AC25" s="6"/>
      <c r="AD25" s="6"/>
      <c r="AE25" s="6"/>
      <c r="AF25" s="6"/>
      <c r="AG25" s="6"/>
    </row>
    <row r="26">
      <c r="A26" s="2" t="s">
        <v>20</v>
      </c>
      <c r="B26" s="2" t="s">
        <v>2255</v>
      </c>
      <c r="C26" s="2" t="s">
        <v>20</v>
      </c>
      <c r="D26" s="2" t="s">
        <v>2256</v>
      </c>
      <c r="E26" s="2"/>
      <c r="F26" s="2" t="s">
        <v>18</v>
      </c>
      <c r="G26" s="50" t="s">
        <v>2257</v>
      </c>
      <c r="H26" s="9">
        <v>2021.0</v>
      </c>
      <c r="I26" s="9" t="s">
        <v>2117</v>
      </c>
      <c r="J26" s="9" t="s">
        <v>875</v>
      </c>
      <c r="K26" s="10" t="s">
        <v>2258</v>
      </c>
      <c r="L26" s="6">
        <f t="shared" si="7"/>
        <v>3</v>
      </c>
      <c r="M26" s="9" t="str">
        <f t="shared" si="2"/>
        <v>Title: Methods of Digital Transformation of Management Systems</v>
      </c>
      <c r="N26" s="52" t="str">
        <f t="shared" si="3"/>
        <v>Abstract: Introduction of digital technologies in the business models of companies is a trend of the current decade, every day the demand for digital technologies for business in the market is growing. A deep reorganization of business processes with the widespread use of digital tools for their execution, which leads to a significant increase in the effectiveness of the organization's process model for the entire product/service life cycle - is a necessary condition for ensuring competitiveness in the global market. Implementation of a management system based on well-known tools such as ERP, CRM, BPM, EDM etc. they do not fully allow you to build a proactive vertical management of the enterprise. The article considers both individual approaches and methods of digital transformation of the organization's management tools, and the general methodology for building a comprehensive digital management system that meets the requirements of international standards in the field of management systems. © 2021 IEEE.</v>
      </c>
      <c r="O26" s="9" t="s">
        <v>2259</v>
      </c>
      <c r="P26" s="9">
        <v>7.0</v>
      </c>
      <c r="Q26" s="9">
        <v>10.0</v>
      </c>
      <c r="R26" s="9" t="s">
        <v>877</v>
      </c>
      <c r="S26" s="12"/>
      <c r="T26" s="6"/>
      <c r="U26" s="6"/>
      <c r="V26" s="6"/>
      <c r="W26" s="6"/>
      <c r="X26" s="6"/>
      <c r="Y26" s="9"/>
      <c r="Z26" s="6"/>
      <c r="AA26" s="6"/>
      <c r="AB26" s="6"/>
      <c r="AC26" s="6"/>
      <c r="AD26" s="6"/>
      <c r="AE26" s="6"/>
      <c r="AF26" s="6"/>
      <c r="AG26" s="6"/>
    </row>
    <row r="27">
      <c r="A27" s="2" t="s">
        <v>18</v>
      </c>
      <c r="B27" s="2" t="s">
        <v>2260</v>
      </c>
      <c r="C27" s="2" t="s">
        <v>18</v>
      </c>
      <c r="D27" s="2" t="s">
        <v>2261</v>
      </c>
      <c r="E27" s="2"/>
      <c r="F27" s="2" t="s">
        <v>18</v>
      </c>
      <c r="G27" s="50" t="s">
        <v>2262</v>
      </c>
      <c r="H27" s="9">
        <v>2021.0</v>
      </c>
      <c r="I27" s="9" t="s">
        <v>2117</v>
      </c>
      <c r="J27" s="9" t="s">
        <v>2263</v>
      </c>
      <c r="K27" s="10" t="s">
        <v>2264</v>
      </c>
      <c r="L27" s="6"/>
      <c r="M27" s="9" t="str">
        <f t="shared" si="2"/>
        <v>Title: Digitalization of administrative process in the german healthcare system with the focus on dental practices</v>
      </c>
      <c r="N27" s="52" t="str">
        <f t="shared" si="3"/>
        <v>Abstract: The digitization of processes in healthcare offers the opportunity to reduce costs and at the same time increase the quality of treatment. A large number of studies show how digitization can optimize and automate processes in healthcare. However, no study has yet addressed the specific requirements of processes digitalization in dental practices. This paper examines the status quo and opportunities of process digitization for dental practices in the German healthcare system. A structured literature review was used to identify 25 previous relevant papers. Their categorization and analysis revealed existing research gaps, which were explored in detail based on semi-structured in-depth interviews with four dentists. The analysis shows that most organizations are at an early stage of digital transformation, but are actively working to improve the digitization of their processes. Our findings provide a detailed description of the current challenges and starting points for process digitization and optimization in dentistry. They serve as a basis for further development and help to improve the quality and efficiency of processes in healthcare. © 14th IADIS International Conf. Infor. Sys. 2021. All rights reserved.</v>
      </c>
      <c r="O27" s="9" t="s">
        <v>2265</v>
      </c>
      <c r="P27" s="9">
        <v>235.0</v>
      </c>
      <c r="Q27" s="9">
        <v>242.0</v>
      </c>
      <c r="R27" s="53"/>
      <c r="S27" s="12"/>
      <c r="T27" s="6"/>
      <c r="U27" s="6"/>
      <c r="V27" s="6"/>
      <c r="W27" s="6"/>
      <c r="X27" s="6"/>
      <c r="Y27" s="9"/>
      <c r="Z27" s="6"/>
      <c r="AA27" s="6"/>
      <c r="AB27" s="6"/>
      <c r="AC27" s="6"/>
      <c r="AD27" s="6"/>
      <c r="AE27" s="6"/>
      <c r="AF27" s="6"/>
      <c r="AG27" s="6"/>
    </row>
    <row r="28">
      <c r="A28" s="2" t="s">
        <v>20</v>
      </c>
      <c r="B28" s="2" t="s">
        <v>2266</v>
      </c>
      <c r="C28" s="2" t="s">
        <v>20</v>
      </c>
      <c r="D28" s="2" t="s">
        <v>2267</v>
      </c>
      <c r="E28" s="2"/>
      <c r="F28" s="2" t="s">
        <v>20</v>
      </c>
      <c r="G28" s="50" t="s">
        <v>2268</v>
      </c>
      <c r="H28" s="9">
        <v>2026.0</v>
      </c>
      <c r="I28" s="9" t="s">
        <v>2124</v>
      </c>
      <c r="J28" s="9" t="s">
        <v>2269</v>
      </c>
      <c r="K28" s="10" t="s">
        <v>2270</v>
      </c>
      <c r="L28" s="6">
        <f>(Q28-P28)</f>
        <v>0</v>
      </c>
      <c r="M28" s="9" t="str">
        <f t="shared" si="2"/>
        <v>Title: BPMN Assistant: An LLM-Based Approach to Business Process Modeling</v>
      </c>
      <c r="N28" s="52" t="str">
        <f t="shared" si="3"/>
        <v>Abstract: Featured Application: The proposed system is designed for integration into enterprise Business Process Management (BPM) platforms, with the aim of assisting non-technical business analysts in drafting and modifying executable BPMN models using natural language. This potential to reduce the dependency on technical modeling experts could accelerate the digital transformation workflow. This paper presents BPMN Assistant, a tool that leverages Large Language Models for natural language-based creation and editing of BPMN diagrams. While direct XML generation is common, it is verbose, slow, and prone to syntax errors during complex modifications. We introduce a specialized JSON-based intermediate representation designed to facilitate atomic editing operations through function calling. We evaluate our approach against direct XML manipulation using a suite of state-of-the-art models, including GPT-5.1, Claude 4.5 Sonnet, and DeepSeek V3. Results demonstrate that the JSON-based approach significantly outperforms direct XML in editing tasks, achieving higher or equivalent success rates across all evaluated models. Conformance checking evaluation confirms that generated models preserve executable semantics, with JSON achieving an average F1 score of 0.72 compared to 0.69 for XML, though frontier models like GPT-5.1 and Claude 4.5 Sonnet demonstrated superior precision with direct XML generation. Furthermore, despite requiring more input context, our approach reduces generation latency by approximately 43% and output token count by over 75%, offering a more reliable and responsive solution for interactive process modeling. © 2026 by the authors.</v>
      </c>
      <c r="O28" s="9" t="s">
        <v>2271</v>
      </c>
      <c r="P28" s="12"/>
      <c r="Q28" s="53"/>
      <c r="R28" s="9" t="s">
        <v>2272</v>
      </c>
      <c r="S28" s="9" t="s">
        <v>2198</v>
      </c>
      <c r="T28" s="6"/>
      <c r="U28" s="6"/>
      <c r="V28" s="6"/>
      <c r="W28" s="6"/>
      <c r="X28" s="6"/>
      <c r="Y28" s="9"/>
      <c r="Z28" s="6"/>
      <c r="AA28" s="6"/>
      <c r="AB28" s="6"/>
      <c r="AC28" s="6"/>
      <c r="AD28" s="6"/>
      <c r="AE28" s="6"/>
      <c r="AF28" s="6"/>
      <c r="AG28" s="6"/>
    </row>
    <row r="29">
      <c r="A29" s="2" t="s">
        <v>18</v>
      </c>
      <c r="B29" s="2" t="s">
        <v>2273</v>
      </c>
      <c r="C29" s="2" t="s">
        <v>18</v>
      </c>
      <c r="D29" s="2" t="s">
        <v>2274</v>
      </c>
      <c r="E29" s="2"/>
      <c r="F29" s="2" t="s">
        <v>18</v>
      </c>
      <c r="G29" s="50" t="s">
        <v>2275</v>
      </c>
      <c r="H29" s="9">
        <v>2026.0</v>
      </c>
      <c r="I29" s="9" t="s">
        <v>2124</v>
      </c>
      <c r="J29" s="9" t="s">
        <v>2276</v>
      </c>
      <c r="K29" s="10" t="s">
        <v>2277</v>
      </c>
      <c r="L29" s="6"/>
      <c r="M29" s="9" t="str">
        <f t="shared" si="2"/>
        <v>Title: Environmental Management Accounting—Determinants, Factors, and Relationship with Business Process Management</v>
      </c>
      <c r="N29" s="52" t="str">
        <f t="shared" si="3"/>
        <v>Abstract: Driven by the increasing importance of sustainable development, Environmental Management Accounting (EMA) has become a key focus in modern accounting. However, the factors influencing EMA use and its relationship with Business Process Management (BPM) remain underexplored. This study aims to identify the organizational factors that determine EMA intensity and to empirically examine its correlation with BPM—a relationship that has been theorized but not yet empirically verified. The research is based on a survey of 746 practitioners across 26 countries, conducted in December 2024. Data analysis involved k-means clustering validated by one-way ANOVA with Tukey’s HSD post hoc tests and Spearman’s coefficients. The results show that EMA intensity is highly dependent on organizational context. Four distinct profiles were identified: “Market Leaders,” “Laggards,” “Micros,” and “Average.” Additionally, high EMA intensity (mean = 3.25) strictly correlates with larger company size, greater technological sophistication, and decentralized decision-making, as seen in the “Market Leaders” group. Conversely, “Micros” and “Laggards” demonstrated significantly lower adoption levels (means of 2.15 and 1.37, respectively), suggesting that resource availability and technology are prerequisites for advanced EMA. Notably, no link was found between EMA intensity and environmental uncertainty. Importantly, the study provides new empirical evidence of a significant positive relationship between EMA and BPM intensities. These findings indicate that standardized reporting regulations (e.g., EU CSRD) may disproportionately burden smaller, less technologically advanced organizations. Therefore, policymakers should combine environmental mandates with support for digitalization, especially in developing economies where organizational maturity often necessitates capacity-building initiatives. © 2025 by the authors.</v>
      </c>
      <c r="O29" s="9" t="s">
        <v>2278</v>
      </c>
      <c r="P29" s="12"/>
      <c r="Q29" s="53"/>
      <c r="R29" s="9" t="s">
        <v>2279</v>
      </c>
      <c r="S29" s="9" t="s">
        <v>2120</v>
      </c>
      <c r="T29" s="6"/>
      <c r="U29" s="6"/>
      <c r="V29" s="6"/>
      <c r="W29" s="6"/>
      <c r="X29" s="6"/>
      <c r="Y29" s="9"/>
      <c r="Z29" s="6"/>
      <c r="AA29" s="6"/>
      <c r="AB29" s="6"/>
      <c r="AC29" s="6"/>
      <c r="AD29" s="6"/>
      <c r="AE29" s="6"/>
      <c r="AF29" s="6"/>
      <c r="AG29" s="6"/>
    </row>
    <row r="30">
      <c r="A30" s="2" t="s">
        <v>20</v>
      </c>
      <c r="B30" s="2" t="s">
        <v>2280</v>
      </c>
      <c r="C30" s="2" t="s">
        <v>20</v>
      </c>
      <c r="D30" s="2" t="s">
        <v>2281</v>
      </c>
      <c r="E30" s="2"/>
      <c r="F30" s="2" t="s">
        <v>1357</v>
      </c>
      <c r="G30" s="50" t="s">
        <v>2282</v>
      </c>
      <c r="H30" s="9">
        <v>2025.0</v>
      </c>
      <c r="I30" s="9" t="s">
        <v>2124</v>
      </c>
      <c r="J30" s="9" t="s">
        <v>691</v>
      </c>
      <c r="K30" s="10" t="s">
        <v>2283</v>
      </c>
      <c r="L30" s="6">
        <f>(Q30-P30)</f>
        <v>16</v>
      </c>
      <c r="M30" s="9" t="str">
        <f t="shared" si="2"/>
        <v>Title: The iBPM Lifecycle: Integrating Low-Code and Hyperautomation Into Business Process Management</v>
      </c>
      <c r="N30" s="52" t="str">
        <f t="shared" si="3"/>
        <v>Abstract: Low-code (LC) technology and hyperautomation (HA) are reshaping Business Process Management (BPM) practice by enabling faster, more agile, and more accessible process design and automation. This technological convergence challenges the relevance of the traditional BPM lifecycle, which is increasingly misaligned with the proactive, user-centric capabilities now available in LC-BPM environments augmented with HA capabilities. This study introduces the intelligent BPM (iBPM) lifecycle – an empirically grounded model that redefines the traditional BPM approach in light of new technological advances. The iBPM lifecycle model reflects HA capabilities and LC democratization, integrating them into BPM practices to proactively enhance user experience and efficiency in BPM projects. The model was developed using a modified Delphi method with ten experts from leading LC-BPM vendors and validated through formative evaluation workshops in manufacturing, financial services, and IT consulting organizations. Findings show that the iBPM lifecycle unifies process design, application design, and process observability within an integrated, augmented environment, reducing reliance on professional developers and accelerating process transformation. By explicitly incorporating LC and HA capabilities, the iBPM lifecycle provides both a theoretical revision of the traditional BPM lifecycle and a practical roadmap for intelligent process management and automation, strengthening BPM’s strategic role in organizational and digital transformation initiatives. © 2013 IEEE.</v>
      </c>
      <c r="O30" s="9" t="s">
        <v>2284</v>
      </c>
      <c r="P30" s="9">
        <v>175410.0</v>
      </c>
      <c r="Q30" s="9">
        <v>175426.0</v>
      </c>
      <c r="R30" s="9" t="s">
        <v>694</v>
      </c>
      <c r="S30" s="9" t="s">
        <v>2198</v>
      </c>
      <c r="T30" s="6"/>
      <c r="U30" s="6"/>
      <c r="V30" s="6"/>
      <c r="W30" s="6"/>
      <c r="X30" s="6"/>
      <c r="Y30" s="9"/>
      <c r="Z30" s="6"/>
      <c r="AA30" s="6"/>
      <c r="AB30" s="6"/>
      <c r="AC30" s="6"/>
      <c r="AD30" s="6"/>
      <c r="AE30" s="6"/>
      <c r="AF30" s="6"/>
      <c r="AG30" s="6"/>
    </row>
    <row r="31">
      <c r="A31" s="2" t="s">
        <v>18</v>
      </c>
      <c r="B31" s="2" t="s">
        <v>2285</v>
      </c>
      <c r="C31" s="2" t="s">
        <v>18</v>
      </c>
      <c r="D31" s="2" t="s">
        <v>2286</v>
      </c>
      <c r="E31" s="2"/>
      <c r="F31" s="2" t="s">
        <v>18</v>
      </c>
      <c r="G31" s="50" t="s">
        <v>2287</v>
      </c>
      <c r="H31" s="9">
        <v>2024.0</v>
      </c>
      <c r="I31" s="9" t="s">
        <v>2117</v>
      </c>
      <c r="J31" s="9" t="s">
        <v>831</v>
      </c>
      <c r="K31" s="10" t="s">
        <v>2288</v>
      </c>
      <c r="L31" s="6"/>
      <c r="M31" s="9" t="str">
        <f t="shared" si="2"/>
        <v>Title: Digitalization and Business Automation for an Effective Supply Chain Integration: A literature review</v>
      </c>
      <c r="N31" s="52" t="str">
        <f t="shared" si="3"/>
        <v>Abstract: Since the onset of the Covid19 pandemic crisis, supply chain integration and digitalization have emerged as essential strategies for all firms due to flow disruption and considerable market uncertainty. Firms' managers recognize the imperative need to cultivate a new business model to enhance connectivity with both upstream and downstream chain links. The intended outcomes encompass effective collaborative planning, information sharing, and the establishment of relationships with targeted customers through tailored and innovative offers designed to meet their specific requirements. To achieve this, a suitable level of supply chain integration and effective use of digital technologies such as internet of things, artificial intelligence, and cloud computing are essential. Supply chain integration and digitalization lead to business process synchronizing, automation, flexibility, and the efficient analysis and management of data, thereby, enhancing firms' profitability and competitiveness. This paper seeks to cultivate a fundamental understanding of the digital supply chain integration by analyzing it main aspects. Additionally, it illuminates the significance of leveraging specific digital technologies to ensure effective supply chain management and optimization. © 2024 IEEE.</v>
      </c>
      <c r="O31" s="9" t="s">
        <v>2289</v>
      </c>
      <c r="P31" s="12"/>
      <c r="Q31" s="53"/>
      <c r="R31" s="9" t="s">
        <v>833</v>
      </c>
      <c r="S31" s="12"/>
      <c r="T31" s="6"/>
      <c r="U31" s="6"/>
      <c r="V31" s="6"/>
      <c r="W31" s="6"/>
      <c r="X31" s="6"/>
      <c r="Y31" s="9"/>
      <c r="Z31" s="6"/>
      <c r="AA31" s="6"/>
      <c r="AB31" s="6"/>
      <c r="AC31" s="6"/>
      <c r="AD31" s="6"/>
      <c r="AE31" s="6"/>
      <c r="AF31" s="6"/>
      <c r="AG31" s="6"/>
    </row>
    <row r="32">
      <c r="A32" s="2" t="s">
        <v>18</v>
      </c>
      <c r="B32" s="2" t="s">
        <v>2290</v>
      </c>
      <c r="C32" s="2" t="s">
        <v>18</v>
      </c>
      <c r="D32" s="2" t="s">
        <v>2291</v>
      </c>
      <c r="E32" s="2"/>
      <c r="F32" s="2" t="s">
        <v>18</v>
      </c>
      <c r="G32" s="50" t="s">
        <v>2292</v>
      </c>
      <c r="H32" s="9">
        <v>2022.0</v>
      </c>
      <c r="I32" s="9" t="s">
        <v>2117</v>
      </c>
      <c r="J32" s="9" t="s">
        <v>2293</v>
      </c>
      <c r="K32" s="10" t="s">
        <v>2294</v>
      </c>
      <c r="L32" s="6"/>
      <c r="M32" s="9" t="str">
        <f t="shared" si="2"/>
        <v>Title: Digital twincity: A holistic approach towards comparative analysis of business processes</v>
      </c>
      <c r="N32" s="52" t="str">
        <f t="shared" si="3"/>
        <v>Abstract: As a company digitizes processes in its digital transformation (DX) journey, it is important to understand changes before and after processes for assessing the success of the journey. This paper proposes a new holistic approach, Digital TwinCity. By combining software visualization and process mining, the approach enables you to have an understanding of the relationship between all of the parts of the twin processes (e.g, before and after processes). After describing a tool implementing the proposed approach, we introduce its first application in a company. © 2022 ACM.</v>
      </c>
      <c r="O32" s="9" t="s">
        <v>2295</v>
      </c>
      <c r="P32" s="9">
        <v>17.0</v>
      </c>
      <c r="Q32" s="9">
        <v>21.0</v>
      </c>
      <c r="R32" s="9" t="s">
        <v>2296</v>
      </c>
      <c r="S32" s="12"/>
      <c r="T32" s="6"/>
      <c r="U32" s="6"/>
      <c r="V32" s="6"/>
      <c r="W32" s="6"/>
      <c r="X32" s="6"/>
      <c r="Y32" s="9"/>
      <c r="Z32" s="6"/>
      <c r="AA32" s="6"/>
      <c r="AB32" s="6"/>
      <c r="AC32" s="6"/>
      <c r="AD32" s="6"/>
      <c r="AE32" s="6"/>
      <c r="AF32" s="6"/>
      <c r="AG32" s="6"/>
    </row>
    <row r="33">
      <c r="A33" s="2" t="s">
        <v>20</v>
      </c>
      <c r="B33" s="2" t="s">
        <v>2297</v>
      </c>
      <c r="C33" s="2" t="s">
        <v>20</v>
      </c>
      <c r="D33" s="2" t="s">
        <v>2298</v>
      </c>
      <c r="E33" s="2"/>
      <c r="F33" s="2" t="s">
        <v>1357</v>
      </c>
      <c r="G33" s="50" t="s">
        <v>2299</v>
      </c>
      <c r="H33" s="9">
        <v>2021.0</v>
      </c>
      <c r="I33" s="9" t="s">
        <v>2124</v>
      </c>
      <c r="J33" s="9" t="s">
        <v>1278</v>
      </c>
      <c r="K33" s="10" t="s">
        <v>2300</v>
      </c>
      <c r="L33" s="6">
        <f>(Q33-P33)</f>
        <v>0</v>
      </c>
      <c r="M33" s="9" t="str">
        <f t="shared" si="2"/>
        <v>Title: A knowledge-intensive adaptive business process management framework</v>
      </c>
      <c r="N33" s="52" t="str">
        <f t="shared" si="3"/>
        <v>Abstract: Business process management has been the driving force of optimization and operational efficiency for companies until now, but the digitalization era we have been experiencing requires businesses to be agile and responsive as well. In order to be a part of this digital transformation, delivering new levels of automation-fueled agility through digitalization of BPM itself is required. However, the automation of BPM cannot be achieved by solely focusing on process space and classical planning techniques. It requires a holistic approach that also captures the social aspects of the business environment, such as corporate strategies, organization policies, negotiations, and cooperation. For this purpose, we combine BPM, knowledge-intensive systems and intelligent agent technologies, and yield one consolidated intelligent business process management framework, namely agileBPM, that governs the entire BPM life-cycle. Accordingly, agileBPM proposes a modeling methodology to semantically capture the business interests, enterprise environment and process space in accordance with the agent-oriented software engineering paradigm. The proposed agent-based process execution environment provides cognitive capabilities (such as goal-driven planning, norm compliance, knowledge-driven actions, and dynamic cooperation) on top of the developed business models to support knowledge workers’ multi-criteria decision making tasks. The context awareness and exception handling capabilities of the proposed approach have been presented with experimental studies. Through comparative evaluations, it is shown that agileBPM is the most comprehensive knowledge-intensive process management solution. © 2020</v>
      </c>
      <c r="O33" s="9" t="s">
        <v>2301</v>
      </c>
      <c r="P33" s="12"/>
      <c r="Q33" s="53"/>
      <c r="R33" s="10" t="s">
        <v>2302</v>
      </c>
      <c r="S33" s="12"/>
      <c r="T33" s="6"/>
      <c r="U33" s="6"/>
      <c r="V33" s="6"/>
      <c r="W33" s="6"/>
      <c r="X33" s="6"/>
      <c r="Y33" s="9"/>
      <c r="Z33" s="6"/>
      <c r="AA33" s="6"/>
      <c r="AB33" s="6"/>
      <c r="AC33" s="6"/>
      <c r="AD33" s="6"/>
      <c r="AE33" s="6"/>
      <c r="AF33" s="6"/>
      <c r="AG33" s="6"/>
    </row>
    <row r="34">
      <c r="A34" s="2" t="s">
        <v>18</v>
      </c>
      <c r="B34" s="2" t="s">
        <v>2303</v>
      </c>
      <c r="C34" s="2" t="s">
        <v>18</v>
      </c>
      <c r="D34" s="2" t="s">
        <v>2304</v>
      </c>
      <c r="E34" s="2"/>
      <c r="F34" s="2" t="s">
        <v>18</v>
      </c>
      <c r="G34" s="50" t="s">
        <v>2305</v>
      </c>
      <c r="H34" s="9">
        <v>2025.0</v>
      </c>
      <c r="I34" s="9" t="s">
        <v>2124</v>
      </c>
      <c r="J34" s="9" t="s">
        <v>92</v>
      </c>
      <c r="K34" s="10" t="s">
        <v>2306</v>
      </c>
      <c r="L34" s="6"/>
      <c r="M34" s="9" t="str">
        <f t="shared" si="2"/>
        <v>Title: Workplace performance measurement: digitalization of work observation and analysis</v>
      </c>
      <c r="N34" s="52" t="str">
        <f t="shared" si="3"/>
        <v>Abstract: Process improvement initiatives require access to frequently updated and good quality data. This is an extremely difficult task in the area of production processes, where the lack of a process digital footprint is a very big challenge. To solve this problem, the authors of this article designed, implemented, and verified the results of a new work measurement method. The Workplace Performance Measurement (WPM) method is focused not only on the measurement of task duration and frequency, but also on searching for potential anomalies and their reasons. The WPM method collects a wide range of workspace parameters, including workers' activities, workers' physiological parameters, and tool usage. An application of Process Mining and Machine Learning solutions has allowed us to not only significantly increase the quality of analysis (compared to analog work sampling methods), but also to implement an automated controlling solution. The genuine value of the WPM is attested to by the achieved results, like increased efficiency of production processes, better visibility of process flow, or delivery of input data to MES solutions. MES systems require good quality, frequently updated information, and this is the role played by the WPM, which can provide this type of data for Master Data as well as for Production Orders. The presented authorial WPM method reduces the gap in available scholarship and practical solutions, enabling the collection of reliable data on the actual flow of business processes without their disruption, relevant for i.a. advanced systems using AI. © The Author(s) 2024.</v>
      </c>
      <c r="O34" s="9" t="s">
        <v>2307</v>
      </c>
      <c r="P34" s="9">
        <v>3569.0</v>
      </c>
      <c r="Q34" s="9">
        <v>3585.0</v>
      </c>
      <c r="R34" s="9" t="s">
        <v>96</v>
      </c>
      <c r="S34" s="9" t="s">
        <v>2308</v>
      </c>
      <c r="T34" s="48"/>
      <c r="U34" s="6"/>
      <c r="V34" s="6"/>
      <c r="W34" s="6"/>
      <c r="X34" s="6"/>
      <c r="Y34" s="9"/>
      <c r="Z34" s="6"/>
      <c r="AA34" s="6"/>
      <c r="AB34" s="6"/>
      <c r="AC34" s="6"/>
      <c r="AD34" s="6"/>
      <c r="AE34" s="6"/>
      <c r="AF34" s="6"/>
      <c r="AG34" s="6"/>
    </row>
    <row r="35">
      <c r="A35" s="2" t="s">
        <v>18</v>
      </c>
      <c r="B35" s="2" t="s">
        <v>2309</v>
      </c>
      <c r="C35" s="2" t="s">
        <v>18</v>
      </c>
      <c r="D35" s="2" t="s">
        <v>2310</v>
      </c>
      <c r="E35" s="2"/>
      <c r="F35" s="2" t="s">
        <v>20</v>
      </c>
      <c r="G35" s="50" t="s">
        <v>2311</v>
      </c>
      <c r="H35" s="9">
        <v>2022.0</v>
      </c>
      <c r="I35" s="9" t="s">
        <v>2124</v>
      </c>
      <c r="J35" s="9" t="s">
        <v>1466</v>
      </c>
      <c r="K35" s="10" t="s">
        <v>2312</v>
      </c>
      <c r="L35" s="6">
        <f>(Q35-P35)</f>
        <v>0</v>
      </c>
      <c r="M35" s="9" t="str">
        <f t="shared" si="2"/>
        <v>Title: Graph-based managing and mining of processes and data in the domain of intellectual property</v>
      </c>
      <c r="N35" s="52" t="str">
        <f t="shared" si="3"/>
        <v>Abstract: Digitalization of knowledge work in communication-intensive domains such as intellectual property protection poses great challenges but also opportunities to improve today's working environments. The legal domain is strongly characterized by knowledge work, whereby, despite a common legal framework, creativity of individual experts is decisive. This knowledge-intensive work deals with a great amount of data objects, not only as a working basis, but also as a result. While experts heavily follow individual working styles, they still rely on a vast amount of administrative tasks, which are carried out by the supporting staff. These tasks are expected to be performed regularly, reliably and without errors, despite necessary adjustments to the current case and the changing legal framework. Today, knowledge work and administrative tasks are typically supported by different tools that are hardly integrated. Therefore, the tracing of continuous work processes based on exchanged data objects is a great challenge. This traceability is crucial, not only for legal security reasons, but also to enable mining and learning of applicable knowledge about processes. In this paper, we propose a bottom-up approach, which applies a continuously evolving graph of integrated data objects and tasks to model and store static and dynamic aspects of administrative as well as knowledge work, and test the approach in a real-world setting in the domain of intellectual property. We further present initial results of a novel dependency-based mining approach to learn data-dependent task sequences in the graph-based model and discuss several methods for enabling privacy-preserving sharing and mining. © 2021 The Authors</v>
      </c>
      <c r="O35" s="9" t="s">
        <v>2313</v>
      </c>
      <c r="P35" s="12"/>
      <c r="Q35" s="53"/>
      <c r="R35" s="10" t="s">
        <v>2314</v>
      </c>
      <c r="S35" s="9" t="s">
        <v>2315</v>
      </c>
      <c r="T35" s="48"/>
      <c r="U35" s="6"/>
      <c r="V35" s="6"/>
      <c r="W35" s="6"/>
      <c r="X35" s="6"/>
      <c r="Y35" s="9"/>
      <c r="Z35" s="6"/>
      <c r="AA35" s="6"/>
      <c r="AB35" s="6"/>
      <c r="AC35" s="6"/>
      <c r="AD35" s="6"/>
      <c r="AE35" s="6"/>
      <c r="AF35" s="6"/>
      <c r="AG35" s="6"/>
    </row>
    <row r="36">
      <c r="A36" s="2" t="s">
        <v>18</v>
      </c>
      <c r="B36" s="2" t="s">
        <v>2316</v>
      </c>
      <c r="C36" s="2" t="s">
        <v>18</v>
      </c>
      <c r="D36" s="2" t="s">
        <v>2317</v>
      </c>
      <c r="E36" s="2"/>
      <c r="F36" s="2" t="s">
        <v>18</v>
      </c>
      <c r="G36" s="50" t="s">
        <v>2318</v>
      </c>
      <c r="H36" s="9">
        <v>2022.0</v>
      </c>
      <c r="I36" s="9" t="s">
        <v>2117</v>
      </c>
      <c r="J36" s="9" t="s">
        <v>2319</v>
      </c>
      <c r="K36" s="10" t="s">
        <v>2320</v>
      </c>
      <c r="L36" s="6"/>
      <c r="M36" s="9" t="str">
        <f t="shared" si="2"/>
        <v>Title: Rediscovering the Forgotten Field of Industrial Applications in Information Systems Research: A Literature Review of Industry 4.0</v>
      </c>
      <c r="N36" s="52" t="str">
        <f t="shared" si="3"/>
        <v>Abstract: This paper is a literature review to determine if industrial applications are appropriately represented in information systems (IS) scholarship. The field of Industry 4.0 was used as a representative sample of industrial information systems and the Association for Information Systems (AIS) Senior Scholars' Basket of Journals was used as a representative, albeit highly ranked, sample of IS literature. Keywords representing the eleven recognised technologies of Industry 4.0 were chosen and used to search the eight IS journals over a time period corresponding with the lifecycle of Industry 4.0. This resulted in 1305 papers being discovered. After calibrating the search terms, a second search yielded 770 papers. These papers were screened for relevance to Industry 4.0 and for use of a manufacturing application. The resulting 20 papers were queried in detail to establish the concepts used and a concept centric matrix was produced. The analysis shows that industrial information applications are rarely used to undertake IS research in the academic field. The dominant concept revealed was digital transformation resulting in changes to business processes. The contribution to the literature is to highlight that substantial research studies can be conducted in the industrial manufacturing arena, but very few have been conducted in the last decade. Therefore, it is an area worth exploring for future IS research. Copyright © 2022 by SCITEPRESS - Science and Technology Publications, Lda. All rights reserved.</v>
      </c>
      <c r="O36" s="9" t="s">
        <v>2321</v>
      </c>
      <c r="P36" s="9">
        <v>15.0</v>
      </c>
      <c r="Q36" s="9">
        <v>25.0</v>
      </c>
      <c r="R36" s="53"/>
      <c r="S36" s="12"/>
      <c r="T36" s="6"/>
      <c r="U36" s="6"/>
      <c r="V36" s="6"/>
      <c r="W36" s="6"/>
      <c r="X36" s="6"/>
      <c r="Y36" s="9"/>
      <c r="Z36" s="6"/>
      <c r="AA36" s="6"/>
      <c r="AB36" s="6"/>
      <c r="AC36" s="6"/>
      <c r="AD36" s="6"/>
      <c r="AE36" s="6"/>
      <c r="AF36" s="6"/>
      <c r="AG36" s="6"/>
    </row>
    <row r="37">
      <c r="A37" s="2" t="s">
        <v>20</v>
      </c>
      <c r="B37" s="2" t="s">
        <v>2322</v>
      </c>
      <c r="C37" s="2" t="s">
        <v>20</v>
      </c>
      <c r="D37" s="2" t="s">
        <v>2323</v>
      </c>
      <c r="E37" s="2"/>
      <c r="F37" s="2" t="s">
        <v>20</v>
      </c>
      <c r="G37" s="50" t="s">
        <v>2324</v>
      </c>
      <c r="H37" s="9">
        <v>2023.0</v>
      </c>
      <c r="I37" s="9" t="s">
        <v>2124</v>
      </c>
      <c r="J37" s="9" t="s">
        <v>2325</v>
      </c>
      <c r="K37" s="10" t="s">
        <v>2326</v>
      </c>
      <c r="L37" s="6">
        <f>(Q37-P37)</f>
        <v>18</v>
      </c>
      <c r="M37" s="9" t="str">
        <f t="shared" si="2"/>
        <v>Title: Towards integration of business process management and knowledge management. IT systems' perspective</v>
      </c>
      <c r="N37" s="52" t="str">
        <f t="shared" si="3"/>
        <v>Abstract: The processes of globalisation, the ongoing threat of the COVID-19 epidemic, the continuing war in Ukraine, and constantly emerging new technological solutions require organisations to adapt to changes constantly. Meanwhile, implemented business process management (BPM) often fails to integrate processes and knowledge resources. The awareness of the IT systems' role in management processes is still lacking. These premises influenced the implementation of the main research goal to identify the approach of Polish private and public enterprises and various industries to the BPM integration with knowledge management (MK) in the context of using new information technologies. The presented research results justify the usefulness of building relationships between the process and knowledge resources under dynamically changing conditions using IT systems. The diagnostic survey results confirmed the key importance of developing such BPM and MK elements as evidence-based decisions, strategic goals, measurement systems, databases, digital innovations, and IT use for data processing. The presented material can support managers of various organisation types in decision-making processes by fully understanding the IT systems' role and potential in process and knowledge management. Also, the article's implications are a source of guidelines, helping organisations to implement management systems based on modern technologies. The value of the publication is a wide range of respondents: 107 large, medium, small, and micro-enterprises operating in Poland. The article's research results also concern economic activities such as production, logistics, transport, banking, insurance, IT, telecommunications/media, public administration, healthcare/pharmaceuticals, consulting, energy, and construction. © 2023 De Gruyter Open Ltd. All rights reserved.</v>
      </c>
      <c r="O37" s="9" t="s">
        <v>2327</v>
      </c>
      <c r="P37" s="9">
        <v>34.0</v>
      </c>
      <c r="Q37" s="9">
        <v>52.0</v>
      </c>
      <c r="R37" s="9" t="s">
        <v>2328</v>
      </c>
      <c r="S37" s="9" t="s">
        <v>2198</v>
      </c>
      <c r="T37" s="6"/>
      <c r="U37" s="6"/>
      <c r="V37" s="6"/>
      <c r="W37" s="6"/>
      <c r="X37" s="6"/>
      <c r="Y37" s="9"/>
      <c r="Z37" s="6"/>
      <c r="AA37" s="6"/>
      <c r="AB37" s="6"/>
      <c r="AC37" s="6"/>
      <c r="AD37" s="6"/>
      <c r="AE37" s="6"/>
      <c r="AF37" s="6"/>
      <c r="AG37" s="6"/>
    </row>
    <row r="38">
      <c r="A38" s="2" t="s">
        <v>18</v>
      </c>
      <c r="B38" s="2" t="s">
        <v>2329</v>
      </c>
      <c r="C38" s="2" t="s">
        <v>18</v>
      </c>
      <c r="D38" s="2" t="s">
        <v>2330</v>
      </c>
      <c r="E38" s="2"/>
      <c r="F38" s="2" t="s">
        <v>18</v>
      </c>
      <c r="G38" s="50" t="s">
        <v>2331</v>
      </c>
      <c r="H38" s="9">
        <v>2023.0</v>
      </c>
      <c r="I38" s="9" t="s">
        <v>2117</v>
      </c>
      <c r="J38" s="9" t="s">
        <v>2332</v>
      </c>
      <c r="K38" s="10" t="s">
        <v>2333</v>
      </c>
      <c r="L38" s="6"/>
      <c r="M38" s="9" t="str">
        <f t="shared" si="2"/>
        <v>Title: BPM in the Era of Industry 4.0: A Bibliometric Analysis</v>
      </c>
      <c r="N38" s="52" t="str">
        <f t="shared" si="3"/>
        <v>Abstract: s: In the age of today's technological development, with the advancement of the digitization of organizations, Industry 4.0 (I4.0) has evolved as a consequence of the fourth industrial revolution, leading industry to face a digital transformation (DT). This transformation is based on the use of cyber-physical systems (CPS) and information and communication technologies (ICT), in particular artificial intelligence (AI) and the Internet of Things (IoT). This new paradigm has brought changes in various areas of the functioning of the organization through a DT that holistically affects business processes, products, relationships and competencies which is a major challenge for organizations. This paper is dedicated to analyze the literature on BPM in the digital industry era through a bibliometric analysis, in order to analyze the impact of the I4.0 concepts and their associated technologies on the BPM, which will allow to determine the main BPM issues. Copyright © 2023 by SCITEPRESS – Science and Technology Publications, Lda. Under CC license (CC BY-NC-ND 4.0)</v>
      </c>
      <c r="O38" s="9" t="s">
        <v>2334</v>
      </c>
      <c r="P38" s="9">
        <v>651.0</v>
      </c>
      <c r="Q38" s="9">
        <v>659.0</v>
      </c>
      <c r="R38" s="9" t="s">
        <v>2335</v>
      </c>
      <c r="S38" s="9" t="s">
        <v>2120</v>
      </c>
      <c r="T38" s="6"/>
      <c r="U38" s="6"/>
      <c r="V38" s="6"/>
      <c r="W38" s="6"/>
      <c r="X38" s="6"/>
      <c r="Y38" s="9"/>
      <c r="Z38" s="6"/>
      <c r="AA38" s="6"/>
      <c r="AB38" s="6"/>
      <c r="AC38" s="6"/>
      <c r="AD38" s="6"/>
      <c r="AE38" s="6"/>
      <c r="AF38" s="6"/>
      <c r="AG38" s="6"/>
    </row>
    <row r="39">
      <c r="A39" s="2" t="s">
        <v>20</v>
      </c>
      <c r="B39" s="2" t="s">
        <v>2336</v>
      </c>
      <c r="C39" s="2" t="s">
        <v>18</v>
      </c>
      <c r="D39" s="2" t="s">
        <v>2337</v>
      </c>
      <c r="E39" s="2"/>
      <c r="F39" s="2" t="s">
        <v>20</v>
      </c>
      <c r="G39" s="50" t="s">
        <v>2338</v>
      </c>
      <c r="H39" s="9">
        <v>2021.0</v>
      </c>
      <c r="I39" s="9" t="s">
        <v>2124</v>
      </c>
      <c r="J39" s="9" t="s">
        <v>2339</v>
      </c>
      <c r="K39" s="10" t="s">
        <v>2340</v>
      </c>
      <c r="L39" s="6">
        <f>(Q39-P39)</f>
        <v>13</v>
      </c>
      <c r="M39" s="9" t="str">
        <f t="shared" si="2"/>
        <v>Title: An Exploration into Future Business Process Management Capabilities in View of Digitalization: Results from a Delphi Study</v>
      </c>
      <c r="N39" s="52" t="str">
        <f t="shared" si="3"/>
        <v>Abstract: Business process management (BPM) is a mature discipline that drives corporate success through effective and efficient business processes. BPM is commonly structured via capability frameworks, which describe and bundle capability areas relevant for implementing process orientation in organizations. Despite their comprehensive use, existing BPM capability frameworks are being challenged by socio-technical changes such as those brought about by digitalization. In line with the uptake of novel technologies, digitalization transforms existing and enables new processes due to its impact on individual behavior and needs, intra- and inter-company collaboration, and new forms of automation. This development led the authors to presume that digitalization calls for new capability areas and that existing frameworks need to be updated. Hence, this study explored which BPM capability areas will become relevant in view of digitalization through a Delphi study with international experts from industry and academia. The study resulted in an updated BPM capability framework, accompanied by insights into challenges and opportunities of BPM. The results show that, while there is a strong link between current and future capability areas, a number of entirely new and enhanced capabilities are required for BPM to drive corporate success in view of digitalization. © 2020, The Author(s).</v>
      </c>
      <c r="O39" s="9" t="s">
        <v>2341</v>
      </c>
      <c r="P39" s="9">
        <v>83.0</v>
      </c>
      <c r="Q39" s="9">
        <v>96.0</v>
      </c>
      <c r="R39" s="9" t="s">
        <v>2342</v>
      </c>
      <c r="S39" s="9" t="s">
        <v>2315</v>
      </c>
      <c r="T39" s="6"/>
      <c r="U39" s="6"/>
      <c r="V39" s="6"/>
      <c r="W39" s="6"/>
      <c r="X39" s="6"/>
      <c r="Y39" s="9"/>
      <c r="Z39" s="6"/>
      <c r="AA39" s="6"/>
      <c r="AB39" s="6"/>
      <c r="AC39" s="6"/>
      <c r="AD39" s="6"/>
      <c r="AE39" s="6"/>
      <c r="AF39" s="6"/>
      <c r="AG39" s="6"/>
    </row>
    <row r="40">
      <c r="A40" s="2" t="s">
        <v>18</v>
      </c>
      <c r="B40" s="2" t="s">
        <v>2343</v>
      </c>
      <c r="C40" s="2" t="s">
        <v>18</v>
      </c>
      <c r="D40" s="2" t="s">
        <v>2344</v>
      </c>
      <c r="E40" s="2"/>
      <c r="F40" s="2" t="s">
        <v>18</v>
      </c>
      <c r="G40" s="50" t="s">
        <v>2345</v>
      </c>
      <c r="H40" s="9">
        <v>2025.0</v>
      </c>
      <c r="I40" s="9" t="s">
        <v>2124</v>
      </c>
      <c r="J40" s="9" t="s">
        <v>2346</v>
      </c>
      <c r="K40" s="10" t="s">
        <v>2347</v>
      </c>
      <c r="L40" s="6"/>
      <c r="M40" s="9" t="str">
        <f t="shared" si="2"/>
        <v>Title: A processes-based methodology for product design assessment</v>
      </c>
      <c r="N40" s="52" t="str">
        <f t="shared" si="3"/>
        <v>Abstract: The digital transformation is shaping practices and investments of companies, it is considered a mean to be more innovative and resilient and to improve business performance. The introduction of new ICT tools can digitalise some processes’ tasks, but can also have other relevant impacts (e.g., on time, cost, quality). A deep analysis of the processes can support companies to take decisions and avoid errors, bottlenecks and unprofitable investments. The paper aims to propose a methodology to evaluate a process, to identify the adopted technologies in terms of complexity, time, quality, and to support more aware actions as well as taking the right decisions of management and investments. Two case applications are presented in the product design process of a manufacturing company, referring to different programs. The application of the methodology demonstrates its validity and the value of its results leading to better actions and decisions inside the companies. Copyright © 2025 Inderscience Enterprises Ltd.</v>
      </c>
      <c r="O40" s="9" t="s">
        <v>2348</v>
      </c>
      <c r="P40" s="9">
        <v>1.0</v>
      </c>
      <c r="Q40" s="9">
        <v>33.0</v>
      </c>
      <c r="R40" s="9" t="s">
        <v>2349</v>
      </c>
      <c r="S40" s="12"/>
      <c r="T40" s="48"/>
      <c r="U40" s="6"/>
      <c r="V40" s="6"/>
      <c r="W40" s="6"/>
      <c r="X40" s="6"/>
      <c r="Y40" s="9"/>
      <c r="Z40" s="6"/>
      <c r="AA40" s="6"/>
      <c r="AB40" s="6"/>
      <c r="AC40" s="6"/>
      <c r="AD40" s="6"/>
      <c r="AE40" s="6"/>
      <c r="AF40" s="6"/>
      <c r="AG40" s="6"/>
    </row>
    <row r="41">
      <c r="A41" s="2" t="s">
        <v>18</v>
      </c>
      <c r="B41" s="2" t="s">
        <v>2350</v>
      </c>
      <c r="C41" s="2" t="s">
        <v>18</v>
      </c>
      <c r="D41" s="2" t="s">
        <v>2351</v>
      </c>
      <c r="E41" s="2"/>
      <c r="F41" s="2" t="s">
        <v>18</v>
      </c>
      <c r="G41" s="50" t="s">
        <v>2352</v>
      </c>
      <c r="H41" s="9">
        <v>2025.0</v>
      </c>
      <c r="I41" s="9" t="s">
        <v>2117</v>
      </c>
      <c r="J41" s="9" t="s">
        <v>1127</v>
      </c>
      <c r="K41" s="10" t="s">
        <v>2353</v>
      </c>
      <c r="L41" s="6"/>
      <c r="M41" s="9" t="str">
        <f t="shared" si="2"/>
        <v>Title: CPOT: Toolkit to Optimize Processes and Increase Efficiency</v>
      </c>
      <c r="N41" s="52" t="str">
        <f t="shared" si="3"/>
        <v>Abstract: Everyday, public and private sectors face escalating pressure to demonstrate efficiency, accountability, and responsiveness in service delivery. The increasing complexity of modern challenges over the last decade has significantly heightened the demand for enhanced governmental and business practices. Consequently, organizations in both competitive private sectors and public service domains are consistently compelled to optimize resource utilization, minimize operational waste, and adapt swiftly to dynamic internal and external environmental changes. This trend is further amplified by a global shift toward digital transformation and data-driven policymaking, underscoring the escalating relevance of quantitative approaches in governance. This strong challenge firmly establishes process optimization as a fundamental element for strategic planning and operational execution. Process optimization is formally defined as a systematic, analytical methodology encompassing the identification, analysis, design, and continuous refinement of existing operational processes. Its primary objective is to achieve specific organizational aims, including improved accuracy, speed, quality, and adaptability. Historically, an ongoing issue across diverse organizational structures has been the perpetuation of suboptimal processes. These inefficiencies commonly manifest as redundant steps, critical bottlenecks, misallocated resources, and an acceptable lack of transparency and accountability within operational frameworks. In this paper, we introduce a novel tool incorporating advanced functionalities designed to significantly expand the range of options available to decision-makers and stakeholders. © 2025 IEEE.</v>
      </c>
      <c r="O41" s="9" t="s">
        <v>2354</v>
      </c>
      <c r="P41" s="12"/>
      <c r="Q41" s="53"/>
      <c r="R41" s="9" t="s">
        <v>1129</v>
      </c>
      <c r="S41" s="12"/>
      <c r="T41" s="6"/>
      <c r="U41" s="6"/>
      <c r="V41" s="6"/>
      <c r="W41" s="6"/>
      <c r="X41" s="6"/>
      <c r="Y41" s="9"/>
      <c r="Z41" s="6"/>
      <c r="AA41" s="6"/>
      <c r="AB41" s="6"/>
      <c r="AC41" s="6"/>
      <c r="AD41" s="6"/>
      <c r="AE41" s="6"/>
      <c r="AF41" s="6"/>
      <c r="AG41" s="6"/>
    </row>
    <row r="42">
      <c r="A42" s="2" t="s">
        <v>20</v>
      </c>
      <c r="B42" s="2" t="s">
        <v>2355</v>
      </c>
      <c r="C42" s="2" t="s">
        <v>20</v>
      </c>
      <c r="D42" s="2" t="s">
        <v>2356</v>
      </c>
      <c r="E42" s="2"/>
      <c r="F42" s="2" t="s">
        <v>1357</v>
      </c>
      <c r="G42" s="50" t="s">
        <v>2357</v>
      </c>
      <c r="H42" s="9">
        <v>2025.0</v>
      </c>
      <c r="I42" s="9" t="s">
        <v>2124</v>
      </c>
      <c r="J42" s="9" t="s">
        <v>708</v>
      </c>
      <c r="K42" s="10" t="s">
        <v>2358</v>
      </c>
      <c r="L42" s="6">
        <f t="shared" ref="L42:L43" si="8">(Q42-P42)</f>
        <v>18</v>
      </c>
      <c r="M42" s="9" t="str">
        <f t="shared" si="2"/>
        <v>Title: From Theory to Practice: Empirical Insights on BPM Lifecycle Adoption and Low-Code Utilization in SMEs</v>
      </c>
      <c r="N42" s="52" t="str">
        <f t="shared" si="3"/>
        <v>Abstract: Small and medium-sized enterprises (SMEs) face growing pressure to adapt to dynamic, competitive markets. Business Process Management (BPM) offers a strategic pathway to operational efficiency and digital transformation. While the BPM lifecycle and low-code platforms are frequently presented as key enablers for SMEs, few empirical studies examine their practical implementation. This study addresses two research questions: 1) how SMEs use low-code technologies to support BPM, and 2) how they apply – or deviate from – the traditional BPM lifecycle. Using a triangulated research design combining a rapid literature review and an expert survey of BPM practitioners in SMEs, the study finds that low-code tools are widely adopted for basic BPM tasks such as process modeling and workflow automation. However, advanced features like AI and process mining are underutilized. Likewise, SMEs often skip or adapt BPM lifecycle phases due to organizational constraints. These findings highlight a gap between BPM theory and SME practice, emphasizing the need for more adaptive BPM frameworks and accessible low-code solutions tailored to SME contexts. © 2013 IEEE.</v>
      </c>
      <c r="O42" s="9" t="s">
        <v>2359</v>
      </c>
      <c r="P42" s="9">
        <v>117385.0</v>
      </c>
      <c r="Q42" s="9">
        <v>117403.0</v>
      </c>
      <c r="R42" s="9" t="s">
        <v>711</v>
      </c>
      <c r="S42" s="9" t="s">
        <v>2198</v>
      </c>
      <c r="T42" s="48"/>
      <c r="U42" s="6"/>
      <c r="V42" s="6"/>
      <c r="W42" s="6"/>
      <c r="X42" s="6"/>
      <c r="Y42" s="9"/>
      <c r="Z42" s="6"/>
      <c r="AA42" s="6"/>
      <c r="AB42" s="6"/>
      <c r="AC42" s="6"/>
      <c r="AD42" s="6"/>
      <c r="AE42" s="6"/>
      <c r="AF42" s="6"/>
      <c r="AG42" s="6"/>
    </row>
    <row r="43">
      <c r="A43" s="2" t="s">
        <v>20</v>
      </c>
      <c r="B43" s="2" t="s">
        <v>2360</v>
      </c>
      <c r="C43" s="2" t="s">
        <v>20</v>
      </c>
      <c r="D43" s="2" t="s">
        <v>2361</v>
      </c>
      <c r="E43" s="2"/>
      <c r="F43" s="2" t="s">
        <v>20</v>
      </c>
      <c r="G43" s="50" t="s">
        <v>2362</v>
      </c>
      <c r="H43" s="9">
        <v>2022.0</v>
      </c>
      <c r="I43" s="9" t="s">
        <v>2117</v>
      </c>
      <c r="J43" s="9" t="s">
        <v>2363</v>
      </c>
      <c r="K43" s="10" t="s">
        <v>2364</v>
      </c>
      <c r="L43" s="6">
        <f t="shared" si="8"/>
        <v>8</v>
      </c>
      <c r="M43" s="9" t="str">
        <f t="shared" si="2"/>
        <v>Title: Digital Transformation Model Based on Business Process Management and Lean Manufacturing to Increase the Productivity of the Administrative Area of a Peruvian Aeronautical Company</v>
      </c>
      <c r="N43" s="52" t="str">
        <f t="shared" si="3"/>
        <v>Abstract: The aviation sector has suffered the effects of the pandemic as the industry's problems have become more evident due to operational constraints. The challenging and uncertain scenario has made the airline industry adapt its business to innovative alternatives based on efficient and digital strategies associated with the sector's low productivity and the efficiency of each process. According to the reports, a series of failures were observed in the Maintenance Administrative Area, which is in charge of managing the work shifts of each technician in charge of aircraft maintenance, identifying that the most significant productivity problem in the area is based on the inefficient attention of requests to technical personnel. Therefore, a new model based on digital transformation was established by applying Business Process Management and Lean Manufacturing, in which the implementation of an ERP system connected to a self-service digital platform stands out. The main objective of this research is to increase productivity through the proposed new model and reduce unproductive times. Initially, the current case was analyzed, the improvements were identified, and the simulation was performed in the Arena software version 16; giving as a result of the validation, the increase of attention rate by 26.4%, the reduction of the rejection rate by 2.09%, the increase of the registration efficiency by 32.59%, and a significant reduction of the cycle time by 87.37%; obtaining as a key result the increase of productivity by 18.62%, achieving a precedent that contributes to the optimization of the processes in the aeronautical sector. © 2022 ACM.</v>
      </c>
      <c r="O43" s="9" t="s">
        <v>2365</v>
      </c>
      <c r="P43" s="9">
        <v>145.0</v>
      </c>
      <c r="Q43" s="9">
        <v>153.0</v>
      </c>
      <c r="R43" s="9" t="s">
        <v>2366</v>
      </c>
      <c r="S43" s="9" t="s">
        <v>2367</v>
      </c>
      <c r="T43" s="6"/>
      <c r="U43" s="6"/>
      <c r="V43" s="6"/>
      <c r="W43" s="6"/>
      <c r="X43" s="6"/>
      <c r="Y43" s="9"/>
      <c r="Z43" s="6"/>
      <c r="AA43" s="6"/>
      <c r="AB43" s="6"/>
      <c r="AC43" s="6"/>
      <c r="AD43" s="6"/>
      <c r="AE43" s="6"/>
      <c r="AF43" s="6"/>
      <c r="AG43" s="6"/>
    </row>
    <row r="44">
      <c r="A44" s="2" t="s">
        <v>18</v>
      </c>
      <c r="B44" s="2" t="s">
        <v>2368</v>
      </c>
      <c r="C44" s="2" t="s">
        <v>18</v>
      </c>
      <c r="D44" s="2" t="s">
        <v>2369</v>
      </c>
      <c r="E44" s="2"/>
      <c r="F44" s="2" t="s">
        <v>18</v>
      </c>
      <c r="G44" s="50" t="s">
        <v>2370</v>
      </c>
      <c r="H44" s="9">
        <v>2023.0</v>
      </c>
      <c r="I44" s="9" t="s">
        <v>2124</v>
      </c>
      <c r="J44" s="9" t="s">
        <v>2371</v>
      </c>
      <c r="K44" s="10" t="s">
        <v>2372</v>
      </c>
      <c r="L44" s="6"/>
      <c r="M44" s="9" t="str">
        <f t="shared" si="2"/>
        <v>Title: Smart Automation for Enhancing Cybersecurity</v>
      </c>
      <c r="N44" s="52" t="str">
        <f t="shared" si="3"/>
        <v>Abstract: In an intelligent automation ecosystem, namely in the context of Robotic Process Automation, there is a need to review the development and operation processes and practices. One must combine competences from these two areas for any organization’s security. It is with security that quality, efficiency, and profitability become possible. The elaboration of guidelines and best practices for the application of a DevSecOps culture is absolutely essential for Agile software development at any organization. In the digitalization era, teams increasingly need a collaborative method to involve several competencies and capabilities, from analysis to the implementation and evolution of a software product. Information security must be an integral part throughout the entire product’s lifecycle, as without it, fundamental aspects of confidentiality, integrity, and availability put information and software security at risk of serious implications for the organization’s business activities. Without losing focus on customer needs, it is necessary to model software development practices, following more agile methodologies. In this way, teams can model the software throughout its lifecycle, focusing on adding value for the customer and ensuring they have greater certainty that requirements, plans, and results are 100% aligned with their needs. This paper presents an analysis of and proposal for the continuous improvement of an intelligent automation platform at a large-scale multinational organization. In parallel, aspects that generate resistance to the implementation of a DevSecOps methodology within the scope of RPA code development are considered. © 2023 by the authors.</v>
      </c>
      <c r="O44" s="9" t="s">
        <v>2373</v>
      </c>
      <c r="P44" s="9">
        <v>89.0</v>
      </c>
      <c r="Q44" s="9">
        <v>97.0</v>
      </c>
      <c r="R44" s="9" t="s">
        <v>2374</v>
      </c>
      <c r="S44" s="9" t="s">
        <v>2198</v>
      </c>
      <c r="T44" s="6"/>
      <c r="U44" s="6"/>
      <c r="V44" s="6"/>
      <c r="W44" s="6"/>
      <c r="X44" s="6"/>
      <c r="Y44" s="9"/>
      <c r="Z44" s="6"/>
      <c r="AA44" s="6"/>
      <c r="AB44" s="6"/>
      <c r="AC44" s="6"/>
      <c r="AD44" s="6"/>
      <c r="AE44" s="6"/>
      <c r="AF44" s="6"/>
      <c r="AG44" s="6"/>
    </row>
    <row r="45">
      <c r="A45" s="2" t="s">
        <v>18</v>
      </c>
      <c r="B45" s="2" t="s">
        <v>2375</v>
      </c>
      <c r="C45" s="2" t="s">
        <v>18</v>
      </c>
      <c r="D45" s="2" t="s">
        <v>2376</v>
      </c>
      <c r="E45" s="2"/>
      <c r="F45" s="2" t="s">
        <v>20</v>
      </c>
      <c r="G45" s="50" t="s">
        <v>2377</v>
      </c>
      <c r="H45" s="9">
        <v>2022.0</v>
      </c>
      <c r="I45" s="9" t="s">
        <v>2117</v>
      </c>
      <c r="J45" s="9" t="s">
        <v>2378</v>
      </c>
      <c r="K45" s="10" t="s">
        <v>2379</v>
      </c>
      <c r="L45" s="6">
        <f t="shared" ref="L45:L46" si="9">(Q45-P45)</f>
        <v>19</v>
      </c>
      <c r="M45" s="9" t="str">
        <f t="shared" si="2"/>
        <v>Title: Modeling Boundary-Spanning Business Processes in Industry 4.0: Incorporating Risk-Based Design</v>
      </c>
      <c r="N45" s="52" t="str">
        <f t="shared" si="3"/>
        <v>Abstract: Industry 4.0 brings new challenges to the digitalization and decentralization of business processes. This paper contributes with a Business Process Modeling and Notation (BPMN) Extension that addresses the inter-organizational nature of the fourth industrial revolution and the need to address risk-by-design since the early stages of industrial collaboration. The proposal results from two design science research cycles. The extension named IOBP 4.0 provides an integrated description of (1) private/shared process elements, (2) local/distributed manufacturing stages, (3) technology incorporation strategy in the production network, and (4) risk situations. IOBP 4.0 can be useful for companies certified by the ISO 9001 quality standard that need to disclose their processes and third-party collaborations, following a risk-based approach. Moreover, incorporating risk-based process design in Industry 4.0 may improve business process resilience in manufacturing networks. © 2022, The Author(s), under exclusive license to Springer Nature Switzerland AG.</v>
      </c>
      <c r="O45" s="9" t="s">
        <v>2380</v>
      </c>
      <c r="P45" s="9">
        <v>143.0</v>
      </c>
      <c r="Q45" s="9">
        <v>162.0</v>
      </c>
      <c r="R45" s="9" t="s">
        <v>2381</v>
      </c>
      <c r="S45" s="9" t="s">
        <v>2367</v>
      </c>
      <c r="T45" s="48"/>
      <c r="U45" s="6"/>
      <c r="V45" s="6"/>
      <c r="W45" s="6"/>
      <c r="X45" s="6"/>
      <c r="Y45" s="9"/>
      <c r="Z45" s="6"/>
      <c r="AA45" s="6"/>
      <c r="AB45" s="6"/>
      <c r="AC45" s="6"/>
      <c r="AD45" s="6"/>
      <c r="AE45" s="6"/>
      <c r="AF45" s="6"/>
      <c r="AG45" s="6"/>
    </row>
    <row r="46">
      <c r="A46" s="2" t="s">
        <v>20</v>
      </c>
      <c r="B46" s="2" t="s">
        <v>2382</v>
      </c>
      <c r="C46" s="2" t="s">
        <v>18</v>
      </c>
      <c r="D46" s="2" t="s">
        <v>2383</v>
      </c>
      <c r="E46" s="2"/>
      <c r="F46" s="2" t="s">
        <v>20</v>
      </c>
      <c r="G46" s="50" t="s">
        <v>2384</v>
      </c>
      <c r="H46" s="9">
        <v>2025.0</v>
      </c>
      <c r="I46" s="9" t="s">
        <v>2124</v>
      </c>
      <c r="J46" s="9" t="s">
        <v>2385</v>
      </c>
      <c r="K46" s="10" t="s">
        <v>2386</v>
      </c>
      <c r="L46" s="6">
        <f t="shared" si="9"/>
        <v>14</v>
      </c>
      <c r="M46" s="9" t="str">
        <f t="shared" si="2"/>
        <v>Title: Integrating RPA, BPM, and DT in the context of Industry 4.0 and 5.0: a strategic approach for modern enterprises</v>
      </c>
      <c r="N46" s="52" t="str">
        <f t="shared" si="3"/>
        <v>Abstract: This paper examines the interaction between robotic process automation (RPA), business process management (BPM), and digital transformation (DT)-three critical components in improving operational efficiency and driving business modernization. RPA automates repetitive tasks, reduces errors, accelerates processing, and optimizes resource use. When combined with artificial intelligence (AI) and machine learning (ML), it further enhances data analysis and decision-making. BPM focuses on analyzing, designing, and optimizing business processes to ensure organizational agility. DT provides a technological foundation for broader innovation in processes and structures. The paper contributes a comprehensive and updated perspective on how RPA, BPM, and DT interrelate—not only functioning independently but also reinforcing one another to create greater business value. It emphasizes that their integration is a strategic approach to improving performance, responsiveness, and continuous innovation. Importantly, the research is relevant to both Industry 4.0 and Industry 5.0. While Industry 4.0 (I4.0) prioritizes automation and data-driven systems, Industry 5.0 (I5.0) highlights human–technology collaboration for more adaptive and human-centric organizations. This study enriches theoretical insights and offers practical guidance for building effective and sustainable DT strategies. © 2025 Institute of Advanced Engineering and Science. All rights reserved.</v>
      </c>
      <c r="O46" s="9" t="s">
        <v>2387</v>
      </c>
      <c r="P46" s="9">
        <v>5028.0</v>
      </c>
      <c r="Q46" s="9">
        <v>5042.0</v>
      </c>
      <c r="R46" s="9" t="s">
        <v>2388</v>
      </c>
      <c r="S46" s="9" t="s">
        <v>2120</v>
      </c>
      <c r="T46" s="48"/>
      <c r="U46" s="6"/>
      <c r="V46" s="6"/>
      <c r="W46" s="6"/>
      <c r="X46" s="6"/>
      <c r="Y46" s="9"/>
      <c r="Z46" s="6"/>
      <c r="AA46" s="6"/>
      <c r="AB46" s="6"/>
      <c r="AC46" s="6"/>
      <c r="AD46" s="6"/>
      <c r="AE46" s="6"/>
      <c r="AF46" s="6"/>
      <c r="AG46" s="6"/>
    </row>
    <row r="47">
      <c r="A47" s="2" t="s">
        <v>18</v>
      </c>
      <c r="B47" s="2" t="s">
        <v>2389</v>
      </c>
      <c r="C47" s="2" t="s">
        <v>18</v>
      </c>
      <c r="D47" s="2" t="s">
        <v>2390</v>
      </c>
      <c r="E47" s="2"/>
      <c r="F47" s="2" t="s">
        <v>18</v>
      </c>
      <c r="G47" s="50" t="s">
        <v>2391</v>
      </c>
      <c r="H47" s="9">
        <v>2021.0</v>
      </c>
      <c r="I47" s="9" t="s">
        <v>2124</v>
      </c>
      <c r="J47" s="9" t="s">
        <v>1652</v>
      </c>
      <c r="K47" s="10" t="s">
        <v>2392</v>
      </c>
      <c r="L47" s="6"/>
      <c r="M47" s="9" t="str">
        <f t="shared" si="2"/>
        <v>Title: Translating transparency into value: an approach to design IoT solutions</v>
      </c>
      <c r="N47" s="52" t="str">
        <f t="shared" si="3"/>
        <v>Abstract: Purpose: This research proposes and demonstrates a framework that can be used to systematically address the idiosyncratic design of Internet of Things (IoT)-based solutions, and to match the explorative aspects of introducing a new technology to the exploitative needs, to improve the performance of production operations. Design/methodology/approach: Due to the applied nature of this research, a design science research (DSR) framework was adopted in order to ensure both the rigor and applicability of the outcomes. Findings: A process excellence perspective, operationalized through a business process management approach, is applied to scope the solution space according to its exploitative potential. The mapping of the information flow that needs to be established defines the technological infrastructure of the solution. Research limitations/implications: The theoretical generalizability of the proposed framework is limited by a testing sample of a single case. The research implications are related to a call for the contextualization of IoT applications. Further research will involve the application of this approach to a diverse range of industrial settings. While the domain is far from saturated, a framework that can facilitate such investigations has been provided. Practical implications: The proposed framework provides practitioners with an approach to designing IoT solutions that can consistently address their needs for operational performance improvements. Originality/value: This research proposes a framework that links the enabling of transparency via the integration of IoT in production operations to contextual characteristics and business potential. Furthermore, it highlights the developmental drivers of IoT solutions, which emerged during the empirical demonstration of this framework. © 2021, Emerald Publishing Limited.</v>
      </c>
      <c r="O47" s="9" t="s">
        <v>2393</v>
      </c>
      <c r="P47" s="9">
        <v>1515.0</v>
      </c>
      <c r="Q47" s="9">
        <v>1532.0</v>
      </c>
      <c r="R47" s="9" t="s">
        <v>1656</v>
      </c>
      <c r="S47" s="12"/>
      <c r="T47" s="6"/>
      <c r="U47" s="6"/>
      <c r="V47" s="6"/>
      <c r="W47" s="6"/>
      <c r="X47" s="6"/>
      <c r="Y47" s="9"/>
      <c r="Z47" s="6"/>
      <c r="AA47" s="6"/>
      <c r="AB47" s="6"/>
      <c r="AC47" s="6"/>
      <c r="AD47" s="6"/>
      <c r="AE47" s="6"/>
      <c r="AF47" s="6"/>
      <c r="AG47" s="6"/>
    </row>
    <row r="48">
      <c r="A48" s="2" t="s">
        <v>20</v>
      </c>
      <c r="B48" s="2" t="s">
        <v>2394</v>
      </c>
      <c r="C48" s="2" t="s">
        <v>18</v>
      </c>
      <c r="D48" s="2" t="s">
        <v>2395</v>
      </c>
      <c r="E48" s="2"/>
      <c r="F48" s="2" t="s">
        <v>20</v>
      </c>
      <c r="G48" s="50" t="s">
        <v>2396</v>
      </c>
      <c r="H48" s="9">
        <v>2021.0</v>
      </c>
      <c r="I48" s="9" t="s">
        <v>2124</v>
      </c>
      <c r="J48" s="9" t="s">
        <v>2397</v>
      </c>
      <c r="K48" s="10" t="s">
        <v>2398</v>
      </c>
      <c r="L48" s="6">
        <f t="shared" ref="L48:L50" si="10">(Q48-P48)</f>
        <v>15</v>
      </c>
      <c r="M48" s="9" t="str">
        <f t="shared" si="2"/>
        <v>Title: Digital innovation and business process management: Opportunities and challenges as perceived by practitioners</v>
      </c>
      <c r="N48" s="52" t="str">
        <f t="shared" si="3"/>
        <v>Abstract: In this report, we summarize a large-scale online workshop series focusing on the connection between digital innovation and business process management. The workshop series—which contained four sessions in total that each lasted for an hour and involved on average of 120 practitioners and several academics—focused on complementing the primarily conceptual claims in this research area with in-depth insights from organizational practice. Each workshop shed light on specific aspects that appear important in the digital innovati on and BPM context. We collected data from discussions during the sessions and from two surveys. Based on our findings, we identify three research directions to advance research at the intersection between digital innovation and BPM. We suggest that researchers 1) explore BPM’s role in digital innovation, 2) scope digital innovation activities in BPM projects, and 3) examine how to align organizational structures to support BPM-driven digital innovation activities. We point to several concrete avenues for future empirical research in this field. © 2021, Association for Information Systems. All rights reserved.</v>
      </c>
      <c r="O48" s="9" t="s">
        <v>2399</v>
      </c>
      <c r="P48" s="9">
        <v>556.0</v>
      </c>
      <c r="Q48" s="9">
        <v>571.0</v>
      </c>
      <c r="R48" s="9" t="s">
        <v>2400</v>
      </c>
      <c r="S48" s="9" t="s">
        <v>2367</v>
      </c>
      <c r="T48" s="48"/>
      <c r="U48" s="6"/>
      <c r="V48" s="6"/>
      <c r="W48" s="6"/>
      <c r="X48" s="6"/>
      <c r="Y48" s="9"/>
      <c r="Z48" s="6"/>
      <c r="AA48" s="6"/>
      <c r="AB48" s="6"/>
      <c r="AC48" s="6"/>
      <c r="AD48" s="6"/>
      <c r="AE48" s="6"/>
      <c r="AF48" s="6"/>
      <c r="AG48" s="6"/>
    </row>
    <row r="49">
      <c r="A49" s="2" t="s">
        <v>20</v>
      </c>
      <c r="B49" s="2" t="s">
        <v>2401</v>
      </c>
      <c r="C49" s="2" t="s">
        <v>18</v>
      </c>
      <c r="D49" s="2" t="s">
        <v>2402</v>
      </c>
      <c r="E49" s="2"/>
      <c r="F49" s="2" t="s">
        <v>20</v>
      </c>
      <c r="G49" s="50" t="s">
        <v>2403</v>
      </c>
      <c r="H49" s="9">
        <v>2026.0</v>
      </c>
      <c r="I49" s="9" t="s">
        <v>2124</v>
      </c>
      <c r="J49" s="9" t="s">
        <v>2404</v>
      </c>
      <c r="K49" s="10" t="s">
        <v>2405</v>
      </c>
      <c r="L49" s="6">
        <f t="shared" si="10"/>
        <v>0</v>
      </c>
      <c r="M49" s="9" t="str">
        <f t="shared" si="2"/>
        <v>Title: Business Process Management Maturity and Digital Transformation: Evidence From a Financial Institution in an Emerging Economy</v>
      </c>
      <c r="N49" s="52" t="str">
        <f t="shared" si="3"/>
        <v>Abstract: This study examines how business process management (BPM) maturity shapes digital transformation in a large financial institution operating in a highly regulated, emerging-economy context. Drawing on a qualitative single case study, the research applies Rosemann and De Bruin's BPM Maturity Model to analyse how different maturity dimensions evolve and interact during transformation initiatives. Data were collected through semi-structured interviews with senior managers and process specialists, complemented by internal documents and project artefacts. The findings reveal an asymmetric BPM maturity profile: technical-structural dimensions—strategic alignment, governance and information technology—reached the defined level (Level 3), while socio-organisational dimensions—methods, people and culture—remained at the repeatable level (Level 2), indicating a relative delay in the development of behavioural and methodological capabilities compared to formal governance and IT structures. Transformation initiatives reinforce governance and IT capabilities but simultaneously expose weaknesses in process understanding, methodological consistency and cross-functional collaboration. To explain this pattern, the study introduces the concept of perceptive dissonance, defined as divergent interpretive frames between process-oriented and execution-oriented units regarding the role of BPM in organisational transformation. This interpretive misalignment constrains the development of socio-organisational BPM capabilities and limits the emergence of a virtuous BPM-digital transformation cycle. The study contributes to BPM and knowledge-oriented process research by offering a factor-level qualitative analysis of BPM maturity and by identifying a cognitive mechanism that helps explain persistent maturity asymmetries during transformation. Practical implications are discussed for organisations seeking to align process governance, digital initiatives and organisational understanding. © 2026 The Author(s). Knowledge and Process Management published by John Wiley &amp; Sons Ltd.
</v>
      </c>
      <c r="O49" s="9" t="s">
        <v>2406</v>
      </c>
      <c r="P49" s="9"/>
      <c r="Q49" s="9"/>
      <c r="R49" s="55" t="s">
        <v>2407</v>
      </c>
      <c r="S49" s="9"/>
      <c r="T49" s="48"/>
      <c r="U49" s="6"/>
      <c r="V49" s="6"/>
      <c r="W49" s="6"/>
      <c r="X49" s="6"/>
      <c r="Y49" s="9"/>
      <c r="Z49" s="6"/>
      <c r="AA49" s="6"/>
      <c r="AB49" s="6"/>
      <c r="AC49" s="6"/>
      <c r="AD49" s="6"/>
      <c r="AE49" s="6"/>
      <c r="AF49" s="6"/>
      <c r="AG49" s="6"/>
    </row>
    <row r="50">
      <c r="A50" s="2" t="s">
        <v>20</v>
      </c>
      <c r="B50" s="2" t="s">
        <v>2408</v>
      </c>
      <c r="C50" s="2" t="s">
        <v>18</v>
      </c>
      <c r="D50" s="2" t="s">
        <v>2409</v>
      </c>
      <c r="E50" s="2"/>
      <c r="F50" s="2" t="s">
        <v>1357</v>
      </c>
      <c r="G50" s="50" t="s">
        <v>2410</v>
      </c>
      <c r="H50" s="9">
        <v>2025.0</v>
      </c>
      <c r="I50" s="9" t="s">
        <v>2124</v>
      </c>
      <c r="J50" s="9" t="s">
        <v>1350</v>
      </c>
      <c r="K50" s="10" t="s">
        <v>2411</v>
      </c>
      <c r="L50" s="6">
        <f t="shared" si="10"/>
        <v>22</v>
      </c>
      <c r="M50" s="9" t="str">
        <f t="shared" si="2"/>
        <v>Title: Business process management and digitalization – a reciprocal relationship</v>
      </c>
      <c r="N50" s="52" t="str">
        <f t="shared" si="3"/>
        <v>Abstract: Purpose: This study investigated the interplay between business process management (BPM) and digitalization in organizations and developed principles for designing their interaction. Design/methodology/approach: This study was explorative and used a questionnaire-based survey that involved experts in BPM and digitalization who were actively engaged in these two domains in their organizations to come up with the design principles. The survey and the design principles were based on Rosemann and vom Brocke's (2010) six core elements of BPM. Findings: Digitalization was seen as influencing how BPM is practiced in organizations by strengthening organizations’ focus on BPM, and conversely, BPM was perceived as beneficial for digitalization and digitalization outcomes. In addition, based on Rosemann and vom Brocke’s six core elements of BPM, we proposed six principles for designing the interplay of BPM and digitalization in organizations. Research limitations/implications: Our empirical investigation was situated in a Norwegian context and included 104 respondents. While we have no reason to believe that our findings should not be valid and useful in other regions, this is a limitation in generalizing our findings, and a natural follow-up would be to investigate our research questions in other geographical areas. We are also aware of the potential response bias in our sample. Moreover, to outline the principles for designing the interactions of BPM and digitalization, we applied the six core elements of BPM by Rosemann and vom Brocke (2010) as our theoretical lens. We acknowledge that there are more issues related to the interplay of BPM and digitalization than we have dealt with in this study. Practical implications: This study has several implications for organizations. First, managers may use our proposed design principles to decide how to integrate BPM and digitalization. Second, although this study showed that each discipline nurtures its own culture, building an organizational culture that combines values from each discipline can enable a process-oriented organization to innovate its operations and services with digital technology. Third, managers should align the responsibilities and tasks of process owners with the demands for the digitalization of business processes. Fourth, managers, when integrating BPM and digitalization, should take care not to impede the generative attributes of each discipline. Social implications: Processes and digital technologies play important roles in society at all levels. BPM seeks to understand how processes unfold and explores how new practices may better serve individuals, organizations and society (vom Brocke et al., 2021), while digitalization is concerned with how various kinds of modern digital technologies may trigger organizational and social changes (Markus and Rowe, 2023; Suri and Jack, 2016). Originality/value: This study is one of the first studies to investigate the interplay between BPM and digitalization – how digitalization affects BPM practices in organizations and how BPM influences digitalization outcomes. In addition, this study offers novel principles for designing the interaction between BPM and digitalization. © 2024, Emerald Publishing Limited.</v>
      </c>
      <c r="O50" s="9" t="s">
        <v>2412</v>
      </c>
      <c r="P50" s="9">
        <v>393.0</v>
      </c>
      <c r="Q50" s="9">
        <v>415.0</v>
      </c>
      <c r="R50" s="9" t="s">
        <v>1354</v>
      </c>
      <c r="S50" s="53"/>
      <c r="T50" s="6"/>
      <c r="U50" s="6"/>
      <c r="V50" s="6"/>
      <c r="W50" s="6"/>
      <c r="X50" s="6"/>
      <c r="Y50" s="9"/>
      <c r="Z50" s="6"/>
      <c r="AA50" s="6"/>
      <c r="AB50" s="6"/>
      <c r="AC50" s="6"/>
      <c r="AD50" s="6"/>
      <c r="AE50" s="6"/>
      <c r="AF50" s="6"/>
      <c r="AG50" s="6"/>
    </row>
    <row r="51">
      <c r="A51" s="2" t="s">
        <v>18</v>
      </c>
      <c r="B51" s="2" t="s">
        <v>2413</v>
      </c>
      <c r="C51" s="2" t="s">
        <v>18</v>
      </c>
      <c r="D51" s="2" t="s">
        <v>2414</v>
      </c>
      <c r="E51" s="2"/>
      <c r="F51" s="2" t="s">
        <v>18</v>
      </c>
      <c r="G51" s="50" t="s">
        <v>2415</v>
      </c>
      <c r="H51" s="9">
        <v>2023.0</v>
      </c>
      <c r="I51" s="9" t="s">
        <v>2124</v>
      </c>
      <c r="J51" s="9" t="s">
        <v>2416</v>
      </c>
      <c r="K51" s="10" t="s">
        <v>2417</v>
      </c>
      <c r="L51" s="6"/>
      <c r="M51" s="9" t="str">
        <f t="shared" si="2"/>
        <v>Title: A framework for AI-based self-adaptive cyber-physical process systems</v>
      </c>
      <c r="N51" s="52" t="str">
        <f t="shared" si="3"/>
        <v>Abstract: Digital transformation is both an opportunity and a challenge. To take advantage of this opportunity for humans and the environment, the transformation process must be understood as a design process that affects almost all areas of life. In this paper, we investigate AI-Based Self-Adaptive Cyber-Physical Process Systems (AI-CPPS) as an extension of the traditional CPS view. As contribution, we present a framework that addresses challenges that arise from recent literature. The aim of the AI-CPPS framework is to enable an adaptive integration of IoT environments with higher-level process-oriented systems. In addition, the framework integrates humans as actors into the system, which is often neglected by recent related approaches. The framework consists of three layers, i.e., processes, semantic modeling, and systems and actors, and we describe for each layer challenges and solution outlines for application. We also address the requirement to enable the integration of new networked devices under the premise of a targeted process that is optimally designed for humans, while profitably integrating AI and IoT. It is expected that AI-CPPS can contribute significantly to increasing sustainability and quality of life and offer solutions to pressing problems such as environmental protection, mobility, or demographic change. Thus, it is all the more important that the systems themselves do not become a driver of resource consumption. © 2023 the author(s), published by De Gruyter, Berlin/Boston.</v>
      </c>
      <c r="O51" s="9" t="s">
        <v>2418</v>
      </c>
      <c r="P51" s="12"/>
      <c r="Q51" s="53"/>
      <c r="R51" s="9" t="s">
        <v>2419</v>
      </c>
      <c r="S51" s="9" t="s">
        <v>2308</v>
      </c>
      <c r="T51" s="48"/>
      <c r="U51" s="6"/>
      <c r="V51" s="6"/>
      <c r="W51" s="6"/>
      <c r="X51" s="6"/>
      <c r="Y51" s="9"/>
      <c r="Z51" s="6"/>
      <c r="AA51" s="6"/>
      <c r="AB51" s="6"/>
      <c r="AC51" s="6"/>
      <c r="AD51" s="6"/>
      <c r="AE51" s="6"/>
      <c r="AF51" s="6"/>
      <c r="AG51" s="6"/>
    </row>
    <row r="52">
      <c r="A52" s="2" t="s">
        <v>18</v>
      </c>
      <c r="B52" s="2" t="s">
        <v>2420</v>
      </c>
      <c r="C52" s="2" t="s">
        <v>18</v>
      </c>
      <c r="D52" s="2" t="s">
        <v>2421</v>
      </c>
      <c r="E52" s="2"/>
      <c r="F52" s="2" t="s">
        <v>18</v>
      </c>
      <c r="G52" s="50" t="s">
        <v>2422</v>
      </c>
      <c r="H52" s="9">
        <v>2025.0</v>
      </c>
      <c r="I52" s="9" t="s">
        <v>2117</v>
      </c>
      <c r="J52" s="9" t="s">
        <v>2423</v>
      </c>
      <c r="K52" s="10" t="s">
        <v>2424</v>
      </c>
      <c r="L52" s="6">
        <f t="shared" ref="L52:L53" si="11">(Q52-P52)</f>
        <v>9</v>
      </c>
      <c r="M52" s="9" t="str">
        <f t="shared" si="2"/>
        <v>Title: The Future of BPM in the Era of Industry 4.0: Exploring New Opportunities for Innovation</v>
      </c>
      <c r="N52" s="52" t="str">
        <f t="shared" si="3"/>
        <v>Abstract: In today's digital age, the fourth industrial revolution has given rise to Industry 4.0. This new paradigm has brought new challenges for organizations, through a digital transformation. This digital transformation has profoundly impacted the way businesses operate, leading to a fundamental shift in the Business Process Management (BPM), affecting business models, processes, products, relationships and competencies. This transformation is based on the use of cyber-physical systems and information and communication technologies, in particular artificial intelligence and the Internet of Things. This paper aims to identify and define the main challenges, limitations, and opportunities of BPM in the era of Industry 4.0. Furthermore, it aims to identify potential future research directions. in addition to analyzing the impact of Industry 4.0 concepts and related technologies on the management of organizations and their business processes. Copyright © 2025 by Paper published under CC license (CC BY-NC-ND 4.0)</v>
      </c>
      <c r="O52" s="9" t="s">
        <v>2425</v>
      </c>
      <c r="P52" s="9">
        <v>915.0</v>
      </c>
      <c r="Q52" s="9">
        <v>924.0</v>
      </c>
      <c r="R52" s="9" t="s">
        <v>2426</v>
      </c>
      <c r="S52" s="9" t="s">
        <v>2198</v>
      </c>
      <c r="T52" s="48"/>
      <c r="U52" s="6"/>
      <c r="V52" s="6"/>
      <c r="W52" s="6"/>
      <c r="X52" s="6"/>
      <c r="Y52" s="9"/>
      <c r="Z52" s="6"/>
      <c r="AA52" s="6"/>
      <c r="AB52" s="6"/>
      <c r="AC52" s="6"/>
      <c r="AD52" s="6"/>
      <c r="AE52" s="6"/>
      <c r="AF52" s="6"/>
      <c r="AG52" s="6"/>
    </row>
    <row r="53">
      <c r="A53" s="2" t="s">
        <v>20</v>
      </c>
      <c r="B53" s="2" t="s">
        <v>2427</v>
      </c>
      <c r="C53" s="2" t="s">
        <v>20</v>
      </c>
      <c r="D53" s="2" t="s">
        <v>2428</v>
      </c>
      <c r="E53" s="2"/>
      <c r="F53" s="2" t="s">
        <v>1357</v>
      </c>
      <c r="G53" s="50" t="s">
        <v>2429</v>
      </c>
      <c r="H53" s="9">
        <v>2023.0</v>
      </c>
      <c r="I53" s="9" t="s">
        <v>2117</v>
      </c>
      <c r="J53" s="9" t="s">
        <v>726</v>
      </c>
      <c r="K53" s="10" t="s">
        <v>2430</v>
      </c>
      <c r="L53" s="6">
        <f t="shared" si="11"/>
        <v>0</v>
      </c>
      <c r="M53" s="9" t="str">
        <f t="shared" si="2"/>
        <v>Title: Impact of Digital Transformation in Sourcing &amp; Tender Management Processes on Employee Job Satisfaction - A Study on Malaysian Multinational Electricity Company</v>
      </c>
      <c r="N53" s="52" t="str">
        <f t="shared" si="3"/>
        <v>Abstract: This Digital Transformation is a methodology of leveraging emerging digital technologies &amp; platforms to re-imagine and re-engineer AS-IS business/operational processes, organizational culture, and user experiences to meet evolving global business requirements. Hence, reimagining the business in the digital age with technological innovation &amp; adoption is the essence of digital transformation. Job Satisfaction is measured as the extent to which employees prefer their job or specific aspects of jobs, like the profile of work or quality of the job and has a direct relationship with employee Work-life Balance, Work Performance Management, Job Rotation/Distribution &amp; Skill Management. Key objective of this research is focused on the Analysis of the Impact of Digital Transformation &amp; Business Process Reengineering in the areas of E2E Sourcing/Procurement Management &amp; Tender Life Cycle Management eco-system on the Employee Job Satisfaction Index. This study is intended to deal with existing issues, to analyze process gaps &amp; to assess potential improvement in the team's job satisfaction of Sourcing &amp; Category Managers of the Procurement Division with the help of Digital Technologies - Business Process Management, Robotic Process Automation, Natural Language Processing, specifically in the context of a Malaysian Multinational Electricity &amp; Utility Company (to be referred as Case-Organization). The intended research finding analysis should help senior management of the procurement division to focus their attention to digitalization &amp; automation activities from internal human resource &amp; leadership perspectives to leverage if digital transformation brings any value in effective work allocation, better job rotation, improved work-life balance, enhanced work quality and efficient performance management etc. © 2023 IEEE.</v>
      </c>
      <c r="O53" s="9" t="s">
        <v>2431</v>
      </c>
      <c r="P53" s="12"/>
      <c r="Q53" s="53"/>
      <c r="R53" s="9" t="s">
        <v>728</v>
      </c>
      <c r="S53" s="12"/>
      <c r="T53" s="48"/>
      <c r="U53" s="6"/>
      <c r="V53" s="6"/>
      <c r="W53" s="6"/>
      <c r="X53" s="6"/>
      <c r="Y53" s="9"/>
      <c r="Z53" s="6"/>
      <c r="AA53" s="6"/>
      <c r="AB53" s="6"/>
      <c r="AC53" s="6"/>
      <c r="AD53" s="6"/>
      <c r="AE53" s="6"/>
      <c r="AF53" s="6"/>
      <c r="AG53" s="6"/>
    </row>
    <row r="54">
      <c r="A54" s="2" t="s">
        <v>18</v>
      </c>
      <c r="B54" s="2" t="s">
        <v>2432</v>
      </c>
      <c r="C54" s="2" t="s">
        <v>18</v>
      </c>
      <c r="D54" s="2" t="s">
        <v>2433</v>
      </c>
      <c r="E54" s="2"/>
      <c r="F54" s="2" t="s">
        <v>18</v>
      </c>
      <c r="G54" s="50" t="s">
        <v>2434</v>
      </c>
      <c r="H54" s="9">
        <v>2024.0</v>
      </c>
      <c r="I54" s="9" t="s">
        <v>2117</v>
      </c>
      <c r="J54" s="9" t="s">
        <v>1622</v>
      </c>
      <c r="K54" s="10" t="s">
        <v>2435</v>
      </c>
      <c r="L54" s="6"/>
      <c r="M54" s="9" t="str">
        <f t="shared" si="2"/>
        <v>Title: The Role of Business Process Management in Digital Innovation and Digital Transformation: A Systematic Literature Review</v>
      </c>
      <c r="N54" s="52" t="str">
        <f t="shared" si="3"/>
        <v>Abstract: Business Process Management (BPM) is an approach that aims to improve organizational performance and flexibility through managing business processes. Digital Innovation (DI) and Digital Transformation (DT) are phenomena that relate to the use of digital technology to create new value for organizations and customers. This article explores the role of BPM in supporting DI and DT in organizations and how to implement BPM in an organization with a Systematic Literature Review (SLR). The search results, inclusion and exclusion criteria, and relevance assessment yielded 34 relevant articles. We found that BPM, DI, and DT interact with each other in various ways and have some theoretical and practical implications for researchers and practitioners. © 2023 The Authors. Published by Elsevier B.V.</v>
      </c>
      <c r="O54" s="9" t="s">
        <v>2436</v>
      </c>
      <c r="P54" s="9">
        <v>829.0</v>
      </c>
      <c r="Q54" s="9">
        <v>836.0</v>
      </c>
      <c r="R54" s="9" t="s">
        <v>1626</v>
      </c>
      <c r="S54" s="9" t="s">
        <v>2120</v>
      </c>
      <c r="T54" s="6"/>
      <c r="U54" s="6"/>
      <c r="V54" s="6"/>
      <c r="W54" s="6"/>
      <c r="X54" s="6"/>
      <c r="Y54" s="9"/>
      <c r="Z54" s="6"/>
      <c r="AA54" s="6"/>
      <c r="AB54" s="6"/>
      <c r="AC54" s="6"/>
      <c r="AD54" s="6"/>
      <c r="AE54" s="6"/>
      <c r="AF54" s="6"/>
      <c r="AG54" s="6"/>
    </row>
    <row r="55">
      <c r="A55" s="2" t="s">
        <v>18</v>
      </c>
      <c r="B55" s="2" t="s">
        <v>2437</v>
      </c>
      <c r="C55" s="2" t="s">
        <v>18</v>
      </c>
      <c r="D55" s="2" t="s">
        <v>2438</v>
      </c>
      <c r="E55" s="2"/>
      <c r="F55" s="2" t="s">
        <v>18</v>
      </c>
      <c r="G55" s="50" t="s">
        <v>2242</v>
      </c>
      <c r="H55" s="9">
        <v>2024.0</v>
      </c>
      <c r="I55" s="9" t="s">
        <v>2124</v>
      </c>
      <c r="J55" s="9" t="s">
        <v>1682</v>
      </c>
      <c r="K55" s="10" t="s">
        <v>2439</v>
      </c>
      <c r="L55" s="6"/>
      <c r="M55" s="9" t="str">
        <f t="shared" si="2"/>
        <v>Title: Unraveling the trends in business process management: a comprehensive bibliometric analysis of management and business literature</v>
      </c>
      <c r="N55" s="52" t="str">
        <f t="shared" si="3"/>
        <v>Abstract: Purpose: This study aims to analyze international scientific production from 1960 to 2023 on business process management (BPM), highlighting the latest trends in BPM in the field of management and business during the 21st century. Design/methodology/approach: We conducted a bibliometric analysis of 729 BPM articles from management and business journals using the SCOPUS database and VOSviewer software to map the scholarly landscape. Findings: Nearly 45% of the papers were published between 2018 and 2023, prominently featuring the Business Process Management Journal. The University of São Paulo and Queensland University of Technology were the most prolific institutions. Significant emerging trends identified include Strategic Management, Digital Transformation, and IoT. Author Röglinger was noted for the highest publication rate. Research limitations/implications: The analysis was restricted to journal articles from one database, potentially overlooking insights from conferences, books, and other formats. Practical implications: The study highlights the significant benefits of integrating technologies like Artificial Intelligence and IoT in BPM, improving operational efficiency, competitiveness, and innovation in adaptability and service personalization. Social implications: Technological advancements in BPM could enhance employment, require new skills, support a sustainable economy, and improve organizational transparency and service accessibility, bolstering corporate social responsibility and inclusion. Originality/value: This research offers a unique overview of the integration of emerging technologies in BPM, shedding light on their strategic and social implications, and providing critical insights for optimizing processes and fostering business innovation. © 2024, Emerald Publishing Limited.</v>
      </c>
      <c r="O55" s="9" t="s">
        <v>2440</v>
      </c>
      <c r="P55" s="9">
        <v>2541.0</v>
      </c>
      <c r="Q55" s="9">
        <v>2563.0</v>
      </c>
      <c r="R55" s="9" t="s">
        <v>1686</v>
      </c>
      <c r="S55" s="12"/>
      <c r="T55" s="48"/>
      <c r="U55" s="6"/>
      <c r="V55" s="6"/>
      <c r="W55" s="6"/>
      <c r="X55" s="6"/>
      <c r="Y55" s="9"/>
      <c r="Z55" s="6"/>
      <c r="AA55" s="6"/>
      <c r="AB55" s="6"/>
      <c r="AC55" s="6"/>
      <c r="AD55" s="6"/>
      <c r="AE55" s="6"/>
      <c r="AF55" s="6"/>
      <c r="AG55" s="6"/>
    </row>
    <row r="56">
      <c r="A56" s="2" t="s">
        <v>18</v>
      </c>
      <c r="B56" s="2" t="s">
        <v>2441</v>
      </c>
      <c r="C56" s="2" t="s">
        <v>18</v>
      </c>
      <c r="D56" s="2" t="s">
        <v>2442</v>
      </c>
      <c r="E56" s="2"/>
      <c r="F56" s="2" t="s">
        <v>18</v>
      </c>
      <c r="G56" s="50" t="s">
        <v>2443</v>
      </c>
      <c r="H56" s="9">
        <v>2021.0</v>
      </c>
      <c r="I56" s="9" t="s">
        <v>2117</v>
      </c>
      <c r="J56" s="9" t="s">
        <v>2444</v>
      </c>
      <c r="K56" s="10" t="s">
        <v>2445</v>
      </c>
      <c r="L56" s="6"/>
      <c r="M56" s="9" t="str">
        <f t="shared" si="2"/>
        <v>Title: Process Mining applied to Emergency Room: an organizational and change management perspective</v>
      </c>
      <c r="N56" s="52" t="str">
        <f t="shared" si="3"/>
        <v>Abstract: Struggling with the need to comply with strict budget constraints and the mission of delivering high-quality care services to their patients, healthcare organizations are increasingly interested in finding innovative solutions to tackle process pains and improve performance management. Among those, Process Mining plays an increasingly important role, as it constitutes a powerful tool to leverage the digital transformation as a driver for service and process redesign, putting the concept of patient care at the center. This paper describes how Italian consulting firm Partners4Innovation helped a major public hospital located in northern Italy, Azienda Ospedaliero-Universitaria of Ferrara, introducing Process Mining as part of the practices to manage its strategic and day-to-day operations, leveraging what has already been done several times in this field. The distinctiveness of the approach presented lies above all in having understood that the introduction of Process Mining requires a radical evolution of the organizational culture and skillset, which if not properly addressed threatens not only the return on investment in the medium term but also the organization's ability to root the data-driven approach to process management required by the current and future competitive landscape. Copyright © 2021 for this paper by its authors</v>
      </c>
      <c r="O56" s="9" t="s">
        <v>2446</v>
      </c>
      <c r="P56" s="9">
        <v>14.0</v>
      </c>
      <c r="Q56" s="9">
        <v>25.0</v>
      </c>
      <c r="R56" s="53"/>
      <c r="S56" s="12"/>
      <c r="T56" s="48"/>
      <c r="U56" s="6"/>
      <c r="V56" s="6"/>
      <c r="W56" s="6"/>
      <c r="X56" s="6"/>
      <c r="Y56" s="9"/>
      <c r="Z56" s="6"/>
      <c r="AA56" s="6"/>
      <c r="AB56" s="6"/>
      <c r="AC56" s="6"/>
      <c r="AD56" s="6"/>
      <c r="AE56" s="6"/>
      <c r="AF56" s="6"/>
      <c r="AG56" s="6"/>
    </row>
    <row r="57">
      <c r="A57" s="2" t="s">
        <v>20</v>
      </c>
      <c r="B57" s="2" t="s">
        <v>2447</v>
      </c>
      <c r="C57" s="2" t="s">
        <v>18</v>
      </c>
      <c r="D57" s="2" t="s">
        <v>2448</v>
      </c>
      <c r="E57" s="2"/>
      <c r="F57" s="2" t="s">
        <v>1357</v>
      </c>
      <c r="G57" s="50" t="s">
        <v>2449</v>
      </c>
      <c r="H57" s="9">
        <v>2025.0</v>
      </c>
      <c r="I57" s="9" t="s">
        <v>2124</v>
      </c>
      <c r="J57" s="9" t="s">
        <v>1690</v>
      </c>
      <c r="K57" s="10" t="s">
        <v>2450</v>
      </c>
      <c r="L57" s="6">
        <f>(Q57-P57)</f>
        <v>36</v>
      </c>
      <c r="M57" s="9" t="str">
        <f t="shared" si="2"/>
        <v>Title: Unveiling how business process management capabilities foster dynamic decision-making for effectiveness of sustainable digital transformation</v>
      </c>
      <c r="N57" s="52" t="str">
        <f t="shared" si="3"/>
        <v>Abstract: Purpose: This research aims at investigating how business process management capabilities (BPMC) impact the effectiveness of sustainable digital transformation (ESDT). Furthermore, it delves into the mediation of dynamic decision-making (DDM) in the relationship between BPMC and ESDT. Design/methodology/approach: This research employed the hypothetico-deductive technique. The statistical database was generated from sample of 712 respondents from small and medium companies (SMEs) in Vietnam, utilizing convenience and snowball sampling methods. The two-step process utilizing structural equation modeling, supported by SmartPLS version 4.1.0.9 and AMOS 28, was employed to assess the measurement model, while SmartPLS version 4.1.0.9 was used to evaluate the structural model. Findings: The results of the analysis emphasize significant and positive correlations between the proposed constructs related to significance and effect size. The statistical results indicated that BPMC had a significant and beneficial effect on ESDT. This relationship was partially mediated by DMM. Practical implications: The salient point emphasized that practitioners should prioritize enhancing focus on BPMC and DDM, as this would significantly facilitate more comprehensive solutions, enabling SMEs to achieve optimal success in sustainable digital transformation. Policymakers and government influencers are urged to concentrate on innovative attributes and ensure a conducive environment for the implementation of innovation by enacting regulations that promote the application of digital technology. Originality/value: The findings of this study will broaden scholars’ understanding of the influence of BPMC on ESDT. The originality of the research is to provide research directions for advancing studies on the role of DDM in the context of sustainable digital transformation. © 2025, Pham Quang Huy and Vu Kien Phuc.</v>
      </c>
      <c r="O57" s="9" t="s">
        <v>2451</v>
      </c>
      <c r="P57" s="9">
        <v>67.0</v>
      </c>
      <c r="Q57" s="9">
        <v>103.0</v>
      </c>
      <c r="R57" s="9" t="s">
        <v>1694</v>
      </c>
      <c r="S57" s="9" t="s">
        <v>2452</v>
      </c>
      <c r="T57" s="48"/>
      <c r="U57" s="6"/>
      <c r="V57" s="6"/>
      <c r="W57" s="6"/>
      <c r="X57" s="6"/>
      <c r="Y57" s="9"/>
      <c r="Z57" s="6"/>
      <c r="AA57" s="6"/>
      <c r="AB57" s="6"/>
      <c r="AC57" s="6"/>
      <c r="AD57" s="6"/>
      <c r="AE57" s="6"/>
      <c r="AF57" s="6"/>
      <c r="AG57" s="6"/>
    </row>
    <row r="58">
      <c r="A58" s="2" t="s">
        <v>18</v>
      </c>
      <c r="B58" s="2" t="s">
        <v>2453</v>
      </c>
      <c r="C58" s="2" t="s">
        <v>18</v>
      </c>
      <c r="D58" s="2" t="s">
        <v>2454</v>
      </c>
      <c r="E58" s="2"/>
      <c r="F58" s="2" t="s">
        <v>18</v>
      </c>
      <c r="G58" s="50" t="s">
        <v>2455</v>
      </c>
      <c r="H58" s="9">
        <v>2026.0</v>
      </c>
      <c r="I58" s="9" t="s">
        <v>2124</v>
      </c>
      <c r="J58" s="9" t="s">
        <v>2456</v>
      </c>
      <c r="K58" s="10" t="s">
        <v>2457</v>
      </c>
      <c r="L58" s="6"/>
      <c r="M58" s="9" t="str">
        <f t="shared" si="2"/>
        <v>Title: BPM Maturity Assessment: An Exploratory Study Perspective</v>
      </c>
      <c r="N58" s="52" t="str">
        <f t="shared" si="3"/>
        <v>Abstract: This paper develops and validates a prescriptive method and an accompanying tool for assessing the maturity of business process management. The study responds to a gap in existing maturity models, which are weakly connected to the needs of managers responsible for improving organizational processes, insufficiently practical, and rarely empirically validated. The proposed assessment method integrates diagnostic and recommendation functions and is designed to support both the evaluation of the current state and the identification of actionable steps leading to higher maturity levels. The research follows a design-oriented methodology and combines a systematic literature review, expert assessment, exploratory studies, and an empirical evaluation among organizations of different sizes and sectors. The resulting method introduces a structured set of obligatory and optional criteria, as well as tailored recommendations that can be further adapted to the context of specific organizations. Empirical findings demonstrate that users perceive the method as clear, useful, and aligned with organizational practice, and that the recommendations provide meaningful guidance for improvement. The study shows that integrating prescriptive mechanisms with maturity assessment reduces the gap between diagnosis and implementation and enables the design of realistic development trajectories. The article concludes with a discussion of limitations, practical implications, and directions for future research, including sector-specific validation and digitalization of the assessment tool. © 2013 IEEE.</v>
      </c>
      <c r="O58" s="9" t="s">
        <v>2458</v>
      </c>
      <c r="P58" s="9">
        <v>19264.0</v>
      </c>
      <c r="Q58" s="9">
        <v>19282.0</v>
      </c>
      <c r="R58" s="9" t="s">
        <v>2459</v>
      </c>
      <c r="S58" s="9" t="s">
        <v>2198</v>
      </c>
      <c r="T58" s="48"/>
      <c r="U58" s="6"/>
      <c r="V58" s="6"/>
      <c r="W58" s="6"/>
      <c r="X58" s="6"/>
      <c r="Y58" s="9"/>
      <c r="Z58" s="6"/>
      <c r="AA58" s="6"/>
      <c r="AB58" s="6"/>
      <c r="AC58" s="6"/>
      <c r="AD58" s="6"/>
      <c r="AE58" s="6"/>
      <c r="AF58" s="6"/>
      <c r="AG58" s="6"/>
    </row>
    <row r="59">
      <c r="A59" s="2" t="s">
        <v>18</v>
      </c>
      <c r="B59" s="2" t="s">
        <v>2460</v>
      </c>
      <c r="C59" s="2" t="s">
        <v>18</v>
      </c>
      <c r="D59" s="2" t="s">
        <v>2461</v>
      </c>
      <c r="E59" s="2"/>
      <c r="F59" s="2" t="s">
        <v>18</v>
      </c>
      <c r="G59" s="50" t="s">
        <v>2462</v>
      </c>
      <c r="H59" s="9">
        <v>2024.0</v>
      </c>
      <c r="I59" s="9" t="s">
        <v>2124</v>
      </c>
      <c r="J59" s="9" t="s">
        <v>2463</v>
      </c>
      <c r="K59" s="10" t="s">
        <v>2464</v>
      </c>
      <c r="L59" s="6"/>
      <c r="M59" s="9" t="str">
        <f t="shared" si="2"/>
        <v>Title: Algorithmic Business Process Optimization: Empowering Operational Excellence with Service-Oriented Architecture (SOA) and Microservices</v>
      </c>
      <c r="N59" s="52" t="str">
        <f t="shared" si="3"/>
        <v>Abstract: This paper introduces a novel approach to optimizing business processes by integrating principles from Service-Oriented Architecture (SOA), micro-services, and recommendation systems. Our approach leverages specific machine learning techniques such as clustering algorithms for behavioral segmentation and association rule mining for pattern identification, combined with data-driven insights derived from real-time process data. We propose a comprehensive algorithm that identifies inefficiencies in existing workflows, utilizing K-Means clustering and Apriori-based association rule mining to recommend optimized, modular architectures based on interoperable services. Additionally, the system provides personalized recommendations for ongoing improvements using predictive models. Through a detailed implementation, we demonstrate how our method enhances operational efficiency by reducing process redundancies, scalability through modular micro-services, and user satisfaction by streamlining service delivery. Preliminary results from case studies in the e-commerce and financial services sectors show up to 20% improvement in process execution time and 15% increase in customer satisfaction. Our approach differentiates itself from existing methods by offering a seamless integration of modular service architectures with real-time optimization and personalized feedback, creating a continuous improvement loop that adapts to changing business conditions. Finally, we discuss future research directions, including refining recommendation models, developing real-time optimization capabilities, and exploring applications in industry-specific contexts. ©2024 The authors. This article is published by IIETA and is licensed under the CC BY 4.0 license.</v>
      </c>
      <c r="O59" s="9" t="s">
        <v>2465</v>
      </c>
      <c r="P59" s="9">
        <v>2399.0</v>
      </c>
      <c r="Q59" s="9">
        <v>2413.0</v>
      </c>
      <c r="R59" s="9" t="s">
        <v>2466</v>
      </c>
      <c r="S59" s="9" t="s">
        <v>2308</v>
      </c>
      <c r="T59" s="6"/>
      <c r="U59" s="6"/>
      <c r="V59" s="6"/>
      <c r="W59" s="6"/>
      <c r="X59" s="6"/>
      <c r="Y59" s="9"/>
      <c r="Z59" s="6"/>
      <c r="AA59" s="6"/>
      <c r="AB59" s="6"/>
      <c r="AC59" s="6"/>
      <c r="AD59" s="6"/>
      <c r="AE59" s="6"/>
      <c r="AF59" s="6"/>
      <c r="AG59" s="6"/>
    </row>
    <row r="60">
      <c r="A60" s="2" t="s">
        <v>18</v>
      </c>
      <c r="B60" s="2" t="s">
        <v>2467</v>
      </c>
      <c r="C60" s="2" t="s">
        <v>18</v>
      </c>
      <c r="D60" s="1" t="s">
        <v>2468</v>
      </c>
      <c r="E60" s="2"/>
      <c r="F60" s="2" t="s">
        <v>18</v>
      </c>
      <c r="G60" s="50" t="s">
        <v>2469</v>
      </c>
      <c r="H60" s="9">
        <v>2022.0</v>
      </c>
      <c r="I60" s="9" t="s">
        <v>2124</v>
      </c>
      <c r="J60" s="9" t="s">
        <v>2470</v>
      </c>
      <c r="K60" s="10" t="s">
        <v>2471</v>
      </c>
      <c r="L60" s="6"/>
      <c r="M60" s="9" t="str">
        <f t="shared" si="2"/>
        <v>Title: Digitalizing Maritime Containers Shipping Companies: Impacts on Their Processes</v>
      </c>
      <c r="N60" s="52" t="str">
        <f t="shared" si="3"/>
        <v>Abstract: Key analysts are emphasizing the importance of the digitalization especially of the supply chain. This work aims to improve maritime shipping companies by introducing digitalization in their operations. This objective is achieved analyzing the impact of maritime container shipping companies’ digitalization. This analysis requires as input the Business Process Model (BPMo) and an inventory of digital applications to verify how the BPMo changes when deploying the applications, define the prerequisites necessary for this deployment, and identify the key performance indicators (KPIs) to track it. The impact of the deployment of the applications has been quantified by using four performance dimensions: Costs, Time, Quality, and Flexibility. The results show that the impacts are different per application, with changes in the processes, the addition of new ones, and the decommissioning of others. The impact of digitalization is high when trying to deploy all the applications at the same time. Companies can leverage this work, which requires reviewing the documented impacts in their processes and the applications’ prerequisites as well as updating their existing balanced scorecard, incorporating the application’s KPIs. A list of 10 applications has been identified as “quick wins”; then, applications can be the starting point for digitalizing a company. © 2022 by the authors. Licensee MDPI, Basel, Switzerland.</v>
      </c>
      <c r="O60" s="9" t="s">
        <v>2472</v>
      </c>
      <c r="P60" s="12"/>
      <c r="Q60" s="53"/>
      <c r="R60" s="9" t="s">
        <v>2473</v>
      </c>
      <c r="S60" s="9" t="s">
        <v>2198</v>
      </c>
      <c r="T60" s="6"/>
      <c r="U60" s="6"/>
      <c r="V60" s="6"/>
      <c r="W60" s="6"/>
      <c r="X60" s="6"/>
      <c r="Y60" s="9"/>
      <c r="Z60" s="6"/>
      <c r="AA60" s="6"/>
      <c r="AB60" s="6"/>
      <c r="AC60" s="6"/>
      <c r="AD60" s="6"/>
      <c r="AE60" s="6"/>
      <c r="AF60" s="6"/>
      <c r="AG60" s="6"/>
    </row>
    <row r="61">
      <c r="A61" s="2" t="s">
        <v>20</v>
      </c>
      <c r="B61" s="2" t="s">
        <v>2474</v>
      </c>
      <c r="C61" s="2" t="s">
        <v>18</v>
      </c>
      <c r="D61" s="1" t="s">
        <v>2475</v>
      </c>
      <c r="E61" s="2"/>
      <c r="F61" s="2" t="s">
        <v>1357</v>
      </c>
      <c r="G61" s="50" t="s">
        <v>2476</v>
      </c>
      <c r="H61" s="9">
        <v>2024.0</v>
      </c>
      <c r="I61" s="9" t="s">
        <v>2117</v>
      </c>
      <c r="J61" s="9" t="s">
        <v>1411</v>
      </c>
      <c r="K61" s="10" t="s">
        <v>2477</v>
      </c>
      <c r="L61" s="6">
        <f>(Q61-P61)</f>
        <v>7</v>
      </c>
      <c r="M61" s="9" t="str">
        <f t="shared" si="2"/>
        <v>Title: DT4BPM: A proposed approach for combining Digital Transformation and Business Process Management</v>
      </c>
      <c r="N61" s="52" t="str">
        <f t="shared" si="3"/>
        <v>Abstract: Business Process Management (BPM) and Digital Transformation (DT) are two interconnected concepts. BPM involves identifying, analyzing, and improving business processes, while Digital Transformation leverages digital technologies to transform business operations. BPM provides the foundation for digital transformation by optimizing processes, and digital technologies enhance BPM by providing data, analytics, and automation tools. Together, BPM and digital transformation enhance business operations and lead to better customer experiences and increased profitability. Ultimately, the integration of BPM and digital transformation is a strategic imperative for organizations seeking to thrive in today's digitally driven landscape. A new approach combining BPM and DT named DT4BPM is proposed in this paper. DT4BPM takes advantage from both approaches and will have a lifecycle which includes in the proper way phases and sub-phases that were obtained through a positioning of each of the lifecycles of BPM and DT. © 2024 The Author(s). Published by Elsevier B.V.</v>
      </c>
      <c r="O61" s="9" t="s">
        <v>2478</v>
      </c>
      <c r="P61" s="9">
        <v>2030.0</v>
      </c>
      <c r="Q61" s="9">
        <v>2037.0</v>
      </c>
      <c r="R61" s="9" t="s">
        <v>1415</v>
      </c>
      <c r="S61" s="9" t="s">
        <v>2120</v>
      </c>
      <c r="T61" s="48"/>
      <c r="U61" s="6"/>
      <c r="V61" s="6"/>
      <c r="W61" s="6"/>
      <c r="X61" s="6"/>
      <c r="Y61" s="9"/>
      <c r="Z61" s="6"/>
      <c r="AA61" s="6"/>
      <c r="AB61" s="6"/>
      <c r="AC61" s="6"/>
      <c r="AD61" s="6"/>
      <c r="AE61" s="6"/>
      <c r="AF61" s="6"/>
      <c r="AG61" s="6"/>
    </row>
    <row r="62">
      <c r="A62" s="2" t="s">
        <v>18</v>
      </c>
      <c r="B62" s="2" t="s">
        <v>2479</v>
      </c>
      <c r="C62" s="2" t="s">
        <v>18</v>
      </c>
      <c r="D62" s="1" t="s">
        <v>2480</v>
      </c>
      <c r="E62" s="2"/>
      <c r="F62" s="2" t="s">
        <v>18</v>
      </c>
      <c r="G62" s="50" t="s">
        <v>2481</v>
      </c>
      <c r="H62" s="9">
        <v>2024.0</v>
      </c>
      <c r="I62" s="9" t="s">
        <v>2124</v>
      </c>
      <c r="J62" s="9" t="s">
        <v>649</v>
      </c>
      <c r="K62" s="10" t="s">
        <v>2482</v>
      </c>
      <c r="L62" s="6"/>
      <c r="M62" s="9" t="str">
        <f t="shared" si="2"/>
        <v>Title: Business Process Automation in SMEs: A Systematic Literature Review</v>
      </c>
      <c r="N62" s="52" t="str">
        <f t="shared" si="3"/>
        <v>Abstract: Business Process Automation has been gaining increasing importance in the management of companies and organizations since it reduces the time needed to carry out routine tasks, freeing employees for other, more creative and exciting things. It can be applied in the most varied business areas. Organizations from any sector of activity can also adopt it. Given these benefits, the granted success in transforming business processes would be expected. However, automation initiatives still fail. Adopting this technology can raise social, technological, ethical, methodical, and organizational issues. These facts have triggered the necessity for a summary that could extract more information about how to implement Business Process Automation (BPA), attending to the administrative processes, especially when applied in Small and Medium-sized Enterprises (SMEs). This study aims not only to review the available literature on how to implement BPA but also to typify the processes that can be automated, which technologies or tools exist for making that change, and influence factors in the procedure of BPA. We have covered more than 300 research papers published between 2016 and 2023 in reputable scientific data sources like Scopus, Web of Science/Clarivate, and ScienceDirect/Elsevier. The review revealed some paths for BPA, with some common steps. In addition, some common process characteristics fundamental to automation are exposed, as well as factors that are critical to an organization for successful automation. The results indicate that BPA is an established area in Business Process Management related to technologies/tools like Robotic Process Automation (RPA) or Cognitive-Robotic Process Automation (C-RPA), Workflow Management Systems (WfMS), Enterprise Resource Planning (ERP), and Blockchain. As far as we observed, this Systematic Literature Review (SLR) is a unique study that covers all the environmental variables for applying automation in business processes. © 2013 IEEE.</v>
      </c>
      <c r="O62" s="9" t="s">
        <v>2483</v>
      </c>
      <c r="P62" s="9">
        <v>75832.0</v>
      </c>
      <c r="Q62" s="9">
        <v>75864.0</v>
      </c>
      <c r="R62" s="9" t="s">
        <v>652</v>
      </c>
      <c r="S62" s="9" t="s">
        <v>2198</v>
      </c>
      <c r="T62" s="48"/>
      <c r="U62" s="6"/>
      <c r="V62" s="6"/>
      <c r="W62" s="6"/>
      <c r="X62" s="6"/>
      <c r="Y62" s="9"/>
      <c r="Z62" s="6"/>
      <c r="AA62" s="6"/>
      <c r="AB62" s="6"/>
      <c r="AC62" s="6"/>
      <c r="AD62" s="6"/>
      <c r="AE62" s="6"/>
      <c r="AF62" s="6"/>
      <c r="AG62" s="6"/>
    </row>
    <row r="63">
      <c r="A63" s="2" t="s">
        <v>20</v>
      </c>
      <c r="B63" s="2" t="s">
        <v>2484</v>
      </c>
      <c r="C63" s="2" t="s">
        <v>20</v>
      </c>
      <c r="D63" s="1" t="s">
        <v>2485</v>
      </c>
      <c r="E63" s="2"/>
      <c r="F63" s="2" t="s">
        <v>20</v>
      </c>
      <c r="G63" s="50" t="s">
        <v>2486</v>
      </c>
      <c r="H63" s="9">
        <v>2024.0</v>
      </c>
      <c r="I63" s="9" t="s">
        <v>2124</v>
      </c>
      <c r="J63" s="9" t="s">
        <v>2487</v>
      </c>
      <c r="K63" s="10" t="s">
        <v>2488</v>
      </c>
      <c r="L63" s="6">
        <f t="shared" ref="L63:L64" si="12">(Q63-P63)</f>
        <v>17</v>
      </c>
      <c r="M63" s="9" t="str">
        <f t="shared" si="2"/>
        <v>Title: Digital Industry transformation strategy analysis and decision-based on intelligent decision technology</v>
      </c>
      <c r="N63" s="52" t="str">
        <f t="shared" si="3"/>
        <v>Abstract: Expanding and being competitive in the current economic environment requires companies to embrace digital transformation. In the framework of Industry 4.0, the network of interconnected machines, sensors, and software known as the IIoT plays a crucial role in transforming conventional manufacturing facilities into smart factories, notably in monitoring and optimising the manufacturing process. The issues about enormous record storage and how they react challenge conventional automated methods in the IIoT. Cognitive systems optimally modify production settings based on managing uncertainty and sensory inputs. This work uses the Internet of Things-based decision support system with cognitive automation (IoT-DSS-CA) for industrial informatics across the board, including data collection, transmission, processing, and storage. Incorporating the elements frequently neglected during digital transformation, the suggested method uses the business process management (BPM) paradigm to give a systematic approach that industrial organizations may employ to aid their path towards Industry 4.0. The proposed mechanism is thoroughly investigated and evaluated compared to an original solution using several sensing and decision-making features in industrial parameter settings determined by Simple Additive Weighting (SAW) and Analytic Hierarchy Process (AHP). © 2024 – IOS Press. All rights reserved.</v>
      </c>
      <c r="O63" s="9" t="s">
        <v>2489</v>
      </c>
      <c r="P63" s="9">
        <v>2389.0</v>
      </c>
      <c r="Q63" s="9">
        <v>2406.0</v>
      </c>
      <c r="R63" s="9" t="s">
        <v>2490</v>
      </c>
      <c r="S63" s="12"/>
      <c r="T63" s="48"/>
      <c r="U63" s="6"/>
      <c r="V63" s="6"/>
      <c r="W63" s="6"/>
      <c r="X63" s="6"/>
      <c r="Y63" s="9"/>
      <c r="Z63" s="6"/>
      <c r="AA63" s="6"/>
      <c r="AB63" s="6"/>
      <c r="AC63" s="6"/>
      <c r="AD63" s="6"/>
      <c r="AE63" s="6"/>
      <c r="AF63" s="6"/>
      <c r="AG63" s="6"/>
    </row>
    <row r="64">
      <c r="A64" s="2" t="s">
        <v>20</v>
      </c>
      <c r="B64" s="2" t="s">
        <v>2491</v>
      </c>
      <c r="C64" s="2" t="s">
        <v>20</v>
      </c>
      <c r="D64" s="1" t="s">
        <v>2492</v>
      </c>
      <c r="E64" s="2"/>
      <c r="F64" s="2" t="s">
        <v>20</v>
      </c>
      <c r="G64" s="50" t="s">
        <v>2493</v>
      </c>
      <c r="H64" s="9">
        <v>2023.0</v>
      </c>
      <c r="I64" s="9" t="s">
        <v>2117</v>
      </c>
      <c r="J64" s="9" t="s">
        <v>2494</v>
      </c>
      <c r="K64" s="10" t="s">
        <v>2495</v>
      </c>
      <c r="L64" s="6">
        <f t="shared" si="12"/>
        <v>9</v>
      </c>
      <c r="M64" s="9" t="str">
        <f t="shared" si="2"/>
        <v>Title: Fundamental Framework for Task Mining Technology Adoption: Results from a Qualitative Empirical Study</v>
      </c>
      <c r="N64" s="52" t="str">
        <f t="shared" si="3"/>
        <v>Abstract: Digitalization influences business processes and their management. Digital technologies such as Process Mining (PM) or Robotic Process Automation (RPA), which are becoming more and more prevalent, offer new possibilities for process analysis, monitoring, and automation. PM can further be helpful in identifying processes that are suitable for RPA. However, purely applying PM at the business data level often does not produce all the details required to assess RPA suitability. These necessary details can be supplemented by Task Mining (TM), a technology that can analyze tasks at a desktop data level, which opens further potential beyond the automation benefits. However, the currently available scientific literature on TM is scarce and empirical qualitative studies or case studies on the adoption of TM technology from a BPM perspective are missing. Therefore, this paper develops a fundamental framework for TM technology adoption based on a qualitative empirical study involving experts via semi-structured interviews, which are analyzed according to the qualitative content analysis based on the methodology of Mayring. The framework relates five potential benefits, two opportunities, four risks, and four basic requirements identified from the qualitative study. It thus provides a new valid starting point for future research efforts and serves as a guideline for managers in practice to evaluate a potential TM deployment in the company. © 2023 Owner/Author.</v>
      </c>
      <c r="O64" s="9" t="s">
        <v>2496</v>
      </c>
      <c r="P64" s="9">
        <v>50.0</v>
      </c>
      <c r="Q64" s="9">
        <v>59.0</v>
      </c>
      <c r="R64" s="9" t="s">
        <v>2497</v>
      </c>
      <c r="S64" s="9" t="s">
        <v>2198</v>
      </c>
      <c r="T64" s="6"/>
      <c r="U64" s="6"/>
      <c r="V64" s="6"/>
      <c r="W64" s="6"/>
      <c r="X64" s="6"/>
      <c r="Y64" s="9"/>
      <c r="Z64" s="6"/>
      <c r="AA64" s="6"/>
      <c r="AB64" s="6"/>
      <c r="AC64" s="6"/>
      <c r="AD64" s="6"/>
      <c r="AE64" s="6"/>
      <c r="AF64" s="6"/>
      <c r="AG64" s="6"/>
    </row>
    <row r="65">
      <c r="A65" s="2" t="s">
        <v>18</v>
      </c>
      <c r="B65" s="2" t="s">
        <v>2498</v>
      </c>
      <c r="C65" s="2" t="s">
        <v>18</v>
      </c>
      <c r="D65" s="1" t="s">
        <v>2499</v>
      </c>
      <c r="E65" s="2"/>
      <c r="F65" s="2" t="s">
        <v>18</v>
      </c>
      <c r="G65" s="50" t="s">
        <v>2500</v>
      </c>
      <c r="H65" s="9">
        <v>2021.0</v>
      </c>
      <c r="I65" s="9" t="s">
        <v>2117</v>
      </c>
      <c r="J65" s="9" t="s">
        <v>2501</v>
      </c>
      <c r="K65" s="10" t="s">
        <v>2502</v>
      </c>
      <c r="L65" s="6"/>
      <c r="M65" s="9" t="str">
        <f t="shared" si="2"/>
        <v>Title: Digital transformation of transfer in universities</v>
      </c>
      <c r="N65" s="52" t="str">
        <f t="shared" si="3"/>
        <v>Abstract: The digital transformation encounters not only industry and society, but also universities. Universities have to address the digital transformation in several ways: Digital transformation must be integrated into the curricula of their study programs. Additionally, they might want to establish own research programs in this area. Finally, universities have to digitally transform their own organization and administration. Universities are nowadays increasingly confronted with transfer or the so-called third mission, which manifests itself in growing social interest and the transfer of knowledge and technology. To be able to successfully withstand this transformation, a structured model was created. In order to pass through this process and to apply digital transformation as a university, internal conditions like the digital infrastructure as well as external conditions, such as higher education acts play a major role. Copyright © 2021 by SCITEPRESS - Science and Technology Publications, Lda. All rights reserved</v>
      </c>
      <c r="O65" s="9" t="s">
        <v>2503</v>
      </c>
      <c r="P65" s="9">
        <v>109.0</v>
      </c>
      <c r="Q65" s="9">
        <v>115.0</v>
      </c>
      <c r="R65" s="9" t="s">
        <v>2504</v>
      </c>
      <c r="S65" s="9" t="s">
        <v>2120</v>
      </c>
      <c r="T65" s="48"/>
      <c r="U65" s="6"/>
      <c r="V65" s="6"/>
      <c r="W65" s="6"/>
      <c r="X65" s="6"/>
      <c r="Y65" s="9"/>
      <c r="Z65" s="6"/>
      <c r="AA65" s="6"/>
      <c r="AB65" s="6"/>
      <c r="AC65" s="6"/>
      <c r="AD65" s="6"/>
      <c r="AE65" s="6"/>
      <c r="AF65" s="6"/>
      <c r="AG65" s="6"/>
    </row>
    <row r="66">
      <c r="A66" s="2" t="s">
        <v>18</v>
      </c>
      <c r="B66" s="2" t="s">
        <v>2505</v>
      </c>
      <c r="C66" s="2" t="s">
        <v>18</v>
      </c>
      <c r="D66" s="1" t="s">
        <v>2506</v>
      </c>
      <c r="E66" s="2"/>
      <c r="F66" s="2" t="s">
        <v>18</v>
      </c>
      <c r="G66" s="50" t="s">
        <v>2507</v>
      </c>
      <c r="H66" s="9">
        <v>2024.0</v>
      </c>
      <c r="I66" s="9" t="s">
        <v>2124</v>
      </c>
      <c r="J66" s="9" t="s">
        <v>622</v>
      </c>
      <c r="K66" s="10" t="s">
        <v>2508</v>
      </c>
      <c r="L66" s="6"/>
      <c r="M66" s="9" t="str">
        <f t="shared" si="2"/>
        <v>Title: Triad of Digital Transformation: Holistic Orchestration for People, Process, and Technology</v>
      </c>
      <c r="N66" s="52" t="str">
        <f t="shared" si="3"/>
        <v>Abstract: Digital transformation (DT) is a critical area of focus as it disruptively transforms organizational business models, processes, and products. Despite being a prominent topic among information system scholars, the research has mostly centered around technological aspects, and there is a need to broaden the research approach to increase the understanding of DT’s intricate dynamics, interdisciplinary nature, and cross-level perspectives, with practical guidance, while providing actionable insights for organizations. Through action design research, we elaborate a practical Digital-by-Design (DbD) framework grounded in theoretical foundations, to emphasize the interconnected dimensions of people, process and technology for enhancing DT feasibility and viability. This research contributes to a deeper understanding of DT initiatives by recognizing the significance of: 1) diverse organizational, process, and industry needs; 2) individual uniqueness concerning DT; 3) technology integration and scale-up patterns; 4) cross-level empirical perspectives; and 5) an interdisciplinary approach by supporting organizations when navigating DT complexities and dynamics. Recognizing the practical managerial challenges, the study offers a comprehensive guidance for designing and implementing a DT into the business processes. © 2024 IEEE.</v>
      </c>
      <c r="O66" s="9" t="s">
        <v>2509</v>
      </c>
      <c r="P66" s="9">
        <v>7815.0</v>
      </c>
      <c r="Q66" s="9">
        <v>7831.0</v>
      </c>
      <c r="R66" s="9" t="s">
        <v>625</v>
      </c>
      <c r="S66" s="12"/>
      <c r="T66" s="48"/>
      <c r="U66" s="6"/>
      <c r="V66" s="6"/>
      <c r="W66" s="6"/>
      <c r="X66" s="6"/>
      <c r="Y66" s="9"/>
      <c r="Z66" s="6"/>
      <c r="AA66" s="6"/>
      <c r="AB66" s="6"/>
      <c r="AC66" s="6"/>
      <c r="AD66" s="6"/>
      <c r="AE66" s="6"/>
      <c r="AF66" s="6"/>
      <c r="AG66" s="6"/>
    </row>
    <row r="67">
      <c r="A67" s="2" t="s">
        <v>20</v>
      </c>
      <c r="B67" s="2" t="s">
        <v>2510</v>
      </c>
      <c r="C67" s="2" t="s">
        <v>18</v>
      </c>
      <c r="D67" s="1" t="s">
        <v>2511</v>
      </c>
      <c r="E67" s="2"/>
      <c r="F67" s="2" t="s">
        <v>20</v>
      </c>
      <c r="G67" s="50" t="s">
        <v>2512</v>
      </c>
      <c r="H67" s="9">
        <v>2024.0</v>
      </c>
      <c r="I67" s="9" t="s">
        <v>2117</v>
      </c>
      <c r="J67" s="9" t="s">
        <v>2513</v>
      </c>
      <c r="K67" s="10" t="s">
        <v>2514</v>
      </c>
      <c r="L67" s="6">
        <f t="shared" ref="L67:L69" si="13">(Q67-P67)</f>
        <v>0</v>
      </c>
      <c r="M67" s="9" t="str">
        <f t="shared" si="2"/>
        <v>Title: How Scenario Building supports Conceptual Modelling</v>
      </c>
      <c r="N67" s="52" t="str">
        <f t="shared" si="3"/>
        <v>Abstract: A trend on digitization, digitalization, and digital transformation associated with several challenges and complexity can be observed. In this context, the usage of conceptual modelling, particularly business process modelling, is a widely established approach to structure complex activities. However, innovative approaches are required to tackle its liaison with digital technologies. In this paper, after an analysis of the state of the art for business process management approaches and related digital technology aspects, an interactive process model-based approach – the so called “Scenario Scanner” – is proposed and applied in the context of the EU project Change2Twin. Finally, insights on future research consider conceptual modelling in an era of digital transformation. © 2024 Copyright for this paper by its authors.</v>
      </c>
      <c r="O67" s="9" t="s">
        <v>2515</v>
      </c>
      <c r="P67" s="12"/>
      <c r="Q67" s="53"/>
      <c r="R67" s="53"/>
      <c r="S67" s="12"/>
      <c r="T67" s="48"/>
      <c r="U67" s="6"/>
      <c r="V67" s="6"/>
      <c r="W67" s="6"/>
      <c r="X67" s="6"/>
      <c r="Y67" s="9"/>
      <c r="Z67" s="6"/>
      <c r="AA67" s="6"/>
      <c r="AB67" s="6"/>
      <c r="AC67" s="6"/>
      <c r="AD67" s="6"/>
      <c r="AE67" s="6"/>
      <c r="AF67" s="6"/>
      <c r="AG67" s="6"/>
    </row>
    <row r="68">
      <c r="A68" s="2" t="s">
        <v>20</v>
      </c>
      <c r="B68" s="2" t="s">
        <v>2516</v>
      </c>
      <c r="C68" s="2" t="s">
        <v>20</v>
      </c>
      <c r="D68" s="1" t="s">
        <v>2517</v>
      </c>
      <c r="E68" s="2"/>
      <c r="F68" s="2" t="s">
        <v>20</v>
      </c>
      <c r="G68" s="50" t="s">
        <v>2518</v>
      </c>
      <c r="H68" s="9">
        <v>2025.0</v>
      </c>
      <c r="I68" s="9" t="s">
        <v>2124</v>
      </c>
      <c r="J68" s="9" t="s">
        <v>2519</v>
      </c>
      <c r="K68" s="10" t="s">
        <v>2520</v>
      </c>
      <c r="L68" s="6">
        <f t="shared" si="13"/>
        <v>14</v>
      </c>
      <c r="M68" s="9" t="str">
        <f t="shared" si="2"/>
        <v>Title: Digitization Process in a Changing Global Environment</v>
      </c>
      <c r="N68" s="52" t="str">
        <f t="shared" si="3"/>
        <v>Abstract: This article aims to analyze modern technologies’ impact on business process management approaches in the context of digitization and innovative management. Drawing on an extensive literature review, the study explores key themes such as the role of digital technologies in transforming traditional business practices, fostering innovation, and addressing market demands. The problem under investigation centers on the evolving nature of business process management in response to rapid technological advancements and the need for innovative strategies. The research is guided by the hypothesis that digitization and innovative management are critical drivers of efficiency, productivity, and competitive advantage in the contemporary business environment. A mixed-methods approach was employed to test this hypothesis, combining statistical data analysis, case studies of leading global and Ukrainian enterprises (including Amazon, Nova Poshta, and SoftServe), and regression modeling. The study sample includes data from eight enterprises and insights from 15 managers representing various industries. The results indicate that adopting digital technologies, such as artificial intelligence, blockchain, and IoT, significantly enhances business process automation, customer interaction, and organizational efficiency. The findings highlight notable growth trends in digital transformation indicators, including profitability, innovation output, and market competitiveness. Companies prioritizing digital innovations experience higher financial performance and adaptability in a dynamic market environment. This study underscores the implications of digitization for business process management, providing actionable insights for managers aiming to develop effective strategies for integrating digital and innovative practices. The research contributes to the theoretical understanding of digital transformation and offers practical applications for businesses seeking sustained growth and competitive advantage. © (2025), (UIKTEN - Association for Information Communication Technology Education and Science). All rights reserved.</v>
      </c>
      <c r="O68" s="9" t="s">
        <v>2521</v>
      </c>
      <c r="P68" s="9">
        <v>251.0</v>
      </c>
      <c r="Q68" s="9">
        <v>265.0</v>
      </c>
      <c r="R68" s="9" t="s">
        <v>2522</v>
      </c>
      <c r="S68" s="9" t="s">
        <v>2120</v>
      </c>
      <c r="T68" s="48"/>
      <c r="U68" s="6"/>
      <c r="V68" s="6"/>
      <c r="W68" s="6"/>
      <c r="X68" s="6"/>
      <c r="Y68" s="9"/>
      <c r="Z68" s="6"/>
      <c r="AA68" s="6"/>
      <c r="AB68" s="6"/>
      <c r="AC68" s="6"/>
      <c r="AD68" s="6"/>
      <c r="AE68" s="6"/>
      <c r="AF68" s="6"/>
      <c r="AG68" s="6"/>
    </row>
    <row r="69">
      <c r="A69" s="2" t="s">
        <v>18</v>
      </c>
      <c r="B69" s="2" t="s">
        <v>2523</v>
      </c>
      <c r="C69" s="2" t="s">
        <v>20</v>
      </c>
      <c r="D69" s="1" t="s">
        <v>2524</v>
      </c>
      <c r="E69" s="2"/>
      <c r="F69" s="2" t="s">
        <v>1357</v>
      </c>
      <c r="G69" s="50" t="s">
        <v>2525</v>
      </c>
      <c r="H69" s="9">
        <v>2025.0</v>
      </c>
      <c r="I69" s="9" t="s">
        <v>2117</v>
      </c>
      <c r="J69" s="9" t="s">
        <v>859</v>
      </c>
      <c r="K69" s="10" t="s">
        <v>2526</v>
      </c>
      <c r="L69" s="6">
        <f t="shared" si="13"/>
        <v>0</v>
      </c>
      <c r="M69" s="9" t="str">
        <f t="shared" si="2"/>
        <v>Title: Digital Transformation in Higher Education: Enhancing Processes with Capabilities Mapping and Automation</v>
      </c>
      <c r="N69" s="52" t="str">
        <f t="shared" si="3"/>
        <v>Abstract: The study focuses on the need to take steps towards the digital transformation of the financial area of the Universidad Técnica Particular de Loja (UTPL), where traditional methods are inefficient. The main objective is to develop and implement an automated system that improves efficiency and transparency in financial administration. The methodology employed includes the analysis of existing business processes, using business capability maps as an analysis mechanism, and the design of a technological solution based on process-based management (BPM) with BPMN notation, using Bizagi to model and automate workflows. In addition, a document repository in Alfresco (ECM) is integrated to centralize document management. This integration facilitates digital transformation by aligning processes, applications and data in a coherent system. The results show an improvement in the management of queries and the recording of financial processes, with an efficient document repository. In conclusion, the implementation of a process management and control system, based on BPMN and ECM, optimizes workflows, improves efficiency in information management and contributes to better customer service in the financial area processes, demonstrating the value of digital transformation in this sector. © 2025 IEEE.</v>
      </c>
      <c r="O69" s="9" t="s">
        <v>2527</v>
      </c>
      <c r="P69" s="12"/>
      <c r="Q69" s="53"/>
      <c r="R69" s="9" t="s">
        <v>861</v>
      </c>
      <c r="S69" s="12"/>
      <c r="T69" s="48"/>
      <c r="U69" s="6"/>
      <c r="V69" s="6"/>
      <c r="W69" s="6"/>
      <c r="X69" s="6"/>
      <c r="Y69" s="9"/>
      <c r="Z69" s="6"/>
      <c r="AA69" s="6"/>
      <c r="AB69" s="6"/>
      <c r="AC69" s="6"/>
      <c r="AD69" s="6"/>
      <c r="AE69" s="6"/>
      <c r="AF69" s="6"/>
      <c r="AG69" s="6"/>
    </row>
    <row r="70">
      <c r="A70" s="2" t="s">
        <v>18</v>
      </c>
      <c r="B70" s="2" t="s">
        <v>2528</v>
      </c>
      <c r="C70" s="2" t="s">
        <v>18</v>
      </c>
      <c r="D70" s="1" t="s">
        <v>2529</v>
      </c>
      <c r="E70" s="2"/>
      <c r="F70" s="2" t="s">
        <v>18</v>
      </c>
      <c r="G70" s="50" t="s">
        <v>2530</v>
      </c>
      <c r="H70" s="9">
        <v>2025.0</v>
      </c>
      <c r="I70" s="9" t="s">
        <v>2124</v>
      </c>
      <c r="J70" s="9" t="s">
        <v>2531</v>
      </c>
      <c r="K70" s="10" t="s">
        <v>2532</v>
      </c>
      <c r="L70" s="6"/>
      <c r="M70" s="9" t="str">
        <f t="shared" si="2"/>
        <v>Title: From Automation to Autonomisation: How to Capitalise on Empowered Processes</v>
      </c>
      <c r="N70" s="52" t="str">
        <f t="shared" si="3"/>
        <v>Abstract: Process automation has been a cornerstone of organisational success, driving competitiveness through enhanced effectiveness and efficiency. While automation remains a key focus, the rise of artificial intelligence (AI), machine learning (ML) and the Internet of Things (IoT) provides entirely new process design options and as such demands new skills and approaches in Business Process Management (BPM) to maintain relevance and competitiveness. This paper extends current BPM paradigms by introducing the concept of “process autonomisation,” a new paradigm that empowers organisations to make decisions autonomously using real-time data and adaptive business contexts. By critically examining existing BPM methodologies and highlighting key innovations, we propose strategies for evolving process management frameworks - emphasising agility, data-driven decision-making, and seamless digital integration. To thrive in the digital age, we argue, organisations must rethink their BPM practices. We call on both academic and industry stakeholders to collaborate on pioneering advancements in BPM and co-develop a roadmap that will help organisations align their process management with the ongoing digital transformation reshaping industries. © 2025 Bandara, W., Leyer, M. and Rosemann, M.</v>
      </c>
      <c r="O70" s="9" t="s">
        <v>2533</v>
      </c>
      <c r="P70" s="9">
        <v>1.0</v>
      </c>
      <c r="Q70" s="9">
        <v>2.0</v>
      </c>
      <c r="R70" s="9" t="s">
        <v>2534</v>
      </c>
      <c r="S70" s="9" t="s">
        <v>2198</v>
      </c>
      <c r="T70" s="48"/>
      <c r="U70" s="6"/>
      <c r="V70" s="6"/>
      <c r="W70" s="6"/>
      <c r="X70" s="6"/>
      <c r="Y70" s="9"/>
      <c r="Z70" s="6"/>
      <c r="AA70" s="6"/>
      <c r="AB70" s="6"/>
      <c r="AC70" s="6"/>
      <c r="AD70" s="6"/>
      <c r="AE70" s="6"/>
      <c r="AF70" s="6"/>
      <c r="AG70" s="6"/>
    </row>
    <row r="71">
      <c r="A71" s="2" t="s">
        <v>18</v>
      </c>
      <c r="B71" s="2" t="s">
        <v>2535</v>
      </c>
      <c r="C71" s="2" t="s">
        <v>18</v>
      </c>
      <c r="D71" s="1" t="s">
        <v>2536</v>
      </c>
      <c r="E71" s="2"/>
      <c r="F71" s="2" t="s">
        <v>20</v>
      </c>
      <c r="G71" s="50" t="s">
        <v>2537</v>
      </c>
      <c r="H71" s="9">
        <v>2023.0</v>
      </c>
      <c r="I71" s="9" t="s">
        <v>2117</v>
      </c>
      <c r="J71" s="9" t="s">
        <v>2538</v>
      </c>
      <c r="K71" s="10" t="s">
        <v>2539</v>
      </c>
      <c r="L71" s="6">
        <f t="shared" ref="L71:L73" si="14">(Q71-P71)</f>
        <v>9</v>
      </c>
      <c r="M71" s="9" t="str">
        <f t="shared" si="2"/>
        <v>Title: Enhancing Clinical Risk Monitoring and Management in Healthcare through BPMN-Based Process Digitalization</v>
      </c>
      <c r="N71" s="52" t="str">
        <f t="shared" si="3"/>
        <v>Abstract: Numerous recent studies have presented concerning findings on the prevalence of errors in healthcare across OECD (Organization for Economic Co-operation and Development) countries, including Italy to a significant degree. A considerable portion of these errors appears to stem from non-compliance with organizational operating procedures, typically derived from ministerial directives and international standards. Against this backdrop, this paper describes the endeavors undertaken within an Italian research project, which proposed a more systematic approach to the healthcare sector, emphasizing clinical risk management. The modeling of clinical processes employed the widely adopted BPMN (Business Process Modeling and Notation) standard notation, subsequently integrated with the hospital information system to oversee and mitigate clinical risks. Digitalization of operating procedures additionally facilitated the establishment and computation of various Key Performance Indicators (KPIs) for long-term monitoring. The implementation of the project's experimental phase, leveraging the developed system, effectively identified the areas most afflicted by operational non-conformities, thereby enabling targeted measures to safeguard patient well-being and, indirectly, yield substantial cost savings. © 2023 Computers and Industrial Engineering. All rights reserved.</v>
      </c>
      <c r="O71" s="9" t="s">
        <v>2540</v>
      </c>
      <c r="P71" s="9">
        <v>616.0</v>
      </c>
      <c r="Q71" s="9">
        <v>625.0</v>
      </c>
      <c r="R71" s="53"/>
      <c r="S71" s="12"/>
      <c r="T71" s="6"/>
      <c r="U71" s="6"/>
      <c r="V71" s="6"/>
      <c r="W71" s="6"/>
      <c r="X71" s="6"/>
      <c r="Y71" s="9"/>
      <c r="Z71" s="6"/>
      <c r="AA71" s="6"/>
      <c r="AB71" s="6"/>
      <c r="AC71" s="6"/>
      <c r="AD71" s="6"/>
      <c r="AE71" s="6"/>
      <c r="AF71" s="6"/>
      <c r="AG71" s="6"/>
    </row>
    <row r="72">
      <c r="A72" s="2" t="s">
        <v>20</v>
      </c>
      <c r="B72" s="2" t="s">
        <v>2541</v>
      </c>
      <c r="C72" s="2" t="s">
        <v>20</v>
      </c>
      <c r="D72" s="1" t="s">
        <v>2542</v>
      </c>
      <c r="E72" s="2"/>
      <c r="F72" s="2" t="s">
        <v>1357</v>
      </c>
      <c r="G72" s="50" t="s">
        <v>2543</v>
      </c>
      <c r="H72" s="9">
        <v>2021.0</v>
      </c>
      <c r="I72" s="9" t="s">
        <v>2124</v>
      </c>
      <c r="J72" s="9" t="s">
        <v>1538</v>
      </c>
      <c r="K72" s="10" t="s">
        <v>2544</v>
      </c>
      <c r="L72" s="6">
        <f t="shared" si="14"/>
        <v>0</v>
      </c>
      <c r="M72" s="9" t="str">
        <f t="shared" si="2"/>
        <v>Title: On the composition of the long tail of business processes: Implications from a process mining study</v>
      </c>
      <c r="N72" s="52" t="str">
        <f t="shared" si="3"/>
        <v>Abstract: Digital transformation forces companies to rethink their processes to meet current customer needs. Business Process Management (BPM) can provide the means to structure and tackle this change. However, most approaches to BPM face restrictions on the number of processes they can optimize at a time due to complexity and resource restrictions. Investigating this shortcoming, the concept of the long tail of business processes suggests a hybrid approach that entails managing important processes centrally, while incrementally improving the majority of processes at their place of execution. This study scrutinizes this observation as well as corresponding implications. First, we define a system of indicators to automatically prioritize processes based on execution data. Second, we use process mining to analyze processes from multiple companies to investigate the distribution of process value in terms of their process variants. Third, we examine the characteristics of the process variants contained in the short head and the long tail to derive and justify recommendations for their management. Our results suggest that the assumption of a long-tailed distribution holds across companies and indicators and also applies to the overall improvement potential of processes and their variants. Across all cases, process variants in the long tail were characterized by fewer customer contacts, lower execution frequencies, and a larger number of involved stakeholders, making them suitable candidates for distributed improvement © 2020 The Authors</v>
      </c>
      <c r="O72" s="9" t="s">
        <v>2545</v>
      </c>
      <c r="P72" s="12"/>
      <c r="Q72" s="53"/>
      <c r="R72" s="10" t="s">
        <v>2546</v>
      </c>
      <c r="S72" s="9" t="s">
        <v>2315</v>
      </c>
      <c r="T72" s="48"/>
      <c r="U72" s="6"/>
      <c r="V72" s="6"/>
      <c r="W72" s="6"/>
      <c r="X72" s="6"/>
      <c r="Y72" s="9"/>
      <c r="Z72" s="6"/>
      <c r="AA72" s="6"/>
      <c r="AB72" s="6"/>
      <c r="AC72" s="6"/>
      <c r="AD72" s="6"/>
      <c r="AE72" s="6"/>
      <c r="AF72" s="6"/>
      <c r="AG72" s="6"/>
    </row>
    <row r="73">
      <c r="A73" s="2" t="s">
        <v>20</v>
      </c>
      <c r="B73" s="2" t="s">
        <v>2547</v>
      </c>
      <c r="C73" s="2" t="s">
        <v>20</v>
      </c>
      <c r="D73" s="1" t="s">
        <v>2548</v>
      </c>
      <c r="E73" s="2"/>
      <c r="F73" s="2" t="s">
        <v>18</v>
      </c>
      <c r="G73" s="50" t="s">
        <v>2549</v>
      </c>
      <c r="H73" s="9">
        <v>2024.0</v>
      </c>
      <c r="I73" s="9" t="s">
        <v>2117</v>
      </c>
      <c r="J73" s="9" t="s">
        <v>2550</v>
      </c>
      <c r="K73" s="10" t="s">
        <v>2551</v>
      </c>
      <c r="L73" s="6">
        <f t="shared" si="14"/>
        <v>0</v>
      </c>
      <c r="M73" s="9" t="str">
        <f t="shared" si="2"/>
        <v>Title: Embracing Industry 4.0 paradigms for Digital Transformation at the Gran Telescopio Canarias</v>
      </c>
      <c r="N73" s="52" t="str">
        <f t="shared" si="3"/>
        <v>Abstract: The 10.4m Gran Telescopio Canarias or GTC currently stands as the world's largest infrared optical telescope, notable for its considerable scale and intricate operational complexities. It is operated by the Spanish state-owned company GRANTECAN S.A. The telescope aligns with prevailing trends in industry, emphasizing smart factory strategies rooted in Industry 4.0, with a recent pivot towards human-centric human-machine interaction (Industry 5.0). The initial focus was identified in refining connectivity and defining the typology of sensors for optimizing operations. This led to the implementation of an Industrial Internet of Things or IoT middleware, grounded in Fiware3. The incorporation of smart sensors, leveraging links and protocols like LoRaWAN, Bluetooth, and Wi-Fi, has been streamlined through MQTT connectivity while the integration of AI, edge computing, confined space control, flow management, electric vehicle charging, and photovoltaics represents a multifaceted technological augmentation. Looking ahead, the primary challenges lie in bolstering cybersecurity (Operations Technology or OT), achieving seamless integration with Business Process Management (BPM), advancing data analytics capabilities, standardizing prescriptive maintenance protocols, and refining logistics processes. It is now possible to obtain data and information in a flexible way from the systems, and they can interact with each other. The connection to higher decision layers and cost savings is now also an opportunity, together with the ease of deployment made possible by the system's scalability. This has allowed a real and tangible focus on anticipating action on maintenance and operations, rather than reacting to problems encountered, among other opportunities. © 2024 SPIE.</v>
      </c>
      <c r="O73" s="9" t="s">
        <v>2552</v>
      </c>
      <c r="P73" s="12"/>
      <c r="Q73" s="53"/>
      <c r="R73" s="9" t="s">
        <v>2553</v>
      </c>
      <c r="S73" s="12"/>
      <c r="T73" s="6"/>
      <c r="U73" s="6"/>
      <c r="V73" s="6"/>
      <c r="W73" s="6"/>
      <c r="X73" s="6"/>
      <c r="Y73" s="9"/>
      <c r="Z73" s="6"/>
      <c r="AA73" s="6"/>
      <c r="AB73" s="6"/>
      <c r="AC73" s="6"/>
      <c r="AD73" s="6"/>
      <c r="AE73" s="6"/>
      <c r="AF73" s="6"/>
      <c r="AG73" s="6"/>
    </row>
  </sheetData>
  <autoFilter ref="$A$1:$AG$73"/>
  <conditionalFormatting sqref="A1:F73">
    <cfRule type="expression" dxfId="0" priority="1">
      <formula>COUNTIF($F1,"Conforme")</formula>
    </cfRule>
  </conditionalFormatting>
  <conditionalFormatting sqref="A1:F73">
    <cfRule type="expression" dxfId="1" priority="2">
      <formula>COUNTIF($F1,"Inconforme")</formula>
    </cfRule>
  </conditionalFormatting>
  <conditionalFormatting sqref="A1:F73">
    <cfRule type="expression" dxfId="2" priority="3">
      <formula>$E1= "Duvida"</formula>
    </cfRule>
  </conditionalFormatting>
  <dataValidations>
    <dataValidation type="list" allowBlank="1" showErrorMessage="1" sqref="A2:A73 C2:C73 E2:F73">
      <formula1>"Conforme,Inconforme - Artigos com conteúdo pago,Inconforme -Artigos duplicados ou similares,Inconforme - Artigos indisponíveis para download ou visualização;,Inconforme - Artigos que não estejam relacionados com as perguntas de pequisa,Inconforme - Artigo"&amp;"s secundários,Inconforme,Duvida"</formula1>
    </dataValidation>
  </dataValidations>
  <hyperlinks>
    <hyperlink r:id="rId1" ref="K2"/>
    <hyperlink r:id="rId2" ref="O2"/>
    <hyperlink r:id="rId3" ref="K3"/>
    <hyperlink r:id="rId4" ref="K4"/>
    <hyperlink r:id="rId5" ref="K5"/>
    <hyperlink r:id="rId6" ref="K6"/>
    <hyperlink r:id="rId7" ref="K7"/>
    <hyperlink r:id="rId8" ref="K8"/>
    <hyperlink r:id="rId9" ref="K9"/>
    <hyperlink r:id="rId10" ref="K10"/>
    <hyperlink r:id="rId11" ref="K11"/>
    <hyperlink r:id="rId12" ref="K12"/>
    <hyperlink r:id="rId13" ref="K13"/>
    <hyperlink r:id="rId14" ref="K14"/>
    <hyperlink r:id="rId15" ref="K15"/>
    <hyperlink r:id="rId16" ref="K16"/>
    <hyperlink r:id="rId17" ref="K17"/>
    <hyperlink r:id="rId18" ref="O17"/>
    <hyperlink r:id="rId19" ref="K18"/>
    <hyperlink r:id="rId20" ref="K19"/>
    <hyperlink r:id="rId21" ref="K20"/>
    <hyperlink r:id="rId22" ref="K21"/>
    <hyperlink r:id="rId23" ref="K22"/>
    <hyperlink r:id="rId24" ref="K23"/>
    <hyperlink r:id="rId25" ref="K24"/>
    <hyperlink r:id="rId26" ref="K25"/>
    <hyperlink r:id="rId27" ref="K26"/>
    <hyperlink r:id="rId28" ref="K27"/>
    <hyperlink r:id="rId29" ref="K28"/>
    <hyperlink r:id="rId30" ref="K29"/>
    <hyperlink r:id="rId31" ref="K30"/>
    <hyperlink r:id="rId32" ref="K31"/>
    <hyperlink r:id="rId33" ref="K32"/>
    <hyperlink r:id="rId34" ref="K33"/>
    <hyperlink r:id="rId35" ref="R33"/>
    <hyperlink r:id="rId36" ref="K34"/>
    <hyperlink r:id="rId37" ref="K35"/>
    <hyperlink r:id="rId38" ref="R35"/>
    <hyperlink r:id="rId39" ref="K36"/>
    <hyperlink r:id="rId40" ref="K37"/>
    <hyperlink r:id="rId41" ref="K38"/>
    <hyperlink r:id="rId42" ref="K39"/>
    <hyperlink r:id="rId43" ref="K40"/>
    <hyperlink r:id="rId44" ref="K41"/>
    <hyperlink r:id="rId45" ref="K42"/>
    <hyperlink r:id="rId46" ref="K43"/>
    <hyperlink r:id="rId47" ref="K44"/>
    <hyperlink r:id="rId48" ref="K45"/>
    <hyperlink r:id="rId49" ref="K46"/>
    <hyperlink r:id="rId50" ref="K47"/>
    <hyperlink r:id="rId51" ref="K48"/>
    <hyperlink r:id="rId52" ref="K49"/>
    <hyperlink r:id="rId53" ref="K50"/>
    <hyperlink r:id="rId54" ref="K51"/>
    <hyperlink r:id="rId55" ref="K52"/>
    <hyperlink r:id="rId56" ref="K53"/>
    <hyperlink r:id="rId57" ref="K54"/>
    <hyperlink r:id="rId58" ref="K55"/>
    <hyperlink r:id="rId59" ref="K56"/>
    <hyperlink r:id="rId60" ref="K57"/>
    <hyperlink r:id="rId61" ref="K58"/>
    <hyperlink r:id="rId62" ref="K59"/>
    <hyperlink r:id="rId63" ref="K60"/>
    <hyperlink r:id="rId64" ref="K61"/>
    <hyperlink r:id="rId65" ref="K62"/>
    <hyperlink r:id="rId66" ref="K63"/>
    <hyperlink r:id="rId67" ref="K64"/>
    <hyperlink r:id="rId68" ref="K65"/>
    <hyperlink r:id="rId69" ref="K66"/>
    <hyperlink r:id="rId70" ref="K67"/>
    <hyperlink r:id="rId71" ref="K68"/>
    <hyperlink r:id="rId72" ref="K69"/>
    <hyperlink r:id="rId73" ref="K70"/>
    <hyperlink r:id="rId74" ref="K71"/>
    <hyperlink r:id="rId75" ref="K72"/>
    <hyperlink r:id="rId76" ref="R72"/>
    <hyperlink r:id="rId77" ref="K73"/>
  </hyperlinks>
  <drawing r:id="rId7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6" t="s">
        <v>2554</v>
      </c>
      <c r="B1" s="57"/>
      <c r="C1" s="57"/>
      <c r="D1" s="57"/>
      <c r="E1" s="57"/>
      <c r="F1" s="57"/>
      <c r="G1" s="57"/>
      <c r="H1" s="57"/>
      <c r="I1" s="57"/>
      <c r="J1" s="57"/>
      <c r="K1" s="58"/>
      <c r="L1" s="59"/>
      <c r="M1" s="59"/>
      <c r="N1" s="59"/>
      <c r="O1" s="59"/>
      <c r="P1" s="59"/>
      <c r="Q1" s="59"/>
      <c r="R1" s="59"/>
      <c r="S1" s="59"/>
      <c r="T1" s="59"/>
      <c r="U1" s="59"/>
      <c r="V1" s="59"/>
      <c r="W1" s="59"/>
      <c r="X1" s="59"/>
      <c r="Y1" s="59"/>
      <c r="Z1" s="59"/>
    </row>
    <row r="2">
      <c r="A2" s="60" t="s">
        <v>2555</v>
      </c>
      <c r="B2" s="57"/>
      <c r="C2" s="57"/>
      <c r="D2" s="57"/>
      <c r="E2" s="57"/>
      <c r="F2" s="57"/>
      <c r="G2" s="57"/>
      <c r="H2" s="57"/>
      <c r="I2" s="57"/>
      <c r="J2" s="57"/>
      <c r="K2" s="58"/>
      <c r="L2" s="59"/>
      <c r="M2" s="59"/>
      <c r="N2" s="59"/>
      <c r="O2" s="59"/>
      <c r="P2" s="59"/>
      <c r="Q2" s="59"/>
      <c r="R2" s="59"/>
      <c r="S2" s="59"/>
      <c r="T2" s="59"/>
      <c r="U2" s="59"/>
      <c r="V2" s="59"/>
      <c r="W2" s="59"/>
      <c r="X2" s="59"/>
      <c r="Y2" s="59"/>
      <c r="Z2" s="59"/>
    </row>
    <row r="3">
      <c r="A3" s="61"/>
      <c r="B3" s="57"/>
      <c r="C3" s="57"/>
      <c r="D3" s="57"/>
      <c r="E3" s="57"/>
      <c r="F3" s="57"/>
      <c r="G3" s="57"/>
      <c r="H3" s="57"/>
      <c r="I3" s="57"/>
      <c r="J3" s="57"/>
      <c r="K3" s="58"/>
      <c r="L3" s="59"/>
      <c r="M3" s="59"/>
      <c r="N3" s="59"/>
      <c r="O3" s="59"/>
      <c r="P3" s="59"/>
      <c r="Q3" s="59"/>
      <c r="R3" s="59"/>
      <c r="S3" s="59"/>
      <c r="T3" s="59"/>
      <c r="U3" s="59"/>
      <c r="V3" s="59"/>
      <c r="W3" s="59"/>
      <c r="X3" s="59"/>
      <c r="Y3" s="59"/>
      <c r="Z3" s="59"/>
    </row>
    <row r="4">
      <c r="A4" s="59"/>
      <c r="B4" s="59"/>
      <c r="C4" s="59"/>
      <c r="D4" s="59"/>
      <c r="E4" s="59"/>
      <c r="F4" s="59"/>
      <c r="G4" s="59"/>
      <c r="H4" s="59"/>
      <c r="I4" s="59"/>
      <c r="J4" s="59"/>
      <c r="K4" s="59"/>
      <c r="L4" s="59"/>
      <c r="M4" s="59"/>
      <c r="N4" s="59"/>
      <c r="O4" s="59"/>
      <c r="P4" s="59"/>
      <c r="Q4" s="59"/>
      <c r="R4" s="59"/>
      <c r="S4" s="59"/>
      <c r="T4" s="59"/>
      <c r="U4" s="59"/>
      <c r="V4" s="59"/>
      <c r="W4" s="59"/>
      <c r="X4" s="59"/>
      <c r="Y4" s="59"/>
      <c r="Z4" s="59"/>
    </row>
    <row r="5">
      <c r="A5" s="62" t="s">
        <v>2556</v>
      </c>
      <c r="B5" s="57"/>
      <c r="C5" s="58"/>
      <c r="D5" s="59"/>
      <c r="E5" s="59"/>
      <c r="F5" s="59"/>
      <c r="G5" s="59"/>
      <c r="H5" s="59"/>
      <c r="I5" s="59"/>
      <c r="J5" s="59"/>
      <c r="K5" s="59"/>
      <c r="L5" s="59"/>
      <c r="M5" s="59"/>
      <c r="N5" s="59"/>
      <c r="O5" s="59"/>
      <c r="P5" s="59"/>
      <c r="Q5" s="59"/>
      <c r="R5" s="59"/>
      <c r="S5" s="59"/>
      <c r="T5" s="59"/>
      <c r="U5" s="59"/>
      <c r="V5" s="59"/>
      <c r="W5" s="59"/>
      <c r="X5" s="59"/>
      <c r="Y5" s="59"/>
      <c r="Z5" s="59"/>
    </row>
    <row r="6">
      <c r="A6" s="63" t="s">
        <v>2557</v>
      </c>
      <c r="B6" s="63" t="s">
        <v>2558</v>
      </c>
      <c r="C6" s="63" t="s">
        <v>2559</v>
      </c>
      <c r="D6" s="59"/>
      <c r="E6" s="59"/>
      <c r="F6" s="59"/>
      <c r="G6" s="59"/>
      <c r="H6" s="59"/>
      <c r="I6" s="59"/>
      <c r="J6" s="59"/>
      <c r="K6" s="59"/>
      <c r="L6" s="59"/>
      <c r="M6" s="59"/>
      <c r="N6" s="59"/>
      <c r="O6" s="59"/>
      <c r="P6" s="59"/>
      <c r="Q6" s="59"/>
      <c r="R6" s="59"/>
      <c r="S6" s="59"/>
      <c r="T6" s="59"/>
      <c r="U6" s="59"/>
      <c r="V6" s="59"/>
      <c r="W6" s="59"/>
      <c r="X6" s="59"/>
      <c r="Y6" s="59"/>
      <c r="Z6" s="59"/>
    </row>
    <row r="7">
      <c r="A7" s="64" t="s">
        <v>2560</v>
      </c>
      <c r="B7" s="65">
        <f>COUNTA(Springer!F2:F76)</f>
        <v>75</v>
      </c>
      <c r="C7" s="65">
        <f>COUNTA(Springer!F2:F76)</f>
        <v>75</v>
      </c>
      <c r="D7" s="59"/>
      <c r="E7" s="59"/>
      <c r="F7" s="59"/>
      <c r="G7" s="59"/>
      <c r="H7" s="59"/>
      <c r="I7" s="59"/>
      <c r="J7" s="59"/>
      <c r="K7" s="59"/>
      <c r="L7" s="59"/>
      <c r="M7" s="59"/>
      <c r="N7" s="59"/>
      <c r="O7" s="59"/>
      <c r="P7" s="59"/>
      <c r="Q7" s="59"/>
      <c r="R7" s="59"/>
      <c r="S7" s="59"/>
      <c r="T7" s="59"/>
      <c r="U7" s="59"/>
      <c r="V7" s="59"/>
      <c r="W7" s="59"/>
      <c r="X7" s="59"/>
      <c r="Y7" s="59"/>
      <c r="Z7" s="59"/>
    </row>
    <row r="8">
      <c r="A8" s="66" t="s">
        <v>2561</v>
      </c>
      <c r="B8" s="67">
        <f>COUNTIF(Springer!F2:F76,"Conforme")+COUNTIF(Springer!F2:F76,"Inconforme -Artigos duplicados ou similares")</f>
        <v>15</v>
      </c>
      <c r="C8" s="67">
        <f>COUNTIF(Springer!F2:F76,"Conforme")+COUNTIF(Springer!F2:F76,"Inconforme -Artigos duplicados ou similares")</f>
        <v>15</v>
      </c>
      <c r="D8" s="59"/>
      <c r="E8" s="59"/>
      <c r="F8" s="59"/>
      <c r="G8" s="59"/>
      <c r="H8" s="59"/>
      <c r="I8" s="59"/>
      <c r="J8" s="59"/>
      <c r="K8" s="59"/>
      <c r="L8" s="59"/>
      <c r="M8" s="59"/>
      <c r="N8" s="59"/>
      <c r="O8" s="59"/>
      <c r="P8" s="59"/>
      <c r="Q8" s="59"/>
      <c r="R8" s="59"/>
      <c r="S8" s="59"/>
      <c r="T8" s="59"/>
      <c r="U8" s="59"/>
      <c r="V8" s="59"/>
      <c r="W8" s="59"/>
      <c r="X8" s="59"/>
      <c r="Y8" s="59"/>
      <c r="Z8" s="59"/>
    </row>
    <row r="9">
      <c r="A9" s="68" t="s">
        <v>2562</v>
      </c>
      <c r="B9" s="69">
        <f>COUNTIF(Springer!F2:F76,"Inconforme")</f>
        <v>60</v>
      </c>
      <c r="C9" s="69">
        <f>COUNTIF(Springer!F2:F76,"Inconforme")</f>
        <v>60</v>
      </c>
      <c r="D9" s="59"/>
      <c r="E9" s="59"/>
      <c r="F9" s="59"/>
      <c r="G9" s="59"/>
      <c r="H9" s="59"/>
      <c r="I9" s="59"/>
      <c r="J9" s="59"/>
      <c r="K9" s="59"/>
      <c r="L9" s="59"/>
      <c r="M9" s="59"/>
      <c r="N9" s="59"/>
      <c r="O9" s="59"/>
      <c r="P9" s="59"/>
      <c r="Q9" s="59"/>
      <c r="R9" s="59"/>
      <c r="S9" s="59"/>
      <c r="T9" s="59"/>
      <c r="U9" s="59"/>
      <c r="V9" s="59"/>
      <c r="W9" s="59"/>
      <c r="X9" s="59"/>
      <c r="Y9" s="59"/>
      <c r="Z9" s="59"/>
    </row>
    <row r="10">
      <c r="A10" s="70" t="s">
        <v>2563</v>
      </c>
      <c r="B10" s="71">
        <f>COUNTA(Springer!F2:F76)-COUNTIF(Springer!F2:F76,"Conforme")-COUNTIF(Springer!F2:F76,"Inconforme")-COUNTIF(Springer!F2:F76,"Inconforme -Artigos duplicados ou similares")</f>
        <v>0</v>
      </c>
      <c r="C10" s="71">
        <f>COUNTA(Springer!F2:F76)-COUNTIF(Springer!F2:F76,"Conforme")-COUNTIF(Springer!F2:F76,"Inconforme")-COUNTIF(Springer!F2:F76,"Inconforme -Artigos duplicados ou similares")</f>
        <v>0</v>
      </c>
      <c r="D10" s="59"/>
      <c r="E10" s="59"/>
      <c r="F10" s="59"/>
      <c r="G10" s="59"/>
      <c r="H10" s="59"/>
      <c r="I10" s="59"/>
      <c r="J10" s="59"/>
      <c r="K10" s="59"/>
      <c r="L10" s="59"/>
      <c r="M10" s="59"/>
      <c r="N10" s="59"/>
      <c r="O10" s="59"/>
      <c r="P10" s="59"/>
      <c r="Q10" s="59"/>
      <c r="R10" s="59"/>
      <c r="S10" s="59"/>
      <c r="T10" s="59"/>
      <c r="U10" s="59"/>
      <c r="V10" s="59"/>
      <c r="W10" s="59"/>
      <c r="X10" s="59"/>
      <c r="Y10" s="59"/>
      <c r="Z10" s="59"/>
    </row>
    <row r="11">
      <c r="A11" s="70" t="s">
        <v>2564</v>
      </c>
      <c r="B11" s="71">
        <f>COUNTBLANK(Springer!A2:A76)</f>
        <v>0</v>
      </c>
      <c r="C11" s="71" t="s">
        <v>2565</v>
      </c>
      <c r="D11" s="59"/>
      <c r="E11" s="59"/>
      <c r="F11" s="59"/>
      <c r="G11" s="59"/>
      <c r="H11" s="59"/>
      <c r="I11" s="59"/>
      <c r="J11" s="59"/>
      <c r="K11" s="59"/>
      <c r="L11" s="59"/>
      <c r="M11" s="59"/>
      <c r="N11" s="59"/>
      <c r="O11" s="59"/>
      <c r="P11" s="59"/>
      <c r="Q11" s="59"/>
      <c r="R11" s="59"/>
      <c r="S11" s="59"/>
      <c r="T11" s="59"/>
      <c r="U11" s="59"/>
      <c r="V11" s="59"/>
      <c r="W11" s="59"/>
      <c r="X11" s="59"/>
      <c r="Y11" s="59"/>
      <c r="Z11" s="59"/>
    </row>
    <row r="12">
      <c r="A12" s="70" t="s">
        <v>2566</v>
      </c>
      <c r="B12" s="71" t="s">
        <v>2565</v>
      </c>
      <c r="C12" s="71">
        <f>COUNTBLANK(Springer!C2:C76)</f>
        <v>0</v>
      </c>
      <c r="D12" s="59"/>
      <c r="E12" s="59"/>
      <c r="F12" s="59"/>
      <c r="G12" s="59"/>
      <c r="H12" s="59"/>
      <c r="I12" s="59"/>
      <c r="J12" s="59"/>
      <c r="K12" s="59"/>
      <c r="L12" s="59"/>
      <c r="M12" s="59"/>
      <c r="N12" s="59"/>
      <c r="O12" s="59"/>
      <c r="P12" s="59"/>
      <c r="Q12" s="59"/>
      <c r="R12" s="59"/>
      <c r="S12" s="59"/>
      <c r="T12" s="59"/>
      <c r="U12" s="59"/>
      <c r="V12" s="59"/>
      <c r="W12" s="59"/>
      <c r="X12" s="59"/>
      <c r="Y12" s="59"/>
      <c r="Z12" s="59"/>
    </row>
    <row r="13">
      <c r="A13" s="59"/>
      <c r="B13" s="59"/>
      <c r="C13" s="59"/>
      <c r="D13" s="59"/>
      <c r="E13" s="59"/>
      <c r="F13" s="59"/>
      <c r="G13" s="59"/>
      <c r="H13" s="59"/>
      <c r="I13" s="59"/>
      <c r="J13" s="59"/>
      <c r="K13" s="59"/>
      <c r="L13" s="59"/>
      <c r="M13" s="59"/>
      <c r="N13" s="59"/>
      <c r="O13" s="59"/>
      <c r="P13" s="59"/>
      <c r="Q13" s="59"/>
      <c r="R13" s="59"/>
      <c r="S13" s="59"/>
      <c r="T13" s="59"/>
      <c r="U13" s="59"/>
      <c r="V13" s="59"/>
      <c r="W13" s="59"/>
      <c r="X13" s="59"/>
      <c r="Y13" s="59"/>
      <c r="Z13" s="59"/>
    </row>
    <row r="14">
      <c r="A14" s="66" t="s">
        <v>2567</v>
      </c>
      <c r="B14" s="67">
        <f>COUNTIFS(Springer!A2:A76,"Conforme",Springer!F2:F76,"Conforme")+COUNTIFS(Springer!A2:A76,"Conforme",Springer!F2:F76,"Inconforme -Artigos duplicados ou similares")</f>
        <v>9</v>
      </c>
      <c r="C14" s="67">
        <f>COUNTIFS(Springer!C2:C76,"Conforme",Springer!F2:F76,"Conforme")+COUNTIFS(Springer!C2:C76,"Conforme",Springer!F2:F76,"Inconforme -Artigos duplicados ou similares")</f>
        <v>5</v>
      </c>
      <c r="D14" s="59"/>
      <c r="E14" s="59"/>
      <c r="F14" s="59"/>
      <c r="G14" s="59"/>
      <c r="H14" s="59"/>
      <c r="I14" s="59"/>
      <c r="J14" s="59"/>
      <c r="K14" s="59"/>
      <c r="L14" s="59"/>
      <c r="M14" s="59"/>
      <c r="N14" s="59"/>
      <c r="O14" s="59"/>
      <c r="P14" s="59"/>
      <c r="Q14" s="59"/>
      <c r="R14" s="59"/>
      <c r="S14" s="59"/>
      <c r="T14" s="59"/>
      <c r="U14" s="59"/>
      <c r="V14" s="59"/>
      <c r="W14" s="59"/>
      <c r="X14" s="59"/>
      <c r="Y14" s="59"/>
      <c r="Z14" s="59"/>
    </row>
    <row r="15">
      <c r="A15" s="66" t="s">
        <v>2568</v>
      </c>
      <c r="B15" s="67">
        <f>COUNTIFS(Springer!A2:A76,"Inconforme",Springer!F2:F76,"Inconforme")</f>
        <v>60</v>
      </c>
      <c r="C15" s="67">
        <f>COUNTIFS(Springer!C2:C76,"Inconforme",Springer!F2:F76,"Inconforme")</f>
        <v>60</v>
      </c>
      <c r="D15" s="59"/>
      <c r="E15" s="59"/>
      <c r="F15" s="59"/>
      <c r="G15" s="59"/>
      <c r="H15" s="59"/>
      <c r="I15" s="59"/>
      <c r="J15" s="59"/>
      <c r="K15" s="59"/>
      <c r="L15" s="59"/>
      <c r="M15" s="59"/>
      <c r="N15" s="59"/>
      <c r="O15" s="59"/>
      <c r="P15" s="59"/>
      <c r="Q15" s="59"/>
      <c r="R15" s="59"/>
      <c r="S15" s="59"/>
      <c r="T15" s="59"/>
      <c r="U15" s="59"/>
      <c r="V15" s="59"/>
      <c r="W15" s="59"/>
      <c r="X15" s="59"/>
      <c r="Y15" s="59"/>
      <c r="Z15" s="59"/>
    </row>
    <row r="16">
      <c r="A16" s="68" t="s">
        <v>2569</v>
      </c>
      <c r="B16" s="69">
        <f>COUNTIFS(Springer!A2:A76,"Conforme",Springer!F2:F76,"Inconforme")</f>
        <v>0</v>
      </c>
      <c r="C16" s="69">
        <f>COUNTIFS(Springer!C2:C76,"Conforme",Springer!F2:F76,"Inconforme")</f>
        <v>0</v>
      </c>
      <c r="D16" s="59"/>
      <c r="E16" s="59"/>
      <c r="F16" s="59"/>
      <c r="G16" s="59"/>
      <c r="H16" s="59"/>
      <c r="I16" s="59"/>
      <c r="J16" s="59"/>
      <c r="K16" s="59"/>
      <c r="L16" s="59"/>
      <c r="M16" s="59"/>
      <c r="N16" s="59"/>
      <c r="O16" s="59"/>
      <c r="P16" s="59"/>
      <c r="Q16" s="59"/>
      <c r="R16" s="59"/>
      <c r="S16" s="59"/>
      <c r="T16" s="59"/>
      <c r="U16" s="59"/>
      <c r="V16" s="59"/>
      <c r="W16" s="59"/>
      <c r="X16" s="59"/>
      <c r="Y16" s="59"/>
      <c r="Z16" s="59"/>
    </row>
    <row r="17">
      <c r="A17" s="68" t="s">
        <v>2570</v>
      </c>
      <c r="B17" s="69">
        <f>COUNTIFS(Springer!A2:A76,"Inconforme",Springer!F2:F76,"Conforme")+COUNTIFS(Springer!A2:A76,"Inconforme",Springer!F2:F76,"Inconforme -Artigos duplicados ou similares")</f>
        <v>6</v>
      </c>
      <c r="C17" s="69">
        <f>COUNTIFS(Springer!C2:C76,"Inconforme",Springer!F2:F76,"Conforme")+COUNTIFS(Springer!C2:C76,"Inconforme",Springer!F2:F76,"Inconforme -Artigos duplicados ou similares")</f>
        <v>10</v>
      </c>
      <c r="D17" s="59"/>
      <c r="E17" s="59"/>
      <c r="F17" s="59"/>
      <c r="G17" s="59"/>
      <c r="H17" s="59"/>
      <c r="I17" s="59"/>
      <c r="J17" s="59"/>
      <c r="K17" s="59"/>
      <c r="L17" s="59"/>
      <c r="M17" s="59"/>
      <c r="N17" s="59"/>
      <c r="O17" s="59"/>
      <c r="P17" s="59"/>
      <c r="Q17" s="59"/>
      <c r="R17" s="59"/>
      <c r="S17" s="59"/>
      <c r="T17" s="59"/>
      <c r="U17" s="59"/>
      <c r="V17" s="59"/>
      <c r="W17" s="59"/>
      <c r="X17" s="59"/>
      <c r="Y17" s="59"/>
      <c r="Z17" s="59"/>
    </row>
    <row r="18">
      <c r="A18" s="66" t="s">
        <v>2571</v>
      </c>
      <c r="B18" s="67">
        <f t="shared" ref="B18:C18" si="1">B14+B15</f>
        <v>69</v>
      </c>
      <c r="C18" s="67">
        <f t="shared" si="1"/>
        <v>65</v>
      </c>
      <c r="D18" s="59"/>
      <c r="E18" s="59"/>
      <c r="F18" s="59"/>
      <c r="G18" s="59"/>
      <c r="H18" s="59"/>
      <c r="I18" s="59"/>
      <c r="J18" s="59"/>
      <c r="K18" s="59"/>
      <c r="L18" s="59"/>
      <c r="M18" s="59"/>
      <c r="N18" s="59"/>
      <c r="O18" s="59"/>
      <c r="P18" s="59"/>
      <c r="Q18" s="59"/>
      <c r="R18" s="59"/>
      <c r="S18" s="59"/>
      <c r="T18" s="59"/>
      <c r="U18" s="59"/>
      <c r="V18" s="59"/>
      <c r="W18" s="59"/>
      <c r="X18" s="59"/>
      <c r="Y18" s="59"/>
      <c r="Z18" s="59"/>
    </row>
    <row r="19">
      <c r="A19" s="68" t="s">
        <v>2572</v>
      </c>
      <c r="B19" s="69">
        <f t="shared" ref="B19:C19" si="2">B16+B17</f>
        <v>6</v>
      </c>
      <c r="C19" s="69">
        <f t="shared" si="2"/>
        <v>10</v>
      </c>
      <c r="D19" s="59"/>
      <c r="E19" s="59"/>
      <c r="F19" s="59"/>
      <c r="G19" s="59"/>
      <c r="H19" s="59"/>
      <c r="I19" s="59"/>
      <c r="J19" s="59"/>
      <c r="K19" s="59"/>
      <c r="L19" s="59"/>
      <c r="M19" s="59"/>
      <c r="N19" s="59"/>
      <c r="O19" s="59"/>
      <c r="P19" s="59"/>
      <c r="Q19" s="59"/>
      <c r="R19" s="59"/>
      <c r="S19" s="59"/>
      <c r="T19" s="59"/>
      <c r="U19" s="59"/>
      <c r="V19" s="59"/>
      <c r="W19" s="59"/>
      <c r="X19" s="59"/>
      <c r="Y19" s="59"/>
      <c r="Z19" s="59"/>
    </row>
    <row r="20">
      <c r="A20" s="59"/>
      <c r="B20" s="59"/>
      <c r="C20" s="59"/>
      <c r="D20" s="59"/>
      <c r="E20" s="59"/>
      <c r="F20" s="59"/>
      <c r="G20" s="59"/>
      <c r="H20" s="59"/>
      <c r="I20" s="59"/>
      <c r="J20" s="59"/>
      <c r="K20" s="59"/>
      <c r="L20" s="59"/>
      <c r="M20" s="59"/>
      <c r="N20" s="59"/>
      <c r="O20" s="59"/>
      <c r="P20" s="59"/>
      <c r="Q20" s="59"/>
      <c r="R20" s="59"/>
      <c r="S20" s="59"/>
      <c r="T20" s="59"/>
      <c r="U20" s="59"/>
      <c r="V20" s="59"/>
      <c r="W20" s="59"/>
      <c r="X20" s="59"/>
      <c r="Y20" s="59"/>
      <c r="Z20" s="59"/>
    </row>
    <row r="21">
      <c r="A21" s="72" t="s">
        <v>2573</v>
      </c>
      <c r="B21" s="73">
        <f t="shared" ref="B21:C21" si="3">IFERROR((B14+B15)/B7,"N/A")</f>
        <v>0.92</v>
      </c>
      <c r="C21" s="73">
        <f t="shared" si="3"/>
        <v>0.8666666667</v>
      </c>
      <c r="D21" s="59"/>
      <c r="E21" s="59"/>
      <c r="F21" s="59"/>
      <c r="G21" s="59"/>
      <c r="H21" s="59"/>
      <c r="I21" s="59"/>
      <c r="J21" s="59"/>
      <c r="K21" s="59"/>
      <c r="L21" s="59"/>
      <c r="M21" s="59"/>
      <c r="N21" s="59"/>
      <c r="O21" s="59"/>
      <c r="P21" s="59"/>
      <c r="Q21" s="59"/>
      <c r="R21" s="59"/>
      <c r="S21" s="59"/>
      <c r="T21" s="59"/>
      <c r="U21" s="59"/>
      <c r="V21" s="59"/>
      <c r="W21" s="59"/>
      <c r="X21" s="59"/>
      <c r="Y21" s="59"/>
      <c r="Z21" s="59"/>
    </row>
    <row r="22">
      <c r="A22" s="72" t="s">
        <v>2574</v>
      </c>
      <c r="B22" s="73">
        <f t="shared" ref="B22:C22" si="4">IFERROR(B14/(B14+B16),"N/A")</f>
        <v>1</v>
      </c>
      <c r="C22" s="73">
        <f t="shared" si="4"/>
        <v>1</v>
      </c>
      <c r="D22" s="59"/>
      <c r="E22" s="59"/>
      <c r="F22" s="59"/>
      <c r="G22" s="59"/>
      <c r="H22" s="59"/>
      <c r="I22" s="59"/>
      <c r="J22" s="59"/>
      <c r="K22" s="59"/>
      <c r="L22" s="59"/>
      <c r="M22" s="59"/>
      <c r="N22" s="59"/>
      <c r="O22" s="59"/>
      <c r="P22" s="59"/>
      <c r="Q22" s="59"/>
      <c r="R22" s="59"/>
      <c r="S22" s="59"/>
      <c r="T22" s="59"/>
      <c r="U22" s="59"/>
      <c r="V22" s="59"/>
      <c r="W22" s="59"/>
      <c r="X22" s="59"/>
      <c r="Y22" s="59"/>
      <c r="Z22" s="59"/>
    </row>
    <row r="23">
      <c r="A23" s="72" t="s">
        <v>2575</v>
      </c>
      <c r="B23" s="73">
        <f t="shared" ref="B23:C23" si="5">IFERROR(B14/(B14+B17),"N/A")</f>
        <v>0.6</v>
      </c>
      <c r="C23" s="73">
        <f t="shared" si="5"/>
        <v>0.3333333333</v>
      </c>
      <c r="D23" s="59"/>
      <c r="E23" s="59"/>
      <c r="F23" s="59"/>
      <c r="G23" s="59"/>
      <c r="H23" s="59"/>
      <c r="I23" s="59"/>
      <c r="J23" s="59"/>
      <c r="K23" s="59"/>
      <c r="L23" s="59"/>
      <c r="M23" s="59"/>
      <c r="N23" s="59"/>
      <c r="O23" s="59"/>
      <c r="P23" s="59"/>
      <c r="Q23" s="59"/>
      <c r="R23" s="59"/>
      <c r="S23" s="59"/>
      <c r="T23" s="59"/>
      <c r="U23" s="59"/>
      <c r="V23" s="59"/>
      <c r="W23" s="59"/>
      <c r="X23" s="59"/>
      <c r="Y23" s="59"/>
      <c r="Z23" s="59"/>
    </row>
    <row r="24">
      <c r="A24" s="72" t="s">
        <v>2576</v>
      </c>
      <c r="B24" s="73">
        <f t="shared" ref="B24:C24" si="6">IFERROR(2*B22*B23/(B22+B23),"N/A")</f>
        <v>0.75</v>
      </c>
      <c r="C24" s="73">
        <f t="shared" si="6"/>
        <v>0.5</v>
      </c>
      <c r="D24" s="59"/>
      <c r="E24" s="59"/>
      <c r="F24" s="59"/>
      <c r="G24" s="59"/>
      <c r="H24" s="59"/>
      <c r="I24" s="59"/>
      <c r="J24" s="59"/>
      <c r="K24" s="59"/>
      <c r="L24" s="59"/>
      <c r="M24" s="59"/>
      <c r="N24" s="59"/>
      <c r="O24" s="59"/>
      <c r="P24" s="59"/>
      <c r="Q24" s="59"/>
      <c r="R24" s="59"/>
      <c r="S24" s="59"/>
      <c r="T24" s="59"/>
      <c r="U24" s="59"/>
      <c r="V24" s="59"/>
      <c r="W24" s="59"/>
      <c r="X24" s="59"/>
      <c r="Y24" s="59"/>
      <c r="Z24" s="59"/>
    </row>
    <row r="25">
      <c r="A25" s="59"/>
      <c r="B25" s="59"/>
      <c r="C25" s="59"/>
      <c r="D25" s="59"/>
      <c r="E25" s="59"/>
      <c r="F25" s="59"/>
      <c r="G25" s="59"/>
      <c r="H25" s="59"/>
      <c r="I25" s="59"/>
      <c r="J25" s="59"/>
      <c r="K25" s="59"/>
      <c r="L25" s="59"/>
      <c r="M25" s="59"/>
      <c r="N25" s="59"/>
      <c r="O25" s="59"/>
      <c r="P25" s="59"/>
      <c r="Q25" s="59"/>
      <c r="R25" s="59"/>
      <c r="S25" s="59"/>
      <c r="T25" s="59"/>
      <c r="U25" s="59"/>
      <c r="V25" s="59"/>
      <c r="W25" s="59"/>
      <c r="X25" s="59"/>
      <c r="Y25" s="59"/>
      <c r="Z25" s="59"/>
    </row>
    <row r="26">
      <c r="A26" s="62" t="s">
        <v>2577</v>
      </c>
      <c r="B26" s="57"/>
      <c r="C26" s="58"/>
      <c r="D26" s="59"/>
      <c r="E26" s="59"/>
      <c r="F26" s="59"/>
      <c r="G26" s="59"/>
      <c r="H26" s="59"/>
      <c r="I26" s="59"/>
      <c r="J26" s="59"/>
      <c r="K26" s="59"/>
      <c r="L26" s="59"/>
      <c r="M26" s="59"/>
      <c r="N26" s="59"/>
      <c r="O26" s="59"/>
      <c r="P26" s="59"/>
      <c r="Q26" s="59"/>
      <c r="R26" s="59"/>
      <c r="S26" s="59"/>
      <c r="T26" s="59"/>
      <c r="U26" s="59"/>
      <c r="V26" s="59"/>
      <c r="W26" s="59"/>
      <c r="X26" s="59"/>
      <c r="Y26" s="59"/>
      <c r="Z26" s="59"/>
    </row>
    <row r="27">
      <c r="A27" s="63" t="s">
        <v>2557</v>
      </c>
      <c r="B27" s="63" t="s">
        <v>2558</v>
      </c>
      <c r="C27" s="63" t="s">
        <v>2559</v>
      </c>
      <c r="D27" s="59"/>
      <c r="E27" s="59"/>
      <c r="F27" s="59"/>
      <c r="G27" s="59"/>
      <c r="H27" s="59"/>
      <c r="I27" s="59"/>
      <c r="J27" s="59"/>
      <c r="K27" s="59"/>
      <c r="L27" s="59"/>
      <c r="M27" s="59"/>
      <c r="N27" s="59"/>
      <c r="O27" s="59"/>
      <c r="P27" s="59"/>
      <c r="Q27" s="59"/>
      <c r="R27" s="59"/>
      <c r="S27" s="59"/>
      <c r="T27" s="59"/>
      <c r="U27" s="59"/>
      <c r="V27" s="59"/>
      <c r="W27" s="59"/>
      <c r="X27" s="59"/>
      <c r="Y27" s="59"/>
      <c r="Z27" s="59"/>
    </row>
    <row r="28">
      <c r="A28" s="70" t="s">
        <v>2560</v>
      </c>
      <c r="B28" s="71">
        <f>COUNTA(IEEE!F2:F78)</f>
        <v>77</v>
      </c>
      <c r="C28" s="71">
        <f>COUNTA(IEEE!F2:F78)</f>
        <v>77</v>
      </c>
      <c r="D28" s="59"/>
      <c r="E28" s="59"/>
      <c r="F28" s="59"/>
      <c r="G28" s="59"/>
      <c r="H28" s="59"/>
      <c r="I28" s="59"/>
      <c r="J28" s="59"/>
      <c r="K28" s="59"/>
      <c r="L28" s="59"/>
      <c r="M28" s="59"/>
      <c r="N28" s="59"/>
      <c r="O28" s="59"/>
      <c r="P28" s="59"/>
      <c r="Q28" s="59"/>
      <c r="R28" s="59"/>
      <c r="S28" s="59"/>
      <c r="T28" s="59"/>
      <c r="U28" s="59"/>
      <c r="V28" s="59"/>
      <c r="W28" s="59"/>
      <c r="X28" s="59"/>
      <c r="Y28" s="59"/>
      <c r="Z28" s="59"/>
    </row>
    <row r="29">
      <c r="A29" s="66" t="s">
        <v>2561</v>
      </c>
      <c r="B29" s="67">
        <f>COUNTIF(IEEE!F2:F78,"Conforme")+COUNTIF(IEEE!F2:F78,"Inconforme -Artigos duplicados ou similares")</f>
        <v>23</v>
      </c>
      <c r="C29" s="67">
        <f>COUNTIF(IEEE!F2:F78,"Conforme")+COUNTIF(IEEE!F2:F78,"Inconforme -Artigos duplicados ou similares")</f>
        <v>23</v>
      </c>
      <c r="D29" s="59"/>
      <c r="E29" s="59"/>
      <c r="F29" s="59"/>
      <c r="G29" s="59"/>
      <c r="H29" s="59"/>
      <c r="I29" s="59"/>
      <c r="J29" s="59"/>
      <c r="K29" s="59"/>
      <c r="L29" s="59"/>
      <c r="M29" s="59"/>
      <c r="N29" s="59"/>
      <c r="O29" s="59"/>
      <c r="P29" s="59"/>
      <c r="Q29" s="59"/>
      <c r="R29" s="59"/>
      <c r="S29" s="59"/>
      <c r="T29" s="59"/>
      <c r="U29" s="59"/>
      <c r="V29" s="59"/>
      <c r="W29" s="59"/>
      <c r="X29" s="59"/>
      <c r="Y29" s="59"/>
      <c r="Z29" s="59"/>
    </row>
    <row r="30">
      <c r="A30" s="68" t="s">
        <v>2562</v>
      </c>
      <c r="B30" s="69">
        <f>COUNTIF(IEEE!F2:F78,"Inconforme")</f>
        <v>54</v>
      </c>
      <c r="C30" s="69">
        <f>COUNTIF(IEEE!F2:F78,"Inconforme")</f>
        <v>54</v>
      </c>
      <c r="D30" s="59"/>
      <c r="E30" s="59"/>
      <c r="F30" s="59"/>
      <c r="G30" s="59"/>
      <c r="H30" s="59"/>
      <c r="I30" s="59"/>
      <c r="J30" s="59"/>
      <c r="K30" s="59"/>
      <c r="L30" s="59"/>
      <c r="M30" s="59"/>
      <c r="N30" s="59"/>
      <c r="O30" s="59"/>
      <c r="P30" s="59"/>
      <c r="Q30" s="59"/>
      <c r="R30" s="59"/>
      <c r="S30" s="59"/>
      <c r="T30" s="59"/>
      <c r="U30" s="59"/>
      <c r="V30" s="59"/>
      <c r="W30" s="59"/>
      <c r="X30" s="59"/>
      <c r="Y30" s="59"/>
      <c r="Z30" s="59"/>
    </row>
    <row r="31">
      <c r="A31" s="70" t="s">
        <v>2563</v>
      </c>
      <c r="B31" s="71">
        <f>COUNTA(IEEE!F2:F78)-COUNTIF(IEEE!F2:F78,"Conforme")-COUNTIF(IEEE!F2:F78,"Inconforme")-COUNTIF(IEEE!F2:F78,"Inconforme -Artigos duplicados ou similares")</f>
        <v>0</v>
      </c>
      <c r="C31" s="71">
        <f>COUNTA(IEEE!F2:F78)-COUNTIF(IEEE!F2:F78,"Conforme")-COUNTIF(IEEE!F2:F78,"Inconforme")-COUNTIF(IEEE!F2:F78,"Inconforme -Artigos duplicados ou similares")</f>
        <v>0</v>
      </c>
      <c r="D31" s="59"/>
      <c r="E31" s="59"/>
      <c r="F31" s="59"/>
      <c r="G31" s="59"/>
      <c r="H31" s="59"/>
      <c r="I31" s="59"/>
      <c r="J31" s="59"/>
      <c r="K31" s="59"/>
      <c r="L31" s="59"/>
      <c r="M31" s="59"/>
      <c r="N31" s="59"/>
      <c r="O31" s="59"/>
      <c r="P31" s="59"/>
      <c r="Q31" s="59"/>
      <c r="R31" s="59"/>
      <c r="S31" s="59"/>
      <c r="T31" s="59"/>
      <c r="U31" s="59"/>
      <c r="V31" s="59"/>
      <c r="W31" s="59"/>
      <c r="X31" s="59"/>
      <c r="Y31" s="59"/>
      <c r="Z31" s="59"/>
    </row>
    <row r="32">
      <c r="A32" s="70" t="s">
        <v>2564</v>
      </c>
      <c r="B32" s="71">
        <f>COUNTBLANK(IEEE!A2:A78)</f>
        <v>0</v>
      </c>
      <c r="C32" s="71" t="s">
        <v>2565</v>
      </c>
      <c r="D32" s="59"/>
      <c r="E32" s="59"/>
      <c r="F32" s="59"/>
      <c r="G32" s="59"/>
      <c r="H32" s="59"/>
      <c r="I32" s="59"/>
      <c r="J32" s="59"/>
      <c r="K32" s="59"/>
      <c r="L32" s="59"/>
      <c r="M32" s="59"/>
      <c r="N32" s="59"/>
      <c r="O32" s="59"/>
      <c r="P32" s="59"/>
      <c r="Q32" s="59"/>
      <c r="R32" s="59"/>
      <c r="S32" s="59"/>
      <c r="T32" s="59"/>
      <c r="U32" s="59"/>
      <c r="V32" s="59"/>
      <c r="W32" s="59"/>
      <c r="X32" s="59"/>
      <c r="Y32" s="59"/>
      <c r="Z32" s="59"/>
    </row>
    <row r="33">
      <c r="A33" s="70" t="s">
        <v>2566</v>
      </c>
      <c r="B33" s="71" t="s">
        <v>2565</v>
      </c>
      <c r="C33" s="71">
        <f>COUNTBLANK(IEEE!C2:C78)</f>
        <v>0</v>
      </c>
      <c r="D33" s="59"/>
      <c r="E33" s="59"/>
      <c r="F33" s="59"/>
      <c r="G33" s="59"/>
      <c r="H33" s="59"/>
      <c r="I33" s="59"/>
      <c r="J33" s="59"/>
      <c r="K33" s="59"/>
      <c r="L33" s="59"/>
      <c r="M33" s="59"/>
      <c r="N33" s="59"/>
      <c r="O33" s="59"/>
      <c r="P33" s="59"/>
      <c r="Q33" s="59"/>
      <c r="R33" s="59"/>
      <c r="S33" s="59"/>
      <c r="T33" s="59"/>
      <c r="U33" s="59"/>
      <c r="V33" s="59"/>
      <c r="W33" s="59"/>
      <c r="X33" s="59"/>
      <c r="Y33" s="59"/>
      <c r="Z33" s="59"/>
    </row>
    <row r="34">
      <c r="A34" s="59"/>
      <c r="B34" s="59"/>
      <c r="C34" s="59"/>
      <c r="D34" s="59"/>
      <c r="E34" s="59"/>
      <c r="F34" s="59"/>
      <c r="G34" s="59"/>
      <c r="H34" s="59"/>
      <c r="I34" s="59"/>
      <c r="J34" s="59"/>
      <c r="K34" s="59"/>
      <c r="L34" s="59"/>
      <c r="M34" s="59"/>
      <c r="N34" s="59"/>
      <c r="O34" s="59"/>
      <c r="P34" s="59"/>
      <c r="Q34" s="59"/>
      <c r="R34" s="59"/>
      <c r="S34" s="59"/>
      <c r="T34" s="59"/>
      <c r="U34" s="59"/>
      <c r="V34" s="59"/>
      <c r="W34" s="59"/>
      <c r="X34" s="59"/>
      <c r="Y34" s="59"/>
      <c r="Z34" s="59"/>
    </row>
    <row r="35">
      <c r="A35" s="66" t="s">
        <v>2567</v>
      </c>
      <c r="B35" s="67">
        <f>COUNTIFS(IEEE!A2:A78,"Conforme",IEEE!F2:F78,"Conforme")+COUNTIFS(IEEE!A2:A78,"Conforme",IEEE!F2:F78,"Inconforme -Artigos duplicados ou similares")</f>
        <v>15</v>
      </c>
      <c r="C35" s="67">
        <f>COUNTIFS(IEEE!C2:C78,"Conforme",IEEE!F2:F78,"Conforme")+COUNTIFS(IEEE!C2:C78,"Conforme",IEEE!F2:F78,"Inconforme -Artigos duplicados ou similares")</f>
        <v>16</v>
      </c>
      <c r="D35" s="59"/>
      <c r="E35" s="59"/>
      <c r="F35" s="59"/>
      <c r="G35" s="59"/>
      <c r="H35" s="59"/>
      <c r="I35" s="59"/>
      <c r="J35" s="59"/>
      <c r="K35" s="59"/>
      <c r="L35" s="59"/>
      <c r="M35" s="59"/>
      <c r="N35" s="59"/>
      <c r="O35" s="59"/>
      <c r="P35" s="59"/>
      <c r="Q35" s="59"/>
      <c r="R35" s="59"/>
      <c r="S35" s="59"/>
      <c r="T35" s="59"/>
      <c r="U35" s="59"/>
      <c r="V35" s="59"/>
      <c r="W35" s="59"/>
      <c r="X35" s="59"/>
      <c r="Y35" s="59"/>
      <c r="Z35" s="59"/>
    </row>
    <row r="36">
      <c r="A36" s="66" t="s">
        <v>2568</v>
      </c>
      <c r="B36" s="67">
        <f>COUNTIFS(IEEE!A2:A78,"Inconforme",IEEE!F2:F78,"Inconforme")</f>
        <v>51</v>
      </c>
      <c r="C36" s="67">
        <f>COUNTIFS(IEEE!C2:C78,"Inconforme",IEEE!F2:F78,"Inconforme")</f>
        <v>54</v>
      </c>
      <c r="D36" s="59"/>
      <c r="E36" s="59"/>
      <c r="F36" s="59"/>
      <c r="G36" s="59"/>
      <c r="H36" s="59"/>
      <c r="I36" s="59"/>
      <c r="J36" s="59"/>
      <c r="K36" s="59"/>
      <c r="L36" s="59"/>
      <c r="M36" s="59"/>
      <c r="N36" s="59"/>
      <c r="O36" s="59"/>
      <c r="P36" s="59"/>
      <c r="Q36" s="59"/>
      <c r="R36" s="59"/>
      <c r="S36" s="59"/>
      <c r="T36" s="59"/>
      <c r="U36" s="59"/>
      <c r="V36" s="59"/>
      <c r="W36" s="59"/>
      <c r="X36" s="59"/>
      <c r="Y36" s="59"/>
      <c r="Z36" s="59"/>
    </row>
    <row r="37">
      <c r="A37" s="68" t="s">
        <v>2569</v>
      </c>
      <c r="B37" s="69">
        <f>COUNTIFS(IEEE!A2:A78,"Conforme",IEEE!F2:F78,"Inconforme")</f>
        <v>3</v>
      </c>
      <c r="C37" s="69">
        <f>COUNTIFS(IEEE!C2:C78,"Conforme",IEEE!F2:F78,"Inconforme")</f>
        <v>0</v>
      </c>
      <c r="D37" s="59"/>
      <c r="E37" s="59"/>
      <c r="F37" s="59"/>
      <c r="G37" s="59"/>
      <c r="H37" s="59"/>
      <c r="I37" s="59"/>
      <c r="J37" s="59"/>
      <c r="K37" s="59"/>
      <c r="L37" s="59"/>
      <c r="M37" s="59"/>
      <c r="N37" s="59"/>
      <c r="O37" s="59"/>
      <c r="P37" s="59"/>
      <c r="Q37" s="59"/>
      <c r="R37" s="59"/>
      <c r="S37" s="59"/>
      <c r="T37" s="59"/>
      <c r="U37" s="59"/>
      <c r="V37" s="59"/>
      <c r="W37" s="59"/>
      <c r="X37" s="59"/>
      <c r="Y37" s="59"/>
      <c r="Z37" s="59"/>
    </row>
    <row r="38">
      <c r="A38" s="68" t="s">
        <v>2570</v>
      </c>
      <c r="B38" s="69">
        <f>COUNTIFS(IEEE!A2:A78,"Inconforme",IEEE!F2:F78,"Conforme")+COUNTIFS(IEEE!A2:A78,"Inconforme",IEEE!F2:F78,"Inconforme -Artigos duplicados ou similares")</f>
        <v>8</v>
      </c>
      <c r="C38" s="69">
        <f>COUNTIFS(IEEE!C2:C78,"Inconforme",IEEE!F2:F78,"Conforme")+COUNTIFS(IEEE!C2:C78,"Inconforme",IEEE!F2:F78,"Inconforme -Artigos duplicados ou similares")</f>
        <v>7</v>
      </c>
      <c r="D38" s="59"/>
      <c r="E38" s="59"/>
      <c r="F38" s="59"/>
      <c r="G38" s="59"/>
      <c r="H38" s="59"/>
      <c r="I38" s="59"/>
      <c r="J38" s="59"/>
      <c r="K38" s="59"/>
      <c r="L38" s="59"/>
      <c r="M38" s="59"/>
      <c r="N38" s="59"/>
      <c r="O38" s="59"/>
      <c r="P38" s="59"/>
      <c r="Q38" s="59"/>
      <c r="R38" s="59"/>
      <c r="S38" s="59"/>
      <c r="T38" s="59"/>
      <c r="U38" s="59"/>
      <c r="V38" s="59"/>
      <c r="W38" s="59"/>
      <c r="X38" s="59"/>
      <c r="Y38" s="59"/>
      <c r="Z38" s="59"/>
    </row>
    <row r="39">
      <c r="A39" s="66" t="s">
        <v>2571</v>
      </c>
      <c r="B39" s="67">
        <f t="shared" ref="B39:C39" si="7">B35+B36</f>
        <v>66</v>
      </c>
      <c r="C39" s="67">
        <f t="shared" si="7"/>
        <v>70</v>
      </c>
      <c r="D39" s="59"/>
      <c r="E39" s="59"/>
      <c r="F39" s="59"/>
      <c r="G39" s="59"/>
      <c r="H39" s="59"/>
      <c r="I39" s="59"/>
      <c r="J39" s="59"/>
      <c r="K39" s="59"/>
      <c r="L39" s="59"/>
      <c r="M39" s="59"/>
      <c r="N39" s="59"/>
      <c r="O39" s="59"/>
      <c r="P39" s="59"/>
      <c r="Q39" s="59"/>
      <c r="R39" s="59"/>
      <c r="S39" s="59"/>
      <c r="T39" s="59"/>
      <c r="U39" s="59"/>
      <c r="V39" s="59"/>
      <c r="W39" s="59"/>
      <c r="X39" s="59"/>
      <c r="Y39" s="59"/>
      <c r="Z39" s="59"/>
    </row>
    <row r="40">
      <c r="A40" s="68" t="s">
        <v>2572</v>
      </c>
      <c r="B40" s="69">
        <f t="shared" ref="B40:C40" si="8">B37+B38</f>
        <v>11</v>
      </c>
      <c r="C40" s="69">
        <f t="shared" si="8"/>
        <v>7</v>
      </c>
      <c r="D40" s="59"/>
      <c r="E40" s="59"/>
      <c r="F40" s="59"/>
      <c r="G40" s="59"/>
      <c r="H40" s="59"/>
      <c r="I40" s="59"/>
      <c r="J40" s="59"/>
      <c r="K40" s="59"/>
      <c r="L40" s="59"/>
      <c r="M40" s="59"/>
      <c r="N40" s="59"/>
      <c r="O40" s="59"/>
      <c r="P40" s="59"/>
      <c r="Q40" s="59"/>
      <c r="R40" s="59"/>
      <c r="S40" s="59"/>
      <c r="T40" s="59"/>
      <c r="U40" s="59"/>
      <c r="V40" s="59"/>
      <c r="W40" s="59"/>
      <c r="X40" s="59"/>
      <c r="Y40" s="59"/>
      <c r="Z40" s="59"/>
    </row>
    <row r="41">
      <c r="A41" s="59"/>
      <c r="B41" s="59"/>
      <c r="C41" s="59"/>
      <c r="D41" s="59"/>
      <c r="E41" s="59"/>
      <c r="F41" s="59"/>
      <c r="G41" s="59"/>
      <c r="H41" s="59"/>
      <c r="I41" s="59"/>
      <c r="J41" s="59"/>
      <c r="K41" s="59"/>
      <c r="L41" s="59"/>
      <c r="M41" s="59"/>
      <c r="N41" s="59"/>
      <c r="O41" s="59"/>
      <c r="P41" s="59"/>
      <c r="Q41" s="59"/>
      <c r="R41" s="59"/>
      <c r="S41" s="59"/>
      <c r="T41" s="59"/>
      <c r="U41" s="59"/>
      <c r="V41" s="59"/>
      <c r="W41" s="59"/>
      <c r="X41" s="59"/>
      <c r="Y41" s="59"/>
      <c r="Z41" s="59"/>
    </row>
    <row r="42">
      <c r="A42" s="72" t="s">
        <v>2573</v>
      </c>
      <c r="B42" s="73">
        <f t="shared" ref="B42:C42" si="9">IFERROR((B35+B36)/B28,"N/A")</f>
        <v>0.8571428571</v>
      </c>
      <c r="C42" s="73">
        <f t="shared" si="9"/>
        <v>0.9090909091</v>
      </c>
      <c r="D42" s="59"/>
      <c r="E42" s="59"/>
      <c r="F42" s="59"/>
      <c r="G42" s="59"/>
      <c r="H42" s="59"/>
      <c r="I42" s="59"/>
      <c r="J42" s="59"/>
      <c r="K42" s="59"/>
      <c r="L42" s="59"/>
      <c r="M42" s="59"/>
      <c r="N42" s="59"/>
      <c r="O42" s="59"/>
      <c r="P42" s="59"/>
      <c r="Q42" s="59"/>
      <c r="R42" s="59"/>
      <c r="S42" s="59"/>
      <c r="T42" s="59"/>
      <c r="U42" s="59"/>
      <c r="V42" s="59"/>
      <c r="W42" s="59"/>
      <c r="X42" s="59"/>
      <c r="Y42" s="59"/>
      <c r="Z42" s="59"/>
    </row>
    <row r="43">
      <c r="A43" s="72" t="s">
        <v>2574</v>
      </c>
      <c r="B43" s="73">
        <f t="shared" ref="B43:C43" si="10">IFERROR(B35/(B35+B37),"N/A")</f>
        <v>0.8333333333</v>
      </c>
      <c r="C43" s="73">
        <f t="shared" si="10"/>
        <v>1</v>
      </c>
      <c r="D43" s="59"/>
      <c r="E43" s="59"/>
      <c r="F43" s="59"/>
      <c r="G43" s="59"/>
      <c r="H43" s="59"/>
      <c r="I43" s="59"/>
      <c r="J43" s="59"/>
      <c r="K43" s="59"/>
      <c r="L43" s="59"/>
      <c r="M43" s="59"/>
      <c r="N43" s="59"/>
      <c r="O43" s="59"/>
      <c r="P43" s="59"/>
      <c r="Q43" s="59"/>
      <c r="R43" s="59"/>
      <c r="S43" s="59"/>
      <c r="T43" s="59"/>
      <c r="U43" s="59"/>
      <c r="V43" s="59"/>
      <c r="W43" s="59"/>
      <c r="X43" s="59"/>
      <c r="Y43" s="59"/>
      <c r="Z43" s="59"/>
    </row>
    <row r="44">
      <c r="A44" s="72" t="s">
        <v>2575</v>
      </c>
      <c r="B44" s="73">
        <f t="shared" ref="B44:C44" si="11">IFERROR(B35/(B35+B38),"N/A")</f>
        <v>0.652173913</v>
      </c>
      <c r="C44" s="73">
        <f t="shared" si="11"/>
        <v>0.6956521739</v>
      </c>
      <c r="D44" s="59"/>
      <c r="E44" s="59"/>
      <c r="F44" s="59"/>
      <c r="G44" s="59"/>
      <c r="H44" s="59"/>
      <c r="I44" s="59"/>
      <c r="J44" s="59"/>
      <c r="K44" s="59"/>
      <c r="L44" s="59"/>
      <c r="M44" s="59"/>
      <c r="N44" s="59"/>
      <c r="O44" s="59"/>
      <c r="P44" s="59"/>
      <c r="Q44" s="59"/>
      <c r="R44" s="59"/>
      <c r="S44" s="59"/>
      <c r="T44" s="59"/>
      <c r="U44" s="59"/>
      <c r="V44" s="59"/>
      <c r="W44" s="59"/>
      <c r="X44" s="59"/>
      <c r="Y44" s="59"/>
      <c r="Z44" s="59"/>
    </row>
    <row r="45">
      <c r="A45" s="72" t="s">
        <v>2576</v>
      </c>
      <c r="B45" s="73">
        <f t="shared" ref="B45:C45" si="12">IFERROR(2*B43*B44/(B43+B44),"N/A")</f>
        <v>0.7317073171</v>
      </c>
      <c r="C45" s="73">
        <f t="shared" si="12"/>
        <v>0.8205128205</v>
      </c>
      <c r="D45" s="59"/>
      <c r="E45" s="59"/>
      <c r="F45" s="59"/>
      <c r="G45" s="59"/>
      <c r="H45" s="59"/>
      <c r="I45" s="59"/>
      <c r="J45" s="59"/>
      <c r="K45" s="59"/>
      <c r="L45" s="59"/>
      <c r="M45" s="59"/>
      <c r="N45" s="59"/>
      <c r="O45" s="59"/>
      <c r="P45" s="59"/>
      <c r="Q45" s="59"/>
      <c r="R45" s="59"/>
      <c r="S45" s="59"/>
      <c r="T45" s="59"/>
      <c r="U45" s="59"/>
      <c r="V45" s="59"/>
      <c r="W45" s="59"/>
      <c r="X45" s="59"/>
      <c r="Y45" s="59"/>
      <c r="Z45" s="59"/>
    </row>
    <row r="46">
      <c r="A46" s="59"/>
      <c r="B46" s="59"/>
      <c r="C46" s="59"/>
      <c r="D46" s="59"/>
      <c r="E46" s="59"/>
      <c r="F46" s="59"/>
      <c r="G46" s="59"/>
      <c r="H46" s="59"/>
      <c r="I46" s="59"/>
      <c r="J46" s="59"/>
      <c r="K46" s="59"/>
      <c r="L46" s="59"/>
      <c r="M46" s="59"/>
      <c r="N46" s="59"/>
      <c r="O46" s="59"/>
      <c r="P46" s="59"/>
      <c r="Q46" s="59"/>
      <c r="R46" s="59"/>
      <c r="S46" s="59"/>
      <c r="T46" s="59"/>
      <c r="U46" s="59"/>
      <c r="V46" s="59"/>
      <c r="W46" s="59"/>
      <c r="X46" s="59"/>
      <c r="Y46" s="59"/>
      <c r="Z46" s="59"/>
    </row>
    <row r="47">
      <c r="A47" s="62" t="s">
        <v>2578</v>
      </c>
      <c r="B47" s="57"/>
      <c r="C47" s="58"/>
      <c r="D47" s="59"/>
      <c r="E47" s="59"/>
      <c r="F47" s="59"/>
      <c r="G47" s="59"/>
      <c r="H47" s="59"/>
      <c r="I47" s="59"/>
      <c r="J47" s="59"/>
      <c r="K47" s="59"/>
      <c r="L47" s="59"/>
      <c r="M47" s="59"/>
      <c r="N47" s="59"/>
      <c r="O47" s="59"/>
      <c r="P47" s="59"/>
      <c r="Q47" s="59"/>
      <c r="R47" s="59"/>
      <c r="S47" s="59"/>
      <c r="T47" s="59"/>
      <c r="U47" s="59"/>
      <c r="V47" s="59"/>
      <c r="W47" s="59"/>
      <c r="X47" s="59"/>
      <c r="Y47" s="59"/>
      <c r="Z47" s="59"/>
    </row>
    <row r="48">
      <c r="A48" s="63" t="s">
        <v>2557</v>
      </c>
      <c r="B48" s="63" t="s">
        <v>2558</v>
      </c>
      <c r="C48" s="63" t="s">
        <v>2559</v>
      </c>
      <c r="D48" s="59"/>
      <c r="E48" s="59"/>
      <c r="F48" s="59"/>
      <c r="G48" s="59"/>
      <c r="H48" s="59"/>
      <c r="I48" s="59"/>
      <c r="J48" s="59"/>
      <c r="K48" s="59"/>
      <c r="L48" s="59"/>
      <c r="M48" s="59"/>
      <c r="N48" s="59"/>
      <c r="O48" s="59"/>
      <c r="P48" s="59"/>
      <c r="Q48" s="59"/>
      <c r="R48" s="59"/>
      <c r="S48" s="59"/>
      <c r="T48" s="59"/>
      <c r="U48" s="59"/>
      <c r="V48" s="59"/>
      <c r="W48" s="59"/>
      <c r="X48" s="59"/>
      <c r="Y48" s="59"/>
      <c r="Z48" s="59"/>
    </row>
    <row r="49">
      <c r="A49" s="64" t="s">
        <v>2560</v>
      </c>
      <c r="B49" s="65">
        <f>COUNTA(SD!F2:F61)</f>
        <v>60</v>
      </c>
      <c r="C49" s="65">
        <f>COUNTA(SD!F2:F61)</f>
        <v>60</v>
      </c>
      <c r="D49" s="59"/>
      <c r="E49" s="59"/>
      <c r="F49" s="59"/>
      <c r="G49" s="59"/>
      <c r="H49" s="59"/>
      <c r="I49" s="59"/>
      <c r="J49" s="59"/>
      <c r="K49" s="59"/>
      <c r="L49" s="59"/>
      <c r="M49" s="59"/>
      <c r="N49" s="59"/>
      <c r="O49" s="59"/>
      <c r="P49" s="59"/>
      <c r="Q49" s="59"/>
      <c r="R49" s="59"/>
      <c r="S49" s="59"/>
      <c r="T49" s="59"/>
      <c r="U49" s="59"/>
      <c r="V49" s="59"/>
      <c r="W49" s="59"/>
      <c r="X49" s="59"/>
      <c r="Y49" s="59"/>
      <c r="Z49" s="59"/>
    </row>
    <row r="50">
      <c r="A50" s="66" t="s">
        <v>2561</v>
      </c>
      <c r="B50" s="67">
        <f>COUNTIF(SD!F2:F61,"Conforme")+COUNTIF(SD!F2:F61,"Inconforme -Artigos duplicados ou similares")</f>
        <v>19</v>
      </c>
      <c r="C50" s="67">
        <f>COUNTIF(SD!F2:F61,"Conforme")+COUNTIF(SD!F2:F61,"Inconforme -Artigos duplicados ou similares")</f>
        <v>19</v>
      </c>
      <c r="D50" s="59"/>
      <c r="E50" s="59"/>
      <c r="F50" s="59"/>
      <c r="G50" s="59"/>
      <c r="H50" s="59"/>
      <c r="I50" s="59"/>
      <c r="J50" s="59"/>
      <c r="K50" s="59"/>
      <c r="L50" s="59"/>
      <c r="M50" s="59"/>
      <c r="N50" s="59"/>
      <c r="O50" s="59"/>
      <c r="P50" s="59"/>
      <c r="Q50" s="59"/>
      <c r="R50" s="59"/>
      <c r="S50" s="59"/>
      <c r="T50" s="59"/>
      <c r="U50" s="59"/>
      <c r="V50" s="59"/>
      <c r="W50" s="59"/>
      <c r="X50" s="59"/>
      <c r="Y50" s="59"/>
      <c r="Z50" s="59"/>
    </row>
    <row r="51">
      <c r="A51" s="68" t="s">
        <v>2562</v>
      </c>
      <c r="B51" s="69">
        <f>COUNTIF(SD!F2:F61,"Inconforme")</f>
        <v>41</v>
      </c>
      <c r="C51" s="69">
        <f>COUNTIF(SD!F2:F61,"Inconforme")</f>
        <v>41</v>
      </c>
      <c r="D51" s="59"/>
      <c r="E51" s="59"/>
      <c r="F51" s="59"/>
      <c r="G51" s="59"/>
      <c r="H51" s="59"/>
      <c r="I51" s="59"/>
      <c r="J51" s="59"/>
      <c r="K51" s="59"/>
      <c r="L51" s="59"/>
      <c r="M51" s="59"/>
      <c r="N51" s="59"/>
      <c r="O51" s="59"/>
      <c r="P51" s="59"/>
      <c r="Q51" s="59"/>
      <c r="R51" s="59"/>
      <c r="S51" s="59"/>
      <c r="T51" s="59"/>
      <c r="U51" s="59"/>
      <c r="V51" s="59"/>
      <c r="W51" s="59"/>
      <c r="X51" s="59"/>
      <c r="Y51" s="59"/>
      <c r="Z51" s="59"/>
    </row>
    <row r="52">
      <c r="A52" s="70" t="s">
        <v>2563</v>
      </c>
      <c r="B52" s="71">
        <f>COUNTA(SD!F2:F61)-COUNTIF(SD!F2:F61,"Conforme")-COUNTIF(SD!F2:F61,"Inconforme")-COUNTIF(SD!F2:F61,"Inconforme -Artigos duplicados ou similares")</f>
        <v>0</v>
      </c>
      <c r="C52" s="71">
        <f>COUNTA(SD!F2:F61)-COUNTIF(SD!F2:F61,"Conforme")-COUNTIF(SD!F2:F61,"Inconforme")-COUNTIF(SD!F2:F61,"Inconforme -Artigos duplicados ou similares")</f>
        <v>0</v>
      </c>
      <c r="D52" s="59"/>
      <c r="E52" s="59"/>
      <c r="F52" s="59"/>
      <c r="G52" s="59"/>
      <c r="H52" s="59"/>
      <c r="I52" s="59"/>
      <c r="J52" s="59"/>
      <c r="K52" s="59"/>
      <c r="L52" s="59"/>
      <c r="M52" s="59"/>
      <c r="N52" s="59"/>
      <c r="O52" s="59"/>
      <c r="P52" s="59"/>
      <c r="Q52" s="59"/>
      <c r="R52" s="59"/>
      <c r="S52" s="59"/>
      <c r="T52" s="59"/>
      <c r="U52" s="59"/>
      <c r="V52" s="59"/>
      <c r="W52" s="59"/>
      <c r="X52" s="59"/>
      <c r="Y52" s="59"/>
      <c r="Z52" s="59"/>
    </row>
    <row r="53">
      <c r="A53" s="70" t="s">
        <v>2564</v>
      </c>
      <c r="B53" s="71">
        <f>COUNTBLANK(SD!A2:A61)</f>
        <v>0</v>
      </c>
      <c r="C53" s="71" t="s">
        <v>2565</v>
      </c>
      <c r="D53" s="59"/>
      <c r="E53" s="59"/>
      <c r="F53" s="59"/>
      <c r="G53" s="59"/>
      <c r="H53" s="59"/>
      <c r="I53" s="59"/>
      <c r="J53" s="59"/>
      <c r="K53" s="59"/>
      <c r="L53" s="59"/>
      <c r="M53" s="59"/>
      <c r="N53" s="59"/>
      <c r="O53" s="59"/>
      <c r="P53" s="59"/>
      <c r="Q53" s="59"/>
      <c r="R53" s="59"/>
      <c r="S53" s="59"/>
      <c r="T53" s="59"/>
      <c r="U53" s="59"/>
      <c r="V53" s="59"/>
      <c r="W53" s="59"/>
      <c r="X53" s="59"/>
      <c r="Y53" s="59"/>
      <c r="Z53" s="59"/>
    </row>
    <row r="54">
      <c r="A54" s="70" t="s">
        <v>2566</v>
      </c>
      <c r="B54" s="71" t="s">
        <v>2565</v>
      </c>
      <c r="C54" s="71">
        <f>COUNTBLANK(SD!C2:C61)</f>
        <v>0</v>
      </c>
      <c r="D54" s="59"/>
      <c r="E54" s="59"/>
      <c r="F54" s="59"/>
      <c r="G54" s="59"/>
      <c r="H54" s="59"/>
      <c r="I54" s="59"/>
      <c r="J54" s="59"/>
      <c r="K54" s="59"/>
      <c r="L54" s="59"/>
      <c r="M54" s="59"/>
      <c r="N54" s="59"/>
      <c r="O54" s="59"/>
      <c r="P54" s="59"/>
      <c r="Q54" s="59"/>
      <c r="R54" s="59"/>
      <c r="S54" s="59"/>
      <c r="T54" s="59"/>
      <c r="U54" s="59"/>
      <c r="V54" s="59"/>
      <c r="W54" s="59"/>
      <c r="X54" s="59"/>
      <c r="Y54" s="59"/>
      <c r="Z54" s="59"/>
    </row>
    <row r="55">
      <c r="A55" s="59"/>
      <c r="B55" s="59"/>
      <c r="C55" s="59"/>
      <c r="D55" s="59"/>
      <c r="E55" s="59"/>
      <c r="F55" s="59"/>
      <c r="G55" s="59"/>
      <c r="H55" s="59"/>
      <c r="I55" s="59"/>
      <c r="J55" s="59"/>
      <c r="K55" s="59"/>
      <c r="L55" s="59"/>
      <c r="M55" s="59"/>
      <c r="N55" s="59"/>
      <c r="O55" s="59"/>
      <c r="P55" s="59"/>
      <c r="Q55" s="59"/>
      <c r="R55" s="59"/>
      <c r="S55" s="59"/>
      <c r="T55" s="59"/>
      <c r="U55" s="59"/>
      <c r="V55" s="59"/>
      <c r="W55" s="59"/>
      <c r="X55" s="59"/>
      <c r="Y55" s="59"/>
      <c r="Z55" s="59"/>
    </row>
    <row r="56">
      <c r="A56" s="66" t="s">
        <v>2567</v>
      </c>
      <c r="B56" s="67">
        <f>COUNTIFS(SD!A2:A61,"Conforme",SD!F2:F61,"Conforme")+COUNTIFS(SD!A2:A61,"Conforme",SD!F2:F61,"Inconforme -Artigos duplicados ou similares")</f>
        <v>15</v>
      </c>
      <c r="C56" s="67">
        <f>COUNTIFS(SD!C2:C61,"Conforme",SD!F2:F61,"Conforme")+COUNTIFS(SD!C2:C61,"Conforme",SD!F2:F61,"Inconforme -Artigos duplicados ou similares")</f>
        <v>10</v>
      </c>
      <c r="D56" s="59"/>
      <c r="E56" s="59"/>
      <c r="F56" s="59"/>
      <c r="G56" s="59"/>
      <c r="H56" s="59"/>
      <c r="I56" s="59"/>
      <c r="J56" s="59"/>
      <c r="K56" s="59"/>
      <c r="L56" s="59"/>
      <c r="M56" s="59"/>
      <c r="N56" s="59"/>
      <c r="O56" s="59"/>
      <c r="P56" s="59"/>
      <c r="Q56" s="59"/>
      <c r="R56" s="59"/>
      <c r="S56" s="59"/>
      <c r="T56" s="59"/>
      <c r="U56" s="59"/>
      <c r="V56" s="59"/>
      <c r="W56" s="59"/>
      <c r="X56" s="59"/>
      <c r="Y56" s="59"/>
      <c r="Z56" s="59"/>
    </row>
    <row r="57">
      <c r="A57" s="66" t="s">
        <v>2568</v>
      </c>
      <c r="B57" s="67">
        <f>COUNTIFS(SD!A2:A61,"Inconforme",SD!F2:F61,"Inconforme")</f>
        <v>39</v>
      </c>
      <c r="C57" s="67">
        <f>COUNTIFS(SD!C2:C61,"Inconforme",SD!F2:F61,"Inconforme")</f>
        <v>41</v>
      </c>
      <c r="D57" s="59"/>
      <c r="E57" s="59"/>
      <c r="F57" s="59"/>
      <c r="G57" s="59"/>
      <c r="H57" s="59"/>
      <c r="I57" s="59"/>
      <c r="J57" s="59"/>
      <c r="K57" s="59"/>
      <c r="L57" s="59"/>
      <c r="M57" s="59"/>
      <c r="N57" s="59"/>
      <c r="O57" s="59"/>
      <c r="P57" s="59"/>
      <c r="Q57" s="59"/>
      <c r="R57" s="59"/>
      <c r="S57" s="59"/>
      <c r="T57" s="59"/>
      <c r="U57" s="59"/>
      <c r="V57" s="59"/>
      <c r="W57" s="59"/>
      <c r="X57" s="59"/>
      <c r="Y57" s="59"/>
      <c r="Z57" s="59"/>
    </row>
    <row r="58">
      <c r="A58" s="68" t="s">
        <v>2569</v>
      </c>
      <c r="B58" s="69">
        <f>COUNTIFS(SD!A2:A61,"Conforme",SD!F2:F61,"Inconforme")</f>
        <v>2</v>
      </c>
      <c r="C58" s="69">
        <f>COUNTIFS(SD!C2:C61,"Conforme",SD!F2:F61,"Inconforme")</f>
        <v>0</v>
      </c>
      <c r="D58" s="59"/>
      <c r="E58" s="59"/>
      <c r="F58" s="59"/>
      <c r="G58" s="59"/>
      <c r="H58" s="59"/>
      <c r="I58" s="59"/>
      <c r="J58" s="59"/>
      <c r="K58" s="59"/>
      <c r="L58" s="59"/>
      <c r="M58" s="59"/>
      <c r="N58" s="59"/>
      <c r="O58" s="59"/>
      <c r="P58" s="59"/>
      <c r="Q58" s="59"/>
      <c r="R58" s="59"/>
      <c r="S58" s="59"/>
      <c r="T58" s="59"/>
      <c r="U58" s="59"/>
      <c r="V58" s="59"/>
      <c r="W58" s="59"/>
      <c r="X58" s="59"/>
      <c r="Y58" s="59"/>
      <c r="Z58" s="59"/>
    </row>
    <row r="59">
      <c r="A59" s="68" t="s">
        <v>2570</v>
      </c>
      <c r="B59" s="69">
        <f>COUNTIFS(SD!A2:A61,"Inconforme",SD!F2:F61,"Conforme")+COUNTIFS(SD!A2:A61,"Inconforme",SD!F2:F61,"Inconforme -Artigos duplicados ou similares")</f>
        <v>4</v>
      </c>
      <c r="C59" s="69">
        <f>COUNTIFS(SD!C2:C61,"Inconforme",SD!F2:F61,"Conforme")+COUNTIFS(SD!C2:C61,"Inconforme",SD!F2:F61,"Inconforme -Artigos duplicados ou similares")</f>
        <v>9</v>
      </c>
      <c r="D59" s="59"/>
      <c r="E59" s="59"/>
      <c r="F59" s="59"/>
      <c r="G59" s="59"/>
      <c r="H59" s="59"/>
      <c r="I59" s="59"/>
      <c r="J59" s="59"/>
      <c r="K59" s="59"/>
      <c r="L59" s="59"/>
      <c r="M59" s="59"/>
      <c r="N59" s="59"/>
      <c r="O59" s="59"/>
      <c r="P59" s="59"/>
      <c r="Q59" s="59"/>
      <c r="R59" s="59"/>
      <c r="S59" s="59"/>
      <c r="T59" s="59"/>
      <c r="U59" s="59"/>
      <c r="V59" s="59"/>
      <c r="W59" s="59"/>
      <c r="X59" s="59"/>
      <c r="Y59" s="59"/>
      <c r="Z59" s="59"/>
    </row>
    <row r="60">
      <c r="A60" s="66" t="s">
        <v>2571</v>
      </c>
      <c r="B60" s="67">
        <f t="shared" ref="B60:C60" si="13">B56+B57</f>
        <v>54</v>
      </c>
      <c r="C60" s="67">
        <f t="shared" si="13"/>
        <v>51</v>
      </c>
      <c r="D60" s="59"/>
      <c r="E60" s="59"/>
      <c r="F60" s="59"/>
      <c r="G60" s="59"/>
      <c r="H60" s="59"/>
      <c r="I60" s="59"/>
      <c r="J60" s="59"/>
      <c r="K60" s="59"/>
      <c r="L60" s="59"/>
      <c r="M60" s="59"/>
      <c r="N60" s="59"/>
      <c r="O60" s="59"/>
      <c r="P60" s="59"/>
      <c r="Q60" s="59"/>
      <c r="R60" s="59"/>
      <c r="S60" s="59"/>
      <c r="T60" s="59"/>
      <c r="U60" s="59"/>
      <c r="V60" s="59"/>
      <c r="W60" s="59"/>
      <c r="X60" s="59"/>
      <c r="Y60" s="59"/>
      <c r="Z60" s="59"/>
    </row>
    <row r="61">
      <c r="A61" s="68" t="s">
        <v>2572</v>
      </c>
      <c r="B61" s="69">
        <f t="shared" ref="B61:C61" si="14">B58+B59</f>
        <v>6</v>
      </c>
      <c r="C61" s="69">
        <f t="shared" si="14"/>
        <v>9</v>
      </c>
      <c r="D61" s="59"/>
      <c r="E61" s="59"/>
      <c r="F61" s="59"/>
      <c r="G61" s="59"/>
      <c r="H61" s="59"/>
      <c r="I61" s="59"/>
      <c r="J61" s="59"/>
      <c r="K61" s="59"/>
      <c r="L61" s="59"/>
      <c r="M61" s="59"/>
      <c r="N61" s="59"/>
      <c r="O61" s="59"/>
      <c r="P61" s="59"/>
      <c r="Q61" s="59"/>
      <c r="R61" s="59"/>
      <c r="S61" s="59"/>
      <c r="T61" s="59"/>
      <c r="U61" s="59"/>
      <c r="V61" s="59"/>
      <c r="W61" s="59"/>
      <c r="X61" s="59"/>
      <c r="Y61" s="59"/>
      <c r="Z61" s="59"/>
    </row>
    <row r="62">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row>
    <row r="63">
      <c r="A63" s="72" t="s">
        <v>2573</v>
      </c>
      <c r="B63" s="73">
        <f t="shared" ref="B63:C63" si="15">IFERROR((B56+B57)/B49,"N/A")</f>
        <v>0.9</v>
      </c>
      <c r="C63" s="73">
        <f t="shared" si="15"/>
        <v>0.85</v>
      </c>
      <c r="D63" s="59"/>
      <c r="E63" s="59"/>
      <c r="F63" s="59"/>
      <c r="G63" s="59"/>
      <c r="H63" s="59"/>
      <c r="I63" s="59"/>
      <c r="J63" s="59"/>
      <c r="K63" s="59"/>
      <c r="L63" s="59"/>
      <c r="M63" s="59"/>
      <c r="N63" s="59"/>
      <c r="O63" s="59"/>
      <c r="P63" s="59"/>
      <c r="Q63" s="59"/>
      <c r="R63" s="59"/>
      <c r="S63" s="59"/>
      <c r="T63" s="59"/>
      <c r="U63" s="59"/>
      <c r="V63" s="59"/>
      <c r="W63" s="59"/>
      <c r="X63" s="59"/>
      <c r="Y63" s="59"/>
      <c r="Z63" s="59"/>
    </row>
    <row r="64">
      <c r="A64" s="72" t="s">
        <v>2574</v>
      </c>
      <c r="B64" s="73">
        <f t="shared" ref="B64:C64" si="16">IFERROR(B56/(B56+B58),"N/A")</f>
        <v>0.8823529412</v>
      </c>
      <c r="C64" s="73">
        <f t="shared" si="16"/>
        <v>1</v>
      </c>
      <c r="D64" s="59"/>
      <c r="E64" s="59"/>
      <c r="F64" s="59"/>
      <c r="G64" s="59"/>
      <c r="H64" s="59"/>
      <c r="I64" s="59"/>
      <c r="J64" s="59"/>
      <c r="K64" s="59"/>
      <c r="L64" s="59"/>
      <c r="M64" s="59"/>
      <c r="N64" s="59"/>
      <c r="O64" s="59"/>
      <c r="P64" s="59"/>
      <c r="Q64" s="59"/>
      <c r="R64" s="59"/>
      <c r="S64" s="59"/>
      <c r="T64" s="59"/>
      <c r="U64" s="59"/>
      <c r="V64" s="59"/>
      <c r="W64" s="59"/>
      <c r="X64" s="59"/>
      <c r="Y64" s="59"/>
      <c r="Z64" s="59"/>
    </row>
    <row r="65">
      <c r="A65" s="72" t="s">
        <v>2575</v>
      </c>
      <c r="B65" s="73">
        <f t="shared" ref="B65:C65" si="17">IFERROR(B56/(B56+B59),"N/A")</f>
        <v>0.7894736842</v>
      </c>
      <c r="C65" s="73">
        <f t="shared" si="17"/>
        <v>0.5263157895</v>
      </c>
      <c r="D65" s="59"/>
      <c r="E65" s="59"/>
      <c r="F65" s="59"/>
      <c r="G65" s="59"/>
      <c r="H65" s="59"/>
      <c r="I65" s="59"/>
      <c r="J65" s="59"/>
      <c r="K65" s="59"/>
      <c r="L65" s="59"/>
      <c r="M65" s="59"/>
      <c r="N65" s="59"/>
      <c r="O65" s="59"/>
      <c r="P65" s="59"/>
      <c r="Q65" s="59"/>
      <c r="R65" s="59"/>
      <c r="S65" s="59"/>
      <c r="T65" s="59"/>
      <c r="U65" s="59"/>
      <c r="V65" s="59"/>
      <c r="W65" s="59"/>
      <c r="X65" s="59"/>
      <c r="Y65" s="59"/>
      <c r="Z65" s="59"/>
    </row>
    <row r="66">
      <c r="A66" s="72" t="s">
        <v>2576</v>
      </c>
      <c r="B66" s="73">
        <f t="shared" ref="B66:C66" si="18">IFERROR(2*B64*B65/(B64+B65),"N/A")</f>
        <v>0.8333333333</v>
      </c>
      <c r="C66" s="73">
        <f t="shared" si="18"/>
        <v>0.6896551724</v>
      </c>
      <c r="D66" s="59"/>
      <c r="E66" s="59"/>
      <c r="F66" s="59"/>
      <c r="G66" s="59"/>
      <c r="H66" s="59"/>
      <c r="I66" s="59"/>
      <c r="J66" s="59"/>
      <c r="K66" s="59"/>
      <c r="L66" s="59"/>
      <c r="M66" s="59"/>
      <c r="N66" s="59"/>
      <c r="O66" s="59"/>
      <c r="P66" s="59"/>
      <c r="Q66" s="59"/>
      <c r="R66" s="59"/>
      <c r="S66" s="59"/>
      <c r="T66" s="59"/>
      <c r="U66" s="59"/>
      <c r="V66" s="59"/>
      <c r="W66" s="59"/>
      <c r="X66" s="59"/>
      <c r="Y66" s="59"/>
      <c r="Z66" s="59"/>
    </row>
    <row r="67">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row>
    <row r="68">
      <c r="A68" s="62" t="s">
        <v>2579</v>
      </c>
      <c r="B68" s="57"/>
      <c r="C68" s="58"/>
      <c r="D68" s="59"/>
      <c r="E68" s="59"/>
      <c r="F68" s="59"/>
      <c r="G68" s="59"/>
      <c r="H68" s="59"/>
      <c r="I68" s="59"/>
      <c r="J68" s="59"/>
      <c r="K68" s="59"/>
      <c r="L68" s="59"/>
      <c r="M68" s="59"/>
      <c r="N68" s="59"/>
      <c r="O68" s="59"/>
      <c r="P68" s="59"/>
      <c r="Q68" s="59"/>
      <c r="R68" s="59"/>
      <c r="S68" s="59"/>
      <c r="T68" s="59"/>
      <c r="U68" s="59"/>
      <c r="V68" s="59"/>
      <c r="W68" s="59"/>
      <c r="X68" s="59"/>
      <c r="Y68" s="59"/>
      <c r="Z68" s="59"/>
    </row>
    <row r="69">
      <c r="A69" s="63" t="s">
        <v>2557</v>
      </c>
      <c r="B69" s="63" t="s">
        <v>2558</v>
      </c>
      <c r="C69" s="63" t="s">
        <v>2559</v>
      </c>
      <c r="D69" s="59"/>
      <c r="E69" s="59"/>
      <c r="F69" s="59"/>
      <c r="G69" s="59"/>
      <c r="H69" s="59"/>
      <c r="I69" s="59"/>
      <c r="J69" s="59"/>
      <c r="K69" s="59"/>
      <c r="L69" s="59"/>
      <c r="M69" s="59"/>
      <c r="N69" s="59"/>
      <c r="O69" s="59"/>
      <c r="P69" s="59"/>
      <c r="Q69" s="59"/>
      <c r="R69" s="59"/>
      <c r="S69" s="59"/>
      <c r="T69" s="59"/>
      <c r="U69" s="59"/>
      <c r="V69" s="59"/>
      <c r="W69" s="59"/>
      <c r="X69" s="59"/>
      <c r="Y69" s="59"/>
      <c r="Z69" s="59"/>
    </row>
    <row r="70">
      <c r="A70" s="70" t="s">
        <v>2560</v>
      </c>
      <c r="B70" s="71">
        <f>COUNTA(Emerald!F2:F56)</f>
        <v>55</v>
      </c>
      <c r="C70" s="71">
        <f>COUNTA(Emerald!F2:F56)</f>
        <v>55</v>
      </c>
      <c r="D70" s="59"/>
      <c r="E70" s="59"/>
      <c r="F70" s="59"/>
      <c r="G70" s="59"/>
      <c r="H70" s="59"/>
      <c r="I70" s="59"/>
      <c r="J70" s="59"/>
      <c r="K70" s="59"/>
      <c r="L70" s="59"/>
      <c r="M70" s="59"/>
      <c r="N70" s="59"/>
      <c r="O70" s="59"/>
      <c r="P70" s="59"/>
      <c r="Q70" s="59"/>
      <c r="R70" s="59"/>
      <c r="S70" s="59"/>
      <c r="T70" s="59"/>
      <c r="U70" s="59"/>
      <c r="V70" s="59"/>
      <c r="W70" s="59"/>
      <c r="X70" s="59"/>
      <c r="Y70" s="59"/>
      <c r="Z70" s="59"/>
    </row>
    <row r="71">
      <c r="A71" s="66" t="s">
        <v>2561</v>
      </c>
      <c r="B71" s="67">
        <f>COUNTIF(Emerald!F2:F56,"Conforme")+COUNTIF(Emerald!F2:F56,"Inconforme -Artigos duplicados ou similares")</f>
        <v>16</v>
      </c>
      <c r="C71" s="67">
        <f>COUNTIF(Emerald!F2:F56,"Conforme")+COUNTIF(Emerald!F2:F56,"Inconforme -Artigos duplicados ou similares")</f>
        <v>16</v>
      </c>
      <c r="D71" s="59"/>
      <c r="E71" s="59"/>
      <c r="F71" s="59"/>
      <c r="G71" s="59"/>
      <c r="H71" s="59"/>
      <c r="I71" s="59"/>
      <c r="J71" s="59"/>
      <c r="K71" s="59"/>
      <c r="L71" s="59"/>
      <c r="M71" s="59"/>
      <c r="N71" s="59"/>
      <c r="O71" s="59"/>
      <c r="P71" s="59"/>
      <c r="Q71" s="59"/>
      <c r="R71" s="59"/>
      <c r="S71" s="59"/>
      <c r="T71" s="59"/>
      <c r="U71" s="59"/>
      <c r="V71" s="59"/>
      <c r="W71" s="59"/>
      <c r="X71" s="59"/>
      <c r="Y71" s="59"/>
      <c r="Z71" s="59"/>
    </row>
    <row r="72">
      <c r="A72" s="68" t="s">
        <v>2562</v>
      </c>
      <c r="B72" s="69">
        <f>COUNTIF(Emerald!F2:F56,"Inconforme")</f>
        <v>39</v>
      </c>
      <c r="C72" s="69">
        <f>COUNTIF(Emerald!F2:F56,"Inconforme")</f>
        <v>39</v>
      </c>
      <c r="D72" s="59"/>
      <c r="E72" s="59"/>
      <c r="F72" s="59"/>
      <c r="G72" s="59"/>
      <c r="H72" s="59"/>
      <c r="I72" s="59"/>
      <c r="J72" s="59"/>
      <c r="K72" s="59"/>
      <c r="L72" s="59"/>
      <c r="M72" s="59"/>
      <c r="N72" s="59"/>
      <c r="O72" s="59"/>
      <c r="P72" s="59"/>
      <c r="Q72" s="59"/>
      <c r="R72" s="59"/>
      <c r="S72" s="59"/>
      <c r="T72" s="59"/>
      <c r="U72" s="59"/>
      <c r="V72" s="59"/>
      <c r="W72" s="59"/>
      <c r="X72" s="59"/>
      <c r="Y72" s="59"/>
      <c r="Z72" s="59"/>
    </row>
    <row r="73">
      <c r="A73" s="70" t="s">
        <v>2563</v>
      </c>
      <c r="B73" s="71">
        <f>COUNTA(Emerald!F2:F56)-COUNTIF(Emerald!F2:F56,"Conforme")-COUNTIF(Emerald!F2:F56,"Inconforme")-COUNTIF(Emerald!F2:F56,"Inconforme -Artigos duplicados ou similares")</f>
        <v>0</v>
      </c>
      <c r="C73" s="71">
        <f>COUNTA(Emerald!F2:F56)-COUNTIF(Emerald!F2:F56,"Conforme")-COUNTIF(Emerald!F2:F56,"Inconforme")-COUNTIF(Emerald!F2:F56,"Inconforme -Artigos duplicados ou similares")</f>
        <v>0</v>
      </c>
      <c r="D73" s="59"/>
      <c r="E73" s="59"/>
      <c r="F73" s="59"/>
      <c r="G73" s="59"/>
      <c r="H73" s="59"/>
      <c r="I73" s="59"/>
      <c r="J73" s="59"/>
      <c r="K73" s="59"/>
      <c r="L73" s="59"/>
      <c r="M73" s="59"/>
      <c r="N73" s="59"/>
      <c r="O73" s="59"/>
      <c r="P73" s="59"/>
      <c r="Q73" s="59"/>
      <c r="R73" s="59"/>
      <c r="S73" s="59"/>
      <c r="T73" s="59"/>
      <c r="U73" s="59"/>
      <c r="V73" s="59"/>
      <c r="W73" s="59"/>
      <c r="X73" s="59"/>
      <c r="Y73" s="59"/>
      <c r="Z73" s="59"/>
    </row>
    <row r="74">
      <c r="A74" s="70" t="s">
        <v>2564</v>
      </c>
      <c r="B74" s="71">
        <f>COUNTBLANK(Emerald!A2:A56)</f>
        <v>0</v>
      </c>
      <c r="C74" s="71" t="s">
        <v>2565</v>
      </c>
      <c r="D74" s="59"/>
      <c r="E74" s="59"/>
      <c r="F74" s="59"/>
      <c r="G74" s="59"/>
      <c r="H74" s="59"/>
      <c r="I74" s="59"/>
      <c r="J74" s="59"/>
      <c r="K74" s="59"/>
      <c r="L74" s="59"/>
      <c r="M74" s="59"/>
      <c r="N74" s="59"/>
      <c r="O74" s="59"/>
      <c r="P74" s="59"/>
      <c r="Q74" s="59"/>
      <c r="R74" s="59"/>
      <c r="S74" s="59"/>
      <c r="T74" s="59"/>
      <c r="U74" s="59"/>
      <c r="V74" s="59"/>
      <c r="W74" s="59"/>
      <c r="X74" s="59"/>
      <c r="Y74" s="59"/>
      <c r="Z74" s="59"/>
    </row>
    <row r="75">
      <c r="A75" s="70" t="s">
        <v>2566</v>
      </c>
      <c r="B75" s="71" t="s">
        <v>2565</v>
      </c>
      <c r="C75" s="71">
        <f>COUNTBLANK(Emerald!C2:C56)</f>
        <v>0</v>
      </c>
      <c r="D75" s="59"/>
      <c r="E75" s="59"/>
      <c r="F75" s="59"/>
      <c r="G75" s="59"/>
      <c r="H75" s="59"/>
      <c r="I75" s="59"/>
      <c r="J75" s="59"/>
      <c r="K75" s="59"/>
      <c r="L75" s="59"/>
      <c r="M75" s="59"/>
      <c r="N75" s="59"/>
      <c r="O75" s="59"/>
      <c r="P75" s="59"/>
      <c r="Q75" s="59"/>
      <c r="R75" s="59"/>
      <c r="S75" s="59"/>
      <c r="T75" s="59"/>
      <c r="U75" s="59"/>
      <c r="V75" s="59"/>
      <c r="W75" s="59"/>
      <c r="X75" s="59"/>
      <c r="Y75" s="59"/>
      <c r="Z75" s="59"/>
    </row>
    <row r="76">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row>
    <row r="77">
      <c r="A77" s="66" t="s">
        <v>2567</v>
      </c>
      <c r="B77" s="67">
        <f>COUNTIFS(Emerald!A2:A56,"Conforme",Emerald!F2:F56,"Conforme")+COUNTIFS(Emerald!A2:A56,"Conforme",Emerald!F2:F56,"Inconforme -Artigos duplicados ou similares")</f>
        <v>12</v>
      </c>
      <c r="C77" s="67">
        <f>COUNTIFS(Emerald!C2:C56,"Conforme",Emerald!F2:F56,"Conforme")+COUNTIFS(Emerald!C2:C56,"Conforme",Emerald!F2:F56,"Inconforme -Artigos duplicados ou similares")</f>
        <v>4</v>
      </c>
      <c r="D77" s="59"/>
      <c r="E77" s="59"/>
      <c r="F77" s="59"/>
      <c r="G77" s="59"/>
      <c r="H77" s="59"/>
      <c r="I77" s="59"/>
      <c r="J77" s="59"/>
      <c r="K77" s="59"/>
      <c r="L77" s="59"/>
      <c r="M77" s="59"/>
      <c r="N77" s="59"/>
      <c r="O77" s="59"/>
      <c r="P77" s="59"/>
      <c r="Q77" s="59"/>
      <c r="R77" s="59"/>
      <c r="S77" s="59"/>
      <c r="T77" s="59"/>
      <c r="U77" s="59"/>
      <c r="V77" s="59"/>
      <c r="W77" s="59"/>
      <c r="X77" s="59"/>
      <c r="Y77" s="59"/>
      <c r="Z77" s="59"/>
    </row>
    <row r="78">
      <c r="A78" s="66" t="s">
        <v>2568</v>
      </c>
      <c r="B78" s="67">
        <f>COUNTIFS(Emerald!A2:A56,"Inconforme",Emerald!F2:F56,"Inconforme")</f>
        <v>35</v>
      </c>
      <c r="C78" s="67">
        <f>COUNTIFS(Emerald!C2:C56,"Inconforme",Emerald!F2:F56,"Inconforme")</f>
        <v>39</v>
      </c>
      <c r="D78" s="59"/>
      <c r="E78" s="59"/>
      <c r="F78" s="59"/>
      <c r="G78" s="59"/>
      <c r="H78" s="59"/>
      <c r="I78" s="59"/>
      <c r="J78" s="59"/>
      <c r="K78" s="59"/>
      <c r="L78" s="59"/>
      <c r="M78" s="59"/>
      <c r="N78" s="59"/>
      <c r="O78" s="59"/>
      <c r="P78" s="59"/>
      <c r="Q78" s="59"/>
      <c r="R78" s="59"/>
      <c r="S78" s="59"/>
      <c r="T78" s="59"/>
      <c r="U78" s="59"/>
      <c r="V78" s="59"/>
      <c r="W78" s="59"/>
      <c r="X78" s="59"/>
      <c r="Y78" s="59"/>
      <c r="Z78" s="59"/>
    </row>
    <row r="79">
      <c r="A79" s="68" t="s">
        <v>2569</v>
      </c>
      <c r="B79" s="69">
        <f>COUNTIFS(Emerald!A2:A56,"Conforme",Emerald!F2:F56,"Inconforme")</f>
        <v>4</v>
      </c>
      <c r="C79" s="69">
        <f>COUNTIFS(Emerald!C2:C56,"Conforme",Emerald!F2:F56,"Inconforme")</f>
        <v>0</v>
      </c>
      <c r="D79" s="59"/>
      <c r="E79" s="59"/>
      <c r="F79" s="59"/>
      <c r="G79" s="59"/>
      <c r="H79" s="59"/>
      <c r="I79" s="59"/>
      <c r="J79" s="59"/>
      <c r="K79" s="59"/>
      <c r="L79" s="59"/>
      <c r="M79" s="59"/>
      <c r="N79" s="59"/>
      <c r="O79" s="59"/>
      <c r="P79" s="59"/>
      <c r="Q79" s="59"/>
      <c r="R79" s="59"/>
      <c r="S79" s="59"/>
      <c r="T79" s="59"/>
      <c r="U79" s="59"/>
      <c r="V79" s="59"/>
      <c r="W79" s="59"/>
      <c r="X79" s="59"/>
      <c r="Y79" s="59"/>
      <c r="Z79" s="59"/>
    </row>
    <row r="80">
      <c r="A80" s="68" t="s">
        <v>2570</v>
      </c>
      <c r="B80" s="69">
        <f>COUNTIFS(Emerald!A2:A56,"Inconforme",Emerald!F2:F56,"Conforme")+COUNTIFS(Emerald!A2:A56,"Inconforme",Emerald!F2:F56,"Inconforme -Artigos duplicados ou similares")</f>
        <v>4</v>
      </c>
      <c r="C80" s="69">
        <f>COUNTIFS(Emerald!C2:C56,"Inconforme",Emerald!F2:F56,"Conforme")+COUNTIFS(Emerald!C2:C56,"Inconforme",Emerald!F2:F56,"Inconforme -Artigos duplicados ou similares")</f>
        <v>12</v>
      </c>
      <c r="D80" s="59"/>
      <c r="E80" s="59"/>
      <c r="F80" s="59"/>
      <c r="G80" s="59"/>
      <c r="H80" s="59"/>
      <c r="I80" s="59"/>
      <c r="J80" s="59"/>
      <c r="K80" s="59"/>
      <c r="L80" s="59"/>
      <c r="M80" s="59"/>
      <c r="N80" s="59"/>
      <c r="O80" s="59"/>
      <c r="P80" s="59"/>
      <c r="Q80" s="59"/>
      <c r="R80" s="59"/>
      <c r="S80" s="59"/>
      <c r="T80" s="59"/>
      <c r="U80" s="59"/>
      <c r="V80" s="59"/>
      <c r="W80" s="59"/>
      <c r="X80" s="59"/>
      <c r="Y80" s="59"/>
      <c r="Z80" s="59"/>
    </row>
    <row r="81">
      <c r="A81" s="66" t="s">
        <v>2571</v>
      </c>
      <c r="B81" s="67">
        <f t="shared" ref="B81:C81" si="19">B77+B78</f>
        <v>47</v>
      </c>
      <c r="C81" s="67">
        <f t="shared" si="19"/>
        <v>43</v>
      </c>
      <c r="D81" s="59"/>
      <c r="E81" s="59"/>
      <c r="F81" s="59"/>
      <c r="G81" s="59"/>
      <c r="H81" s="59"/>
      <c r="I81" s="59"/>
      <c r="J81" s="59"/>
      <c r="K81" s="59"/>
      <c r="L81" s="59"/>
      <c r="M81" s="59"/>
      <c r="N81" s="59"/>
      <c r="O81" s="59"/>
      <c r="P81" s="59"/>
      <c r="Q81" s="59"/>
      <c r="R81" s="59"/>
      <c r="S81" s="59"/>
      <c r="T81" s="59"/>
      <c r="U81" s="59"/>
      <c r="V81" s="59"/>
      <c r="W81" s="59"/>
      <c r="X81" s="59"/>
      <c r="Y81" s="59"/>
      <c r="Z81" s="59"/>
    </row>
    <row r="82">
      <c r="A82" s="68" t="s">
        <v>2572</v>
      </c>
      <c r="B82" s="69">
        <f t="shared" ref="B82:C82" si="20">B79+B80</f>
        <v>8</v>
      </c>
      <c r="C82" s="69">
        <f t="shared" si="20"/>
        <v>12</v>
      </c>
      <c r="D82" s="59"/>
      <c r="E82" s="59"/>
      <c r="F82" s="59"/>
      <c r="G82" s="59"/>
      <c r="H82" s="59"/>
      <c r="I82" s="59"/>
      <c r="J82" s="59"/>
      <c r="K82" s="59"/>
      <c r="L82" s="59"/>
      <c r="M82" s="59"/>
      <c r="N82" s="59"/>
      <c r="O82" s="59"/>
      <c r="P82" s="59"/>
      <c r="Q82" s="59"/>
      <c r="R82" s="59"/>
      <c r="S82" s="59"/>
      <c r="T82" s="59"/>
      <c r="U82" s="59"/>
      <c r="V82" s="59"/>
      <c r="W82" s="59"/>
      <c r="X82" s="59"/>
      <c r="Y82" s="59"/>
      <c r="Z82" s="59"/>
    </row>
    <row r="83">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row>
    <row r="84">
      <c r="A84" s="72" t="s">
        <v>2573</v>
      </c>
      <c r="B84" s="73">
        <f t="shared" ref="B84:C84" si="21">IFERROR((B77+B78)/B70,"N/A")</f>
        <v>0.8545454545</v>
      </c>
      <c r="C84" s="73">
        <f t="shared" si="21"/>
        <v>0.7818181818</v>
      </c>
      <c r="D84" s="59"/>
      <c r="E84" s="59"/>
      <c r="F84" s="59"/>
      <c r="G84" s="59"/>
      <c r="H84" s="59"/>
      <c r="I84" s="59"/>
      <c r="J84" s="59"/>
      <c r="K84" s="59"/>
      <c r="L84" s="59"/>
      <c r="M84" s="59"/>
      <c r="N84" s="59"/>
      <c r="O84" s="59"/>
      <c r="P84" s="59"/>
      <c r="Q84" s="59"/>
      <c r="R84" s="59"/>
      <c r="S84" s="59"/>
      <c r="T84" s="59"/>
      <c r="U84" s="59"/>
      <c r="V84" s="59"/>
      <c r="W84" s="59"/>
      <c r="X84" s="59"/>
      <c r="Y84" s="59"/>
      <c r="Z84" s="59"/>
    </row>
    <row r="85">
      <c r="A85" s="72" t="s">
        <v>2574</v>
      </c>
      <c r="B85" s="73">
        <f t="shared" ref="B85:C85" si="22">IFERROR(B77/(B77+B79),"N/A")</f>
        <v>0.75</v>
      </c>
      <c r="C85" s="73">
        <f t="shared" si="22"/>
        <v>1</v>
      </c>
      <c r="D85" s="59"/>
      <c r="E85" s="59"/>
      <c r="F85" s="59"/>
      <c r="G85" s="59"/>
      <c r="H85" s="59"/>
      <c r="I85" s="59"/>
      <c r="J85" s="59"/>
      <c r="K85" s="59"/>
      <c r="L85" s="59"/>
      <c r="M85" s="59"/>
      <c r="N85" s="59"/>
      <c r="O85" s="59"/>
      <c r="P85" s="59"/>
      <c r="Q85" s="59"/>
      <c r="R85" s="59"/>
      <c r="S85" s="59"/>
      <c r="T85" s="59"/>
      <c r="U85" s="59"/>
      <c r="V85" s="59"/>
      <c r="W85" s="59"/>
      <c r="X85" s="59"/>
      <c r="Y85" s="59"/>
      <c r="Z85" s="59"/>
    </row>
    <row r="86">
      <c r="A86" s="72" t="s">
        <v>2575</v>
      </c>
      <c r="B86" s="73">
        <f t="shared" ref="B86:C86" si="23">IFERROR(B77/(B77+B80),"N/A")</f>
        <v>0.75</v>
      </c>
      <c r="C86" s="73">
        <f t="shared" si="23"/>
        <v>0.25</v>
      </c>
      <c r="D86" s="59"/>
      <c r="E86" s="59"/>
      <c r="F86" s="59"/>
      <c r="G86" s="59"/>
      <c r="H86" s="59"/>
      <c r="I86" s="59"/>
      <c r="J86" s="59"/>
      <c r="K86" s="59"/>
      <c r="L86" s="59"/>
      <c r="M86" s="59"/>
      <c r="N86" s="59"/>
      <c r="O86" s="59"/>
      <c r="P86" s="59"/>
      <c r="Q86" s="59"/>
      <c r="R86" s="59"/>
      <c r="S86" s="59"/>
      <c r="T86" s="59"/>
      <c r="U86" s="59"/>
      <c r="V86" s="59"/>
      <c r="W86" s="59"/>
      <c r="X86" s="59"/>
      <c r="Y86" s="59"/>
      <c r="Z86" s="59"/>
    </row>
    <row r="87">
      <c r="A87" s="72" t="s">
        <v>2576</v>
      </c>
      <c r="B87" s="73">
        <f t="shared" ref="B87:C87" si="24">IFERROR(2*B85*B86/(B85+B86),"N/A")</f>
        <v>0.75</v>
      </c>
      <c r="C87" s="73">
        <f t="shared" si="24"/>
        <v>0.4</v>
      </c>
      <c r="D87" s="59"/>
      <c r="E87" s="59"/>
      <c r="F87" s="59"/>
      <c r="G87" s="59"/>
      <c r="H87" s="59"/>
      <c r="I87" s="59"/>
      <c r="J87" s="59"/>
      <c r="K87" s="59"/>
      <c r="L87" s="59"/>
      <c r="M87" s="59"/>
      <c r="N87" s="59"/>
      <c r="O87" s="59"/>
      <c r="P87" s="59"/>
      <c r="Q87" s="59"/>
      <c r="R87" s="59"/>
      <c r="S87" s="59"/>
      <c r="T87" s="59"/>
      <c r="U87" s="59"/>
      <c r="V87" s="59"/>
      <c r="W87" s="59"/>
      <c r="X87" s="59"/>
      <c r="Y87" s="59"/>
      <c r="Z87" s="59"/>
    </row>
    <row r="88">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row>
    <row r="89">
      <c r="A89" s="62" t="s">
        <v>2580</v>
      </c>
      <c r="B89" s="57"/>
      <c r="C89" s="58"/>
      <c r="D89" s="59"/>
      <c r="E89" s="59"/>
      <c r="F89" s="59"/>
      <c r="G89" s="59"/>
      <c r="H89" s="59"/>
      <c r="I89" s="59"/>
      <c r="J89" s="59"/>
      <c r="K89" s="59"/>
      <c r="L89" s="59"/>
      <c r="M89" s="59"/>
      <c r="N89" s="59"/>
      <c r="O89" s="59"/>
      <c r="P89" s="59"/>
      <c r="Q89" s="59"/>
      <c r="R89" s="59"/>
      <c r="S89" s="59"/>
      <c r="T89" s="59"/>
      <c r="U89" s="59"/>
      <c r="V89" s="59"/>
      <c r="W89" s="59"/>
      <c r="X89" s="59"/>
      <c r="Y89" s="59"/>
      <c r="Z89" s="59"/>
    </row>
    <row r="90">
      <c r="A90" s="63" t="s">
        <v>2557</v>
      </c>
      <c r="B90" s="63" t="s">
        <v>2558</v>
      </c>
      <c r="C90" s="63" t="s">
        <v>2559</v>
      </c>
      <c r="D90" s="59"/>
      <c r="E90" s="59"/>
      <c r="F90" s="59"/>
      <c r="G90" s="59"/>
      <c r="H90" s="59"/>
      <c r="I90" s="59"/>
      <c r="J90" s="59"/>
      <c r="K90" s="59"/>
      <c r="L90" s="59"/>
      <c r="M90" s="59"/>
      <c r="N90" s="59"/>
      <c r="O90" s="59"/>
      <c r="P90" s="59"/>
      <c r="Q90" s="59"/>
      <c r="R90" s="59"/>
      <c r="S90" s="59"/>
      <c r="T90" s="59"/>
      <c r="U90" s="59"/>
      <c r="V90" s="59"/>
      <c r="W90" s="59"/>
      <c r="X90" s="59"/>
      <c r="Y90" s="59"/>
      <c r="Z90" s="59"/>
    </row>
    <row r="91">
      <c r="A91" s="64" t="s">
        <v>2560</v>
      </c>
      <c r="B91" s="65">
        <f>COUNTA(Scopus!F2:F73)</f>
        <v>72</v>
      </c>
      <c r="C91" s="65">
        <f>COUNTA(Scopus!F2:F73)</f>
        <v>72</v>
      </c>
      <c r="D91" s="59"/>
      <c r="E91" s="59"/>
      <c r="F91" s="59"/>
      <c r="G91" s="59"/>
      <c r="H91" s="59"/>
      <c r="I91" s="59"/>
      <c r="J91" s="59"/>
      <c r="K91" s="59"/>
      <c r="L91" s="59"/>
      <c r="M91" s="59"/>
      <c r="N91" s="59"/>
      <c r="O91" s="59"/>
      <c r="P91" s="59"/>
      <c r="Q91" s="59"/>
      <c r="R91" s="59"/>
      <c r="S91" s="59"/>
      <c r="T91" s="59"/>
      <c r="U91" s="59"/>
      <c r="V91" s="59"/>
      <c r="W91" s="59"/>
      <c r="X91" s="59"/>
      <c r="Y91" s="59"/>
      <c r="Z91" s="59"/>
    </row>
    <row r="92">
      <c r="A92" s="66" t="s">
        <v>2561</v>
      </c>
      <c r="B92" s="67">
        <f>COUNTIF(Scopus!F2:F73,"Conforme")+COUNTIF(Scopus!F2:F73,"Inconforme -Artigos duplicados ou similares")</f>
        <v>33</v>
      </c>
      <c r="C92" s="67">
        <f>COUNTIF(Scopus!F2:F73,"Conforme")+COUNTIF(Scopus!F2:F73,"Inconforme -Artigos duplicados ou similares")</f>
        <v>33</v>
      </c>
      <c r="D92" s="59"/>
      <c r="E92" s="59"/>
      <c r="F92" s="59"/>
      <c r="G92" s="59"/>
      <c r="H92" s="59"/>
      <c r="I92" s="59"/>
      <c r="J92" s="59"/>
      <c r="K92" s="59"/>
      <c r="L92" s="59"/>
      <c r="M92" s="59"/>
      <c r="N92" s="59"/>
      <c r="O92" s="59"/>
      <c r="P92" s="59"/>
      <c r="Q92" s="59"/>
      <c r="R92" s="59"/>
      <c r="S92" s="59"/>
      <c r="T92" s="59"/>
      <c r="U92" s="59"/>
      <c r="V92" s="59"/>
      <c r="W92" s="59"/>
      <c r="X92" s="59"/>
      <c r="Y92" s="59"/>
      <c r="Z92" s="59"/>
    </row>
    <row r="93">
      <c r="A93" s="68" t="s">
        <v>2562</v>
      </c>
      <c r="B93" s="69">
        <f>COUNTIF(Scopus!F2:F73,"Inconforme")</f>
        <v>39</v>
      </c>
      <c r="C93" s="69">
        <f>COUNTIF(Scopus!F2:F73,"Inconforme")</f>
        <v>39</v>
      </c>
      <c r="D93" s="59"/>
      <c r="E93" s="59"/>
      <c r="F93" s="59"/>
      <c r="G93" s="59"/>
      <c r="H93" s="59"/>
      <c r="I93" s="59"/>
      <c r="J93" s="59"/>
      <c r="K93" s="59"/>
      <c r="L93" s="59"/>
      <c r="M93" s="59"/>
      <c r="N93" s="59"/>
      <c r="O93" s="59"/>
      <c r="P93" s="59"/>
      <c r="Q93" s="59"/>
      <c r="R93" s="59"/>
      <c r="S93" s="59"/>
      <c r="T93" s="59"/>
      <c r="U93" s="59"/>
      <c r="V93" s="59"/>
      <c r="W93" s="59"/>
      <c r="X93" s="59"/>
      <c r="Y93" s="59"/>
      <c r="Z93" s="59"/>
    </row>
    <row r="94">
      <c r="A94" s="70" t="s">
        <v>2563</v>
      </c>
      <c r="B94" s="71">
        <f>COUNTA(Scopus!F2:F73)-COUNTIF(Scopus!F2:F73,"Conforme")-COUNTIF(Scopus!F2:F73,"Inconforme")-COUNTIF(Scopus!F2:F73,"Inconforme -Artigos duplicados ou similares")</f>
        <v>0</v>
      </c>
      <c r="C94" s="71">
        <f>COUNTA(Scopus!F2:F73)-COUNTIF(Scopus!F2:F73,"Conforme")-COUNTIF(Scopus!F2:F73,"Inconforme")-COUNTIF(Scopus!F2:F73,"Inconforme -Artigos duplicados ou similares")</f>
        <v>0</v>
      </c>
      <c r="D94" s="59"/>
      <c r="E94" s="59"/>
      <c r="F94" s="59"/>
      <c r="G94" s="59"/>
      <c r="H94" s="59"/>
      <c r="I94" s="59"/>
      <c r="J94" s="59"/>
      <c r="K94" s="59"/>
      <c r="L94" s="59"/>
      <c r="M94" s="59"/>
      <c r="N94" s="59"/>
      <c r="O94" s="59"/>
      <c r="P94" s="59"/>
      <c r="Q94" s="59"/>
      <c r="R94" s="59"/>
      <c r="S94" s="59"/>
      <c r="T94" s="59"/>
      <c r="U94" s="59"/>
      <c r="V94" s="59"/>
      <c r="W94" s="59"/>
      <c r="X94" s="59"/>
      <c r="Y94" s="59"/>
      <c r="Z94" s="59"/>
    </row>
    <row r="95">
      <c r="A95" s="70" t="s">
        <v>2564</v>
      </c>
      <c r="B95" s="71">
        <f>COUNTBLANK(Scopus!A2:A73)</f>
        <v>0</v>
      </c>
      <c r="C95" s="71" t="s">
        <v>2565</v>
      </c>
      <c r="D95" s="59"/>
      <c r="E95" s="59"/>
      <c r="F95" s="59"/>
      <c r="G95" s="59"/>
      <c r="H95" s="59"/>
      <c r="I95" s="59"/>
      <c r="J95" s="59"/>
      <c r="K95" s="59"/>
      <c r="L95" s="59"/>
      <c r="M95" s="59"/>
      <c r="N95" s="59"/>
      <c r="O95" s="59"/>
      <c r="P95" s="59"/>
      <c r="Q95" s="59"/>
      <c r="R95" s="59"/>
      <c r="S95" s="59"/>
      <c r="T95" s="59"/>
      <c r="U95" s="59"/>
      <c r="V95" s="59"/>
      <c r="W95" s="59"/>
      <c r="X95" s="59"/>
      <c r="Y95" s="59"/>
      <c r="Z95" s="59"/>
    </row>
    <row r="96">
      <c r="A96" s="70" t="s">
        <v>2566</v>
      </c>
      <c r="B96" s="71" t="s">
        <v>2565</v>
      </c>
      <c r="C96" s="71">
        <f>COUNTBLANK(Scopus!C2:C73)</f>
        <v>0</v>
      </c>
      <c r="D96" s="59"/>
      <c r="E96" s="59"/>
      <c r="F96" s="59"/>
      <c r="G96" s="59"/>
      <c r="H96" s="59"/>
      <c r="I96" s="59"/>
      <c r="J96" s="59"/>
      <c r="K96" s="59"/>
      <c r="L96" s="59"/>
      <c r="M96" s="59"/>
      <c r="N96" s="59"/>
      <c r="O96" s="59"/>
      <c r="P96" s="59"/>
      <c r="Q96" s="59"/>
      <c r="R96" s="59"/>
      <c r="S96" s="59"/>
      <c r="T96" s="59"/>
      <c r="U96" s="59"/>
      <c r="V96" s="59"/>
      <c r="W96" s="59"/>
      <c r="X96" s="59"/>
      <c r="Y96" s="59"/>
      <c r="Z96" s="59"/>
    </row>
    <row r="97">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row>
    <row r="98">
      <c r="A98" s="66" t="s">
        <v>2567</v>
      </c>
      <c r="B98" s="67">
        <f>COUNTIFS(Scopus!A2:A73,"Conforme",Scopus!F2:F73,"Conforme")+COUNTIFS(Scopus!A2:A73,"Conforme",Scopus!F2:F73,"Inconforme -Artigos duplicados ou similares")</f>
        <v>26</v>
      </c>
      <c r="C98" s="67">
        <f>COUNTIFS(Scopus!C2:C73,"Conforme",Scopus!F2:F73,"Conforme")+COUNTIFS(Scopus!C2:C73,"Conforme",Scopus!F2:F73,"Inconforme -Artigos duplicados ou similares")</f>
        <v>20</v>
      </c>
      <c r="D98" s="59"/>
      <c r="E98" s="59"/>
      <c r="F98" s="59"/>
      <c r="G98" s="59"/>
      <c r="H98" s="59"/>
      <c r="I98" s="59"/>
      <c r="J98" s="59"/>
      <c r="K98" s="59"/>
      <c r="L98" s="59"/>
      <c r="M98" s="59"/>
      <c r="N98" s="59"/>
      <c r="O98" s="59"/>
      <c r="P98" s="59"/>
      <c r="Q98" s="59"/>
      <c r="R98" s="59"/>
      <c r="S98" s="59"/>
      <c r="T98" s="59"/>
      <c r="U98" s="59"/>
      <c r="V98" s="59"/>
      <c r="W98" s="59"/>
      <c r="X98" s="59"/>
      <c r="Y98" s="59"/>
      <c r="Z98" s="59"/>
    </row>
    <row r="99">
      <c r="A99" s="66" t="s">
        <v>2568</v>
      </c>
      <c r="B99" s="67">
        <f>COUNTIFS(Scopus!A2:A73,"Inconforme",Scopus!F2:F73,"Inconforme")</f>
        <v>36</v>
      </c>
      <c r="C99" s="67">
        <f>COUNTIFS(Scopus!C2:C73,"Inconforme",Scopus!F2:F73,"Inconforme")</f>
        <v>37</v>
      </c>
      <c r="D99" s="59"/>
      <c r="E99" s="59"/>
      <c r="F99" s="59"/>
      <c r="G99" s="59"/>
      <c r="H99" s="59"/>
      <c r="I99" s="59"/>
      <c r="J99" s="59"/>
      <c r="K99" s="59"/>
      <c r="L99" s="59"/>
      <c r="M99" s="59"/>
      <c r="N99" s="59"/>
      <c r="O99" s="59"/>
      <c r="P99" s="59"/>
      <c r="Q99" s="59"/>
      <c r="R99" s="59"/>
      <c r="S99" s="59"/>
      <c r="T99" s="59"/>
      <c r="U99" s="59"/>
      <c r="V99" s="59"/>
      <c r="W99" s="59"/>
      <c r="X99" s="59"/>
      <c r="Y99" s="59"/>
      <c r="Z99" s="59"/>
    </row>
    <row r="100">
      <c r="A100" s="68" t="s">
        <v>2569</v>
      </c>
      <c r="B100" s="69">
        <f>COUNTIFS(Scopus!A2:A73,"Conforme",Scopus!F2:F73,"Inconforme")</f>
        <v>3</v>
      </c>
      <c r="C100" s="69">
        <f>COUNTIFS(Scopus!C2:C73,"Conforme",Scopus!F2:F73,"Inconforme")</f>
        <v>2</v>
      </c>
      <c r="D100" s="59"/>
      <c r="E100" s="59"/>
      <c r="F100" s="59"/>
      <c r="G100" s="59"/>
      <c r="H100" s="59"/>
      <c r="I100" s="59"/>
      <c r="J100" s="59"/>
      <c r="K100" s="59"/>
      <c r="L100" s="59"/>
      <c r="M100" s="59"/>
      <c r="N100" s="59"/>
      <c r="O100" s="59"/>
      <c r="P100" s="59"/>
      <c r="Q100" s="59"/>
      <c r="R100" s="59"/>
      <c r="S100" s="59"/>
      <c r="T100" s="59"/>
      <c r="U100" s="59"/>
      <c r="V100" s="59"/>
      <c r="W100" s="59"/>
      <c r="X100" s="59"/>
      <c r="Y100" s="59"/>
      <c r="Z100" s="59"/>
    </row>
    <row r="101">
      <c r="A101" s="68" t="s">
        <v>2570</v>
      </c>
      <c r="B101" s="69">
        <f>COUNTIFS(Scopus!A2:A73,"Inconforme",Scopus!F2:F73,"Conforme")+COUNTIFS(Scopus!A2:A73,"Inconforme",Scopus!F2:F73,"Inconforme -Artigos duplicados ou similares")</f>
        <v>7</v>
      </c>
      <c r="C101" s="69">
        <f>COUNTIFS(Scopus!C2:C73,"Inconforme",Scopus!F2:F73,"Conforme")+COUNTIFS(Scopus!C2:C73,"Inconforme",Scopus!F2:F73,"Inconforme -Artigos duplicados ou similares")</f>
        <v>13</v>
      </c>
      <c r="D101" s="59"/>
      <c r="E101" s="59"/>
      <c r="F101" s="59"/>
      <c r="G101" s="59"/>
      <c r="H101" s="59"/>
      <c r="I101" s="59"/>
      <c r="J101" s="59"/>
      <c r="K101" s="59"/>
      <c r="L101" s="59"/>
      <c r="M101" s="59"/>
      <c r="N101" s="59"/>
      <c r="O101" s="59"/>
      <c r="P101" s="59"/>
      <c r="Q101" s="59"/>
      <c r="R101" s="59"/>
      <c r="S101" s="59"/>
      <c r="T101" s="59"/>
      <c r="U101" s="59"/>
      <c r="V101" s="59"/>
      <c r="W101" s="59"/>
      <c r="X101" s="59"/>
      <c r="Y101" s="59"/>
      <c r="Z101" s="59"/>
    </row>
    <row r="102">
      <c r="A102" s="66" t="s">
        <v>2571</v>
      </c>
      <c r="B102" s="67">
        <f t="shared" ref="B102:C102" si="25">B98+B99</f>
        <v>62</v>
      </c>
      <c r="C102" s="67">
        <f t="shared" si="25"/>
        <v>57</v>
      </c>
      <c r="D102" s="59"/>
      <c r="E102" s="59"/>
      <c r="F102" s="59"/>
      <c r="G102" s="59"/>
      <c r="H102" s="59"/>
      <c r="I102" s="59"/>
      <c r="J102" s="59"/>
      <c r="K102" s="59"/>
      <c r="L102" s="59"/>
      <c r="M102" s="59"/>
      <c r="N102" s="59"/>
      <c r="O102" s="59"/>
      <c r="P102" s="59"/>
      <c r="Q102" s="59"/>
      <c r="R102" s="59"/>
      <c r="S102" s="59"/>
      <c r="T102" s="59"/>
      <c r="U102" s="59"/>
      <c r="V102" s="59"/>
      <c r="W102" s="59"/>
      <c r="X102" s="59"/>
      <c r="Y102" s="59"/>
      <c r="Z102" s="59"/>
    </row>
    <row r="103">
      <c r="A103" s="68" t="s">
        <v>2572</v>
      </c>
      <c r="B103" s="69">
        <f t="shared" ref="B103:C103" si="26">B100+B101</f>
        <v>10</v>
      </c>
      <c r="C103" s="69">
        <f t="shared" si="26"/>
        <v>15</v>
      </c>
      <c r="D103" s="59"/>
      <c r="E103" s="59"/>
      <c r="F103" s="59"/>
      <c r="G103" s="59"/>
      <c r="H103" s="59"/>
      <c r="I103" s="59"/>
      <c r="J103" s="59"/>
      <c r="K103" s="59"/>
      <c r="L103" s="59"/>
      <c r="M103" s="59"/>
      <c r="N103" s="59"/>
      <c r="O103" s="59"/>
      <c r="P103" s="59"/>
      <c r="Q103" s="59"/>
      <c r="R103" s="59"/>
      <c r="S103" s="59"/>
      <c r="T103" s="59"/>
      <c r="U103" s="59"/>
      <c r="V103" s="59"/>
      <c r="W103" s="59"/>
      <c r="X103" s="59"/>
      <c r="Y103" s="59"/>
      <c r="Z103" s="59"/>
    </row>
    <row r="104">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row>
    <row r="105">
      <c r="A105" s="72" t="s">
        <v>2573</v>
      </c>
      <c r="B105" s="73">
        <f t="shared" ref="B105:C105" si="27">IFERROR((B98+B99)/B91,"N/A")</f>
        <v>0.8611111111</v>
      </c>
      <c r="C105" s="73">
        <f t="shared" si="27"/>
        <v>0.7916666667</v>
      </c>
      <c r="D105" s="59"/>
      <c r="E105" s="59"/>
      <c r="F105" s="59"/>
      <c r="G105" s="59"/>
      <c r="H105" s="59"/>
      <c r="I105" s="59"/>
      <c r="J105" s="59"/>
      <c r="K105" s="59"/>
      <c r="L105" s="59"/>
      <c r="M105" s="59"/>
      <c r="N105" s="59"/>
      <c r="O105" s="59"/>
      <c r="P105" s="59"/>
      <c r="Q105" s="59"/>
      <c r="R105" s="59"/>
      <c r="S105" s="59"/>
      <c r="T105" s="59"/>
      <c r="U105" s="59"/>
      <c r="V105" s="59"/>
      <c r="W105" s="59"/>
      <c r="X105" s="59"/>
      <c r="Y105" s="59"/>
      <c r="Z105" s="59"/>
    </row>
    <row r="106">
      <c r="A106" s="72" t="s">
        <v>2574</v>
      </c>
      <c r="B106" s="73">
        <f t="shared" ref="B106:C106" si="28">IFERROR(B98/(B98+B100),"N/A")</f>
        <v>0.8965517241</v>
      </c>
      <c r="C106" s="73">
        <f t="shared" si="28"/>
        <v>0.9090909091</v>
      </c>
      <c r="D106" s="59"/>
      <c r="E106" s="59"/>
      <c r="F106" s="59"/>
      <c r="G106" s="59"/>
      <c r="H106" s="59"/>
      <c r="I106" s="59"/>
      <c r="J106" s="59"/>
      <c r="K106" s="59"/>
      <c r="L106" s="59"/>
      <c r="M106" s="59"/>
      <c r="N106" s="59"/>
      <c r="O106" s="59"/>
      <c r="P106" s="59"/>
      <c r="Q106" s="59"/>
      <c r="R106" s="59"/>
      <c r="S106" s="59"/>
      <c r="T106" s="59"/>
      <c r="U106" s="59"/>
      <c r="V106" s="59"/>
      <c r="W106" s="59"/>
      <c r="X106" s="59"/>
      <c r="Y106" s="59"/>
      <c r="Z106" s="59"/>
    </row>
    <row r="107">
      <c r="A107" s="72" t="s">
        <v>2575</v>
      </c>
      <c r="B107" s="73">
        <f t="shared" ref="B107:C107" si="29">IFERROR(B98/(B98+B101),"N/A")</f>
        <v>0.7878787879</v>
      </c>
      <c r="C107" s="73">
        <f t="shared" si="29"/>
        <v>0.6060606061</v>
      </c>
      <c r="D107" s="59"/>
      <c r="E107" s="59"/>
      <c r="F107" s="59"/>
      <c r="G107" s="59"/>
      <c r="H107" s="59"/>
      <c r="I107" s="59"/>
      <c r="J107" s="59"/>
      <c r="K107" s="59"/>
      <c r="L107" s="59"/>
      <c r="M107" s="59"/>
      <c r="N107" s="59"/>
      <c r="O107" s="59"/>
      <c r="P107" s="59"/>
      <c r="Q107" s="59"/>
      <c r="R107" s="59"/>
      <c r="S107" s="59"/>
      <c r="T107" s="59"/>
      <c r="U107" s="59"/>
      <c r="V107" s="59"/>
      <c r="W107" s="59"/>
      <c r="X107" s="59"/>
      <c r="Y107" s="59"/>
      <c r="Z107" s="59"/>
    </row>
    <row r="108">
      <c r="A108" s="72" t="s">
        <v>2576</v>
      </c>
      <c r="B108" s="73">
        <f t="shared" ref="B108:C108" si="30">IFERROR(2*B106*B107/(B106+B107),"N/A")</f>
        <v>0.8387096774</v>
      </c>
      <c r="C108" s="73">
        <f t="shared" si="30"/>
        <v>0.7272727273</v>
      </c>
      <c r="D108" s="59"/>
      <c r="E108" s="59"/>
      <c r="F108" s="59"/>
      <c r="G108" s="59"/>
      <c r="H108" s="59"/>
      <c r="I108" s="59"/>
      <c r="J108" s="59"/>
      <c r="K108" s="59"/>
      <c r="L108" s="59"/>
      <c r="M108" s="59"/>
      <c r="N108" s="59"/>
      <c r="O108" s="59"/>
      <c r="P108" s="59"/>
      <c r="Q108" s="59"/>
      <c r="R108" s="59"/>
      <c r="S108" s="59"/>
      <c r="T108" s="59"/>
      <c r="U108" s="59"/>
      <c r="V108" s="59"/>
      <c r="W108" s="59"/>
      <c r="X108" s="59"/>
      <c r="Y108" s="59"/>
      <c r="Z108" s="59"/>
    </row>
    <row r="109">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row>
    <row r="110">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row>
    <row r="111">
      <c r="A111" s="74" t="s">
        <v>2581</v>
      </c>
      <c r="B111" s="57"/>
      <c r="C111" s="58"/>
      <c r="D111" s="59"/>
      <c r="E111" s="59"/>
      <c r="F111" s="59"/>
      <c r="G111" s="59"/>
      <c r="H111" s="59"/>
      <c r="I111" s="59"/>
      <c r="J111" s="59"/>
      <c r="K111" s="59"/>
      <c r="L111" s="59"/>
      <c r="M111" s="59"/>
      <c r="N111" s="59"/>
      <c r="O111" s="59"/>
      <c r="P111" s="59"/>
      <c r="Q111" s="59"/>
      <c r="R111" s="59"/>
      <c r="S111" s="59"/>
      <c r="T111" s="59"/>
      <c r="U111" s="59"/>
      <c r="V111" s="59"/>
      <c r="W111" s="59"/>
      <c r="X111" s="59"/>
      <c r="Y111" s="59"/>
      <c r="Z111" s="59"/>
    </row>
    <row r="112">
      <c r="A112" s="63" t="s">
        <v>2557</v>
      </c>
      <c r="B112" s="63" t="s">
        <v>2582</v>
      </c>
      <c r="C112" s="63" t="s">
        <v>2583</v>
      </c>
      <c r="D112" s="59"/>
      <c r="E112" s="59"/>
      <c r="F112" s="59"/>
      <c r="G112" s="59"/>
      <c r="H112" s="59"/>
      <c r="I112" s="59"/>
      <c r="J112" s="59"/>
      <c r="K112" s="59"/>
      <c r="L112" s="59"/>
      <c r="M112" s="59"/>
      <c r="N112" s="59"/>
      <c r="O112" s="59"/>
      <c r="P112" s="59"/>
      <c r="Q112" s="59"/>
      <c r="R112" s="59"/>
      <c r="S112" s="59"/>
      <c r="T112" s="59"/>
      <c r="U112" s="59"/>
      <c r="V112" s="59"/>
      <c r="W112" s="59"/>
      <c r="X112" s="59"/>
      <c r="Y112" s="59"/>
      <c r="Z112" s="59"/>
    </row>
    <row r="113">
      <c r="A113" s="64" t="s">
        <v>2560</v>
      </c>
      <c r="B113" s="65">
        <f>B7+B28+B49+B70+B91</f>
        <v>339</v>
      </c>
      <c r="C113" s="65">
        <f>B7+B28+B49+B70+B91</f>
        <v>339</v>
      </c>
      <c r="D113" s="59"/>
      <c r="E113" s="59"/>
      <c r="F113" s="59"/>
      <c r="G113" s="59"/>
      <c r="H113" s="59"/>
      <c r="I113" s="59"/>
      <c r="J113" s="59"/>
      <c r="K113" s="59"/>
      <c r="L113" s="59"/>
      <c r="M113" s="59"/>
      <c r="N113" s="59"/>
      <c r="O113" s="59"/>
      <c r="P113" s="59"/>
      <c r="Q113" s="59"/>
      <c r="R113" s="59"/>
      <c r="S113" s="59"/>
      <c r="T113" s="59"/>
      <c r="U113" s="59"/>
      <c r="V113" s="59"/>
      <c r="W113" s="59"/>
      <c r="X113" s="59"/>
      <c r="Y113" s="59"/>
      <c r="Z113" s="59"/>
    </row>
    <row r="114">
      <c r="A114" s="66" t="s">
        <v>2584</v>
      </c>
      <c r="B114" s="67">
        <f t="shared" ref="B114:C114" si="31">B14+B35+B56+B77+B98</f>
        <v>77</v>
      </c>
      <c r="C114" s="67">
        <f t="shared" si="31"/>
        <v>55</v>
      </c>
      <c r="D114" s="59"/>
      <c r="E114" s="59"/>
      <c r="F114" s="59"/>
      <c r="G114" s="59"/>
      <c r="H114" s="59"/>
      <c r="I114" s="59"/>
      <c r="J114" s="59"/>
      <c r="K114" s="59"/>
      <c r="L114" s="59"/>
      <c r="M114" s="59"/>
      <c r="N114" s="59"/>
      <c r="O114" s="59"/>
      <c r="P114" s="59"/>
      <c r="Q114" s="59"/>
      <c r="R114" s="59"/>
      <c r="S114" s="59"/>
      <c r="T114" s="59"/>
      <c r="U114" s="59"/>
      <c r="V114" s="59"/>
      <c r="W114" s="59"/>
      <c r="X114" s="59"/>
      <c r="Y114" s="59"/>
      <c r="Z114" s="59"/>
    </row>
    <row r="115">
      <c r="A115" s="66" t="s">
        <v>2585</v>
      </c>
      <c r="B115" s="67">
        <f t="shared" ref="B115:C115" si="32">B15+B36+B57+B78+B99</f>
        <v>221</v>
      </c>
      <c r="C115" s="67">
        <f t="shared" si="32"/>
        <v>231</v>
      </c>
      <c r="D115" s="59"/>
      <c r="E115" s="59"/>
      <c r="F115" s="59"/>
      <c r="G115" s="59"/>
      <c r="H115" s="59"/>
      <c r="I115" s="59"/>
      <c r="J115" s="59"/>
      <c r="K115" s="59"/>
      <c r="L115" s="59"/>
      <c r="M115" s="59"/>
      <c r="N115" s="59"/>
      <c r="O115" s="59"/>
      <c r="P115" s="59"/>
      <c r="Q115" s="59"/>
      <c r="R115" s="59"/>
      <c r="S115" s="59"/>
      <c r="T115" s="59"/>
      <c r="U115" s="59"/>
      <c r="V115" s="59"/>
      <c r="W115" s="59"/>
      <c r="X115" s="59"/>
      <c r="Y115" s="59"/>
      <c r="Z115" s="59"/>
    </row>
    <row r="116">
      <c r="A116" s="68" t="s">
        <v>2586</v>
      </c>
      <c r="B116" s="69">
        <f t="shared" ref="B116:C116" si="33">B16+B37+B58+B79+B100</f>
        <v>12</v>
      </c>
      <c r="C116" s="69">
        <f t="shared" si="33"/>
        <v>2</v>
      </c>
      <c r="D116" s="59"/>
      <c r="E116" s="59"/>
      <c r="F116" s="59"/>
      <c r="G116" s="59"/>
      <c r="H116" s="59"/>
      <c r="I116" s="59"/>
      <c r="J116" s="59"/>
      <c r="K116" s="59"/>
      <c r="L116" s="59"/>
      <c r="M116" s="59"/>
      <c r="N116" s="59"/>
      <c r="O116" s="59"/>
      <c r="P116" s="59"/>
      <c r="Q116" s="59"/>
      <c r="R116" s="59"/>
      <c r="S116" s="59"/>
      <c r="T116" s="59"/>
      <c r="U116" s="59"/>
      <c r="V116" s="59"/>
      <c r="W116" s="59"/>
      <c r="X116" s="59"/>
      <c r="Y116" s="59"/>
      <c r="Z116" s="59"/>
    </row>
    <row r="117">
      <c r="A117" s="68" t="s">
        <v>2587</v>
      </c>
      <c r="B117" s="69">
        <f t="shared" ref="B117:C117" si="34">B17+B38+B59+B80+B101</f>
        <v>29</v>
      </c>
      <c r="C117" s="69">
        <f t="shared" si="34"/>
        <v>51</v>
      </c>
      <c r="D117" s="59"/>
      <c r="E117" s="59"/>
      <c r="F117" s="59"/>
      <c r="G117" s="59"/>
      <c r="H117" s="59"/>
      <c r="I117" s="59"/>
      <c r="J117" s="59"/>
      <c r="K117" s="59"/>
      <c r="L117" s="59"/>
      <c r="M117" s="59"/>
      <c r="N117" s="59"/>
      <c r="O117" s="59"/>
      <c r="P117" s="59"/>
      <c r="Q117" s="59"/>
      <c r="R117" s="59"/>
      <c r="S117" s="59"/>
      <c r="T117" s="59"/>
      <c r="U117" s="59"/>
      <c r="V117" s="59"/>
      <c r="W117" s="59"/>
      <c r="X117" s="59"/>
      <c r="Y117" s="59"/>
      <c r="Z117" s="59"/>
    </row>
    <row r="118">
      <c r="A118" s="66" t="s">
        <v>2571</v>
      </c>
      <c r="B118" s="67">
        <f t="shared" ref="B118:C118" si="35">B114+B115</f>
        <v>298</v>
      </c>
      <c r="C118" s="67">
        <f t="shared" si="35"/>
        <v>286</v>
      </c>
      <c r="D118" s="59"/>
      <c r="E118" s="59"/>
      <c r="F118" s="59"/>
      <c r="G118" s="59"/>
      <c r="H118" s="59"/>
      <c r="I118" s="59"/>
      <c r="J118" s="59"/>
      <c r="K118" s="59"/>
      <c r="L118" s="59"/>
      <c r="M118" s="59"/>
      <c r="N118" s="59"/>
      <c r="O118" s="59"/>
      <c r="P118" s="59"/>
      <c r="Q118" s="59"/>
      <c r="R118" s="59"/>
      <c r="S118" s="59"/>
      <c r="T118" s="59"/>
      <c r="U118" s="59"/>
      <c r="V118" s="59"/>
      <c r="W118" s="59"/>
      <c r="X118" s="59"/>
      <c r="Y118" s="59"/>
      <c r="Z118" s="59"/>
    </row>
    <row r="119">
      <c r="A119" s="68" t="s">
        <v>2572</v>
      </c>
      <c r="B119" s="69">
        <f t="shared" ref="B119:C119" si="36">B116+B117</f>
        <v>41</v>
      </c>
      <c r="C119" s="69">
        <f t="shared" si="36"/>
        <v>53</v>
      </c>
      <c r="D119" s="59"/>
      <c r="E119" s="59"/>
      <c r="F119" s="59"/>
      <c r="G119" s="59"/>
      <c r="H119" s="59"/>
      <c r="I119" s="59"/>
      <c r="J119" s="59"/>
      <c r="K119" s="59"/>
      <c r="L119" s="59"/>
      <c r="M119" s="59"/>
      <c r="N119" s="59"/>
      <c r="O119" s="59"/>
      <c r="P119" s="59"/>
      <c r="Q119" s="59"/>
      <c r="R119" s="59"/>
      <c r="S119" s="59"/>
      <c r="T119" s="59"/>
      <c r="U119" s="59"/>
      <c r="V119" s="59"/>
      <c r="W119" s="59"/>
      <c r="X119" s="59"/>
      <c r="Y119" s="59"/>
      <c r="Z119" s="59"/>
    </row>
    <row r="120">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row>
    <row r="121">
      <c r="A121" s="72" t="s">
        <v>2588</v>
      </c>
      <c r="B121" s="73">
        <f t="shared" ref="B121:C121" si="37">IFERROR((B114+B115)/B113,"N/A")</f>
        <v>0.8790560472</v>
      </c>
      <c r="C121" s="73">
        <f t="shared" si="37"/>
        <v>0.8436578171</v>
      </c>
      <c r="D121" s="59"/>
      <c r="E121" s="59"/>
      <c r="F121" s="59"/>
      <c r="G121" s="59"/>
      <c r="H121" s="59"/>
      <c r="I121" s="59"/>
      <c r="J121" s="59"/>
      <c r="K121" s="59"/>
      <c r="L121" s="59"/>
      <c r="M121" s="59"/>
      <c r="N121" s="59"/>
      <c r="O121" s="59"/>
      <c r="P121" s="59"/>
      <c r="Q121" s="59"/>
      <c r="R121" s="59"/>
      <c r="S121" s="59"/>
      <c r="T121" s="59"/>
      <c r="U121" s="59"/>
      <c r="V121" s="59"/>
      <c r="W121" s="59"/>
      <c r="X121" s="59"/>
      <c r="Y121" s="59"/>
      <c r="Z121" s="59"/>
    </row>
    <row r="122">
      <c r="A122" s="72" t="s">
        <v>2589</v>
      </c>
      <c r="B122" s="73">
        <f t="shared" ref="B122:C122" si="38">IFERROR(B114/(B114+B116),"N/A")</f>
        <v>0.8651685393</v>
      </c>
      <c r="C122" s="73">
        <f t="shared" si="38"/>
        <v>0.9649122807</v>
      </c>
      <c r="D122" s="59"/>
      <c r="E122" s="59"/>
      <c r="F122" s="59"/>
      <c r="G122" s="59"/>
      <c r="H122" s="59"/>
      <c r="I122" s="59"/>
      <c r="J122" s="59"/>
      <c r="K122" s="59"/>
      <c r="L122" s="59"/>
      <c r="M122" s="59"/>
      <c r="N122" s="59"/>
      <c r="O122" s="59"/>
      <c r="P122" s="59"/>
      <c r="Q122" s="59"/>
      <c r="R122" s="59"/>
      <c r="S122" s="59"/>
      <c r="T122" s="59"/>
      <c r="U122" s="59"/>
      <c r="V122" s="59"/>
      <c r="W122" s="59"/>
      <c r="X122" s="59"/>
      <c r="Y122" s="59"/>
      <c r="Z122" s="59"/>
    </row>
    <row r="123">
      <c r="A123" s="72" t="s">
        <v>2590</v>
      </c>
      <c r="B123" s="73">
        <f t="shared" ref="B123:C123" si="39">IFERROR(B114/(B114+B117),"N/A")</f>
        <v>0.7264150943</v>
      </c>
      <c r="C123" s="73">
        <f t="shared" si="39"/>
        <v>0.5188679245</v>
      </c>
      <c r="D123" s="59"/>
      <c r="E123" s="59"/>
      <c r="F123" s="59"/>
      <c r="G123" s="59"/>
      <c r="H123" s="59"/>
      <c r="I123" s="59"/>
      <c r="J123" s="59"/>
      <c r="K123" s="59"/>
      <c r="L123" s="59"/>
      <c r="M123" s="59"/>
      <c r="N123" s="59"/>
      <c r="O123" s="59"/>
      <c r="P123" s="59"/>
      <c r="Q123" s="59"/>
      <c r="R123" s="59"/>
      <c r="S123" s="59"/>
      <c r="T123" s="59"/>
      <c r="U123" s="59"/>
      <c r="V123" s="59"/>
      <c r="W123" s="59"/>
      <c r="X123" s="59"/>
      <c r="Y123" s="59"/>
      <c r="Z123" s="59"/>
    </row>
    <row r="124">
      <c r="A124" s="72" t="s">
        <v>2591</v>
      </c>
      <c r="B124" s="73">
        <f t="shared" ref="B124:C124" si="40">IFERROR(2*B122*B123/(B122+B123),"N/A")</f>
        <v>0.7897435897</v>
      </c>
      <c r="C124" s="73">
        <f t="shared" si="40"/>
        <v>0.6748466258</v>
      </c>
      <c r="D124" s="59"/>
      <c r="E124" s="59"/>
      <c r="F124" s="59"/>
      <c r="G124" s="59"/>
      <c r="H124" s="59"/>
      <c r="I124" s="59"/>
      <c r="J124" s="59"/>
      <c r="K124" s="59"/>
      <c r="L124" s="59"/>
      <c r="M124" s="59"/>
      <c r="N124" s="59"/>
      <c r="O124" s="59"/>
      <c r="P124" s="59"/>
      <c r="Q124" s="59"/>
      <c r="R124" s="59"/>
      <c r="S124" s="59"/>
      <c r="T124" s="59"/>
      <c r="U124" s="59"/>
      <c r="V124" s="59"/>
      <c r="W124" s="59"/>
      <c r="X124" s="59"/>
      <c r="Y124" s="59"/>
      <c r="Z124" s="59"/>
    </row>
    <row r="125">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row>
    <row r="126">
      <c r="A126" s="74" t="s">
        <v>2592</v>
      </c>
      <c r="B126" s="57"/>
      <c r="C126" s="57"/>
      <c r="D126" s="57"/>
      <c r="E126" s="57"/>
      <c r="F126" s="57"/>
      <c r="G126" s="57"/>
      <c r="H126" s="57"/>
      <c r="I126" s="57"/>
      <c r="J126" s="57"/>
      <c r="K126" s="58"/>
      <c r="L126" s="59"/>
      <c r="M126" s="59"/>
      <c r="N126" s="59"/>
      <c r="O126" s="59"/>
      <c r="P126" s="59"/>
      <c r="Q126" s="59"/>
      <c r="R126" s="59"/>
      <c r="S126" s="59"/>
      <c r="T126" s="59"/>
      <c r="U126" s="59"/>
      <c r="V126" s="59"/>
      <c r="W126" s="59"/>
      <c r="X126" s="59"/>
      <c r="Y126" s="59"/>
      <c r="Z126" s="59"/>
    </row>
    <row r="127">
      <c r="A127" s="75" t="s">
        <v>2593</v>
      </c>
      <c r="B127" s="75" t="s">
        <v>2594</v>
      </c>
      <c r="C127" s="75" t="s">
        <v>2595</v>
      </c>
      <c r="D127" s="75" t="s">
        <v>2596</v>
      </c>
      <c r="E127" s="75" t="s">
        <v>2597</v>
      </c>
      <c r="F127" s="75" t="s">
        <v>2598</v>
      </c>
      <c r="G127" s="75" t="s">
        <v>2599</v>
      </c>
      <c r="H127" s="75" t="s">
        <v>2600</v>
      </c>
      <c r="I127" s="75" t="s">
        <v>2601</v>
      </c>
      <c r="J127" s="75" t="s">
        <v>2602</v>
      </c>
      <c r="K127" s="75" t="s">
        <v>2603</v>
      </c>
      <c r="L127" s="59"/>
      <c r="M127" s="59"/>
      <c r="N127" s="59"/>
      <c r="O127" s="59"/>
      <c r="P127" s="59"/>
      <c r="Q127" s="59"/>
      <c r="R127" s="59"/>
      <c r="S127" s="59"/>
      <c r="T127" s="59"/>
      <c r="U127" s="59"/>
      <c r="V127" s="59"/>
      <c r="W127" s="59"/>
      <c r="X127" s="59"/>
      <c r="Y127" s="59"/>
      <c r="Z127" s="59"/>
    </row>
    <row r="128">
      <c r="A128" s="76" t="s">
        <v>2604</v>
      </c>
      <c r="B128" s="77">
        <v>1.0</v>
      </c>
      <c r="C128" s="76" t="str">
        <f>Springer!J2</f>
        <v>Maximizing Business Process Efficiency in Industry 4.0: A Techno-Functional Exploration of Process Mining Tools</v>
      </c>
      <c r="D128" s="76" t="str">
        <f>Springer!F2</f>
        <v>Conforme</v>
      </c>
      <c r="E128" s="76" t="str">
        <f t="shared" ref="E128:E466" si="41">IF(D128="Inconforme -Artigos duplicados ou similares","Conforme",IF(OR(D128="",D128="Duvida"),"Sem classificação",D128))</f>
        <v>Conforme</v>
      </c>
      <c r="F128" s="77" t="str">
        <f>Springer!A2</f>
        <v>Inconforme</v>
      </c>
      <c r="G128" s="77" t="str">
        <f t="shared" ref="G128:G466" si="42">IF(F128="","Sem classificação",IF(E128="Sem classificação","Sem classificação",IF(F128=E128,"Acerto","Divergência")))</f>
        <v>Divergência</v>
      </c>
      <c r="H128" s="77" t="str">
        <f t="shared" ref="H128:H466" si="43">IF(OR(F128="",E128="Sem classificação"),"—",IF(AND(F128="Conforme",E128="Conforme"),"VP",IF(AND(F128="Inconforme",E128="Inconforme"),"VN",IF(AND(F128="Conforme",E128="Inconforme"),"FP","FN"))))</f>
        <v>FN</v>
      </c>
      <c r="I128" s="77" t="str">
        <f>Springer!C2</f>
        <v>Conforme</v>
      </c>
      <c r="J128" s="77" t="str">
        <f t="shared" ref="J128:J466" si="44">IF(I128="","Sem classificação",IF(E128="Sem classificação","Sem classificação",IF(I128=E128,"Acerto","Divergência")))</f>
        <v>Acerto</v>
      </c>
      <c r="K128" s="77" t="str">
        <f t="shared" ref="K128:K466" si="45">IF(OR(I128="",E128="Sem classificação"),"—",IF(AND(I128="Conforme",E128="Conforme"),"VP",IF(AND(I128="Inconforme",E128="Inconforme"),"VN",IF(AND(I128="Conforme",E128="Inconforme"),"FP","FN"))))</f>
        <v>VP</v>
      </c>
      <c r="L128" s="59"/>
      <c r="M128" s="59"/>
      <c r="N128" s="59"/>
      <c r="O128" s="59"/>
      <c r="P128" s="59"/>
      <c r="Q128" s="59"/>
      <c r="R128" s="59"/>
      <c r="S128" s="59"/>
      <c r="T128" s="59"/>
      <c r="U128" s="59"/>
      <c r="V128" s="59"/>
      <c r="W128" s="59"/>
      <c r="X128" s="59"/>
      <c r="Y128" s="59"/>
      <c r="Z128" s="59"/>
    </row>
    <row r="129">
      <c r="A129" s="78" t="s">
        <v>2604</v>
      </c>
      <c r="B129" s="79">
        <v>2.0</v>
      </c>
      <c r="C129" s="78" t="str">
        <f>Springer!J3</f>
        <v>Improving Process Mining Maturity – From Intentions to Actions</v>
      </c>
      <c r="D129" s="78" t="str">
        <f>Springer!F3</f>
        <v>Conforme</v>
      </c>
      <c r="E129" s="78" t="str">
        <f t="shared" si="41"/>
        <v>Conforme</v>
      </c>
      <c r="F129" s="79" t="str">
        <f>Springer!A3</f>
        <v>Conforme</v>
      </c>
      <c r="G129" s="79" t="str">
        <f t="shared" si="42"/>
        <v>Acerto</v>
      </c>
      <c r="H129" s="79" t="str">
        <f t="shared" si="43"/>
        <v>VP</v>
      </c>
      <c r="I129" s="79" t="str">
        <f>Springer!C3</f>
        <v>Inconforme</v>
      </c>
      <c r="J129" s="79" t="str">
        <f t="shared" si="44"/>
        <v>Divergência</v>
      </c>
      <c r="K129" s="79" t="str">
        <f t="shared" si="45"/>
        <v>FN</v>
      </c>
      <c r="L129" s="59"/>
      <c r="M129" s="59"/>
      <c r="N129" s="59"/>
      <c r="O129" s="59"/>
      <c r="P129" s="59"/>
      <c r="Q129" s="59"/>
      <c r="R129" s="59"/>
      <c r="S129" s="59"/>
      <c r="T129" s="59"/>
      <c r="U129" s="59"/>
      <c r="V129" s="59"/>
      <c r="W129" s="59"/>
      <c r="X129" s="59"/>
      <c r="Y129" s="59"/>
      <c r="Z129" s="59"/>
    </row>
    <row r="130">
      <c r="A130" s="76" t="s">
        <v>2604</v>
      </c>
      <c r="B130" s="77">
        <v>3.0</v>
      </c>
      <c r="C130" s="76" t="str">
        <f>Springer!J4</f>
        <v>Speeding up Explorative BPM with Lightweight IT: the Case of Machine Learning</v>
      </c>
      <c r="D130" s="76" t="str">
        <f>Springer!F4</f>
        <v>Conforme</v>
      </c>
      <c r="E130" s="76" t="str">
        <f t="shared" si="41"/>
        <v>Conforme</v>
      </c>
      <c r="F130" s="77" t="str">
        <f>Springer!A4</f>
        <v>Conforme</v>
      </c>
      <c r="G130" s="77" t="str">
        <f t="shared" si="42"/>
        <v>Acerto</v>
      </c>
      <c r="H130" s="77" t="str">
        <f t="shared" si="43"/>
        <v>VP</v>
      </c>
      <c r="I130" s="77" t="str">
        <f>Springer!C4</f>
        <v>Conforme</v>
      </c>
      <c r="J130" s="77" t="str">
        <f t="shared" si="44"/>
        <v>Acerto</v>
      </c>
      <c r="K130" s="77" t="str">
        <f t="shared" si="45"/>
        <v>VP</v>
      </c>
      <c r="L130" s="59"/>
      <c r="M130" s="59"/>
      <c r="N130" s="59"/>
      <c r="O130" s="59"/>
      <c r="P130" s="59"/>
      <c r="Q130" s="59"/>
      <c r="R130" s="59"/>
      <c r="S130" s="59"/>
      <c r="T130" s="59"/>
      <c r="U130" s="59"/>
      <c r="V130" s="59"/>
      <c r="W130" s="59"/>
      <c r="X130" s="59"/>
      <c r="Y130" s="59"/>
      <c r="Z130" s="59"/>
    </row>
    <row r="131">
      <c r="A131" s="78" t="s">
        <v>2604</v>
      </c>
      <c r="B131" s="79">
        <v>4.0</v>
      </c>
      <c r="C131" s="78" t="str">
        <f>Springer!J5</f>
        <v>The impact of ambidexterity on robotic process automation implementation strategy in service enterprises</v>
      </c>
      <c r="D131" s="78" t="str">
        <f>Springer!F5</f>
        <v>Inconforme</v>
      </c>
      <c r="E131" s="78" t="str">
        <f t="shared" si="41"/>
        <v>Inconforme</v>
      </c>
      <c r="F131" s="79" t="str">
        <f>Springer!A5</f>
        <v>Inconforme</v>
      </c>
      <c r="G131" s="79" t="str">
        <f t="shared" si="42"/>
        <v>Acerto</v>
      </c>
      <c r="H131" s="79" t="str">
        <f t="shared" si="43"/>
        <v>VN</v>
      </c>
      <c r="I131" s="79" t="str">
        <f>Springer!C5</f>
        <v>Inconforme</v>
      </c>
      <c r="J131" s="79" t="str">
        <f t="shared" si="44"/>
        <v>Acerto</v>
      </c>
      <c r="K131" s="79" t="str">
        <f t="shared" si="45"/>
        <v>VN</v>
      </c>
      <c r="L131" s="59"/>
      <c r="M131" s="59"/>
      <c r="N131" s="59"/>
      <c r="O131" s="59"/>
      <c r="P131" s="59"/>
      <c r="Q131" s="59"/>
      <c r="R131" s="59"/>
      <c r="S131" s="59"/>
      <c r="T131" s="59"/>
      <c r="U131" s="59"/>
      <c r="V131" s="59"/>
      <c r="W131" s="59"/>
      <c r="X131" s="59"/>
      <c r="Y131" s="59"/>
      <c r="Z131" s="59"/>
    </row>
    <row r="132">
      <c r="A132" s="76" t="s">
        <v>2604</v>
      </c>
      <c r="B132" s="77">
        <v>5.0</v>
      </c>
      <c r="C132" s="76" t="str">
        <f>Springer!J6</f>
        <v>Unveiling the dynamics of business processes: the role of process mining in enhancing efficiency, ensuring compliance, and driving continuous improvement</v>
      </c>
      <c r="D132" s="76" t="str">
        <f>Springer!F6</f>
        <v>Inconforme</v>
      </c>
      <c r="E132" s="76" t="str">
        <f t="shared" si="41"/>
        <v>Inconforme</v>
      </c>
      <c r="F132" s="77" t="str">
        <f>Springer!A6</f>
        <v>Inconforme</v>
      </c>
      <c r="G132" s="77" t="str">
        <f t="shared" si="42"/>
        <v>Acerto</v>
      </c>
      <c r="H132" s="77" t="str">
        <f t="shared" si="43"/>
        <v>VN</v>
      </c>
      <c r="I132" s="77" t="str">
        <f>Springer!C6</f>
        <v>Inconforme</v>
      </c>
      <c r="J132" s="77" t="str">
        <f t="shared" si="44"/>
        <v>Acerto</v>
      </c>
      <c r="K132" s="77" t="str">
        <f t="shared" si="45"/>
        <v>VN</v>
      </c>
      <c r="L132" s="59"/>
      <c r="M132" s="59"/>
      <c r="N132" s="59"/>
      <c r="O132" s="59"/>
      <c r="P132" s="59"/>
      <c r="Q132" s="59"/>
      <c r="R132" s="59"/>
      <c r="S132" s="59"/>
      <c r="T132" s="59"/>
      <c r="U132" s="59"/>
      <c r="V132" s="59"/>
      <c r="W132" s="59"/>
      <c r="X132" s="59"/>
      <c r="Y132" s="59"/>
      <c r="Z132" s="59"/>
    </row>
    <row r="133">
      <c r="A133" s="78" t="s">
        <v>2604</v>
      </c>
      <c r="B133" s="79">
        <v>6.0</v>
      </c>
      <c r="C133" s="78" t="str">
        <f>Springer!J7</f>
        <v>Business process management in the age of AI – three essential drifts</v>
      </c>
      <c r="D133" s="78" t="str">
        <f>Springer!F7</f>
        <v>Inconforme</v>
      </c>
      <c r="E133" s="78" t="str">
        <f t="shared" si="41"/>
        <v>Inconforme</v>
      </c>
      <c r="F133" s="79" t="str">
        <f>Springer!A7</f>
        <v>Inconforme</v>
      </c>
      <c r="G133" s="79" t="str">
        <f t="shared" si="42"/>
        <v>Acerto</v>
      </c>
      <c r="H133" s="79" t="str">
        <f t="shared" si="43"/>
        <v>VN</v>
      </c>
      <c r="I133" s="79" t="str">
        <f>Springer!C7</f>
        <v>Inconforme</v>
      </c>
      <c r="J133" s="79" t="str">
        <f t="shared" si="44"/>
        <v>Acerto</v>
      </c>
      <c r="K133" s="79" t="str">
        <f t="shared" si="45"/>
        <v>VN</v>
      </c>
      <c r="L133" s="59"/>
      <c r="M133" s="59"/>
      <c r="N133" s="59"/>
      <c r="O133" s="59"/>
      <c r="P133" s="59"/>
      <c r="Q133" s="59"/>
      <c r="R133" s="59"/>
      <c r="S133" s="59"/>
      <c r="T133" s="59"/>
      <c r="U133" s="59"/>
      <c r="V133" s="59"/>
      <c r="W133" s="59"/>
      <c r="X133" s="59"/>
      <c r="Y133" s="59"/>
      <c r="Z133" s="59"/>
    </row>
    <row r="134">
      <c r="A134" s="76" t="s">
        <v>2604</v>
      </c>
      <c r="B134" s="77">
        <v>7.0</v>
      </c>
      <c r="C134" s="76" t="str">
        <f>Springer!J8</f>
        <v>The BPM Goal Hexagon: an update to the Devil’s Quadrangle</v>
      </c>
      <c r="D134" s="76" t="str">
        <f>Springer!F8</f>
        <v>Inconforme</v>
      </c>
      <c r="E134" s="76" t="str">
        <f t="shared" si="41"/>
        <v>Inconforme</v>
      </c>
      <c r="F134" s="77" t="str">
        <f>Springer!A8</f>
        <v>Inconforme</v>
      </c>
      <c r="G134" s="77" t="str">
        <f t="shared" si="42"/>
        <v>Acerto</v>
      </c>
      <c r="H134" s="77" t="str">
        <f t="shared" si="43"/>
        <v>VN</v>
      </c>
      <c r="I134" s="77" t="str">
        <f>Springer!C8</f>
        <v>Inconforme</v>
      </c>
      <c r="J134" s="77" t="str">
        <f t="shared" si="44"/>
        <v>Acerto</v>
      </c>
      <c r="K134" s="77" t="str">
        <f t="shared" si="45"/>
        <v>VN</v>
      </c>
      <c r="L134" s="59"/>
      <c r="M134" s="59"/>
      <c r="N134" s="59"/>
      <c r="O134" s="59"/>
      <c r="P134" s="59"/>
      <c r="Q134" s="59"/>
      <c r="R134" s="59"/>
      <c r="S134" s="59"/>
      <c r="T134" s="59"/>
      <c r="U134" s="59"/>
      <c r="V134" s="59"/>
      <c r="W134" s="59"/>
      <c r="X134" s="59"/>
      <c r="Y134" s="59"/>
      <c r="Z134" s="59"/>
    </row>
    <row r="135">
      <c r="A135" s="78" t="s">
        <v>2604</v>
      </c>
      <c r="B135" s="79">
        <v>8.0</v>
      </c>
      <c r="C135" s="78" t="str">
        <f>Springer!J9</f>
        <v>Managing next generation BP-x initiatives</v>
      </c>
      <c r="D135" s="78" t="str">
        <f>Springer!F9</f>
        <v>Conforme</v>
      </c>
      <c r="E135" s="78" t="str">
        <f t="shared" si="41"/>
        <v>Conforme</v>
      </c>
      <c r="F135" s="79" t="str">
        <f>Springer!A9</f>
        <v>Conforme</v>
      </c>
      <c r="G135" s="79" t="str">
        <f t="shared" si="42"/>
        <v>Acerto</v>
      </c>
      <c r="H135" s="79" t="str">
        <f t="shared" si="43"/>
        <v>VP</v>
      </c>
      <c r="I135" s="79" t="str">
        <f>Springer!C9</f>
        <v>Inconforme</v>
      </c>
      <c r="J135" s="79" t="str">
        <f t="shared" si="44"/>
        <v>Divergência</v>
      </c>
      <c r="K135" s="79" t="str">
        <f t="shared" si="45"/>
        <v>FN</v>
      </c>
      <c r="L135" s="59"/>
      <c r="M135" s="59"/>
      <c r="N135" s="59"/>
      <c r="O135" s="59"/>
      <c r="P135" s="59"/>
      <c r="Q135" s="59"/>
      <c r="R135" s="59"/>
      <c r="S135" s="59"/>
      <c r="T135" s="59"/>
      <c r="U135" s="59"/>
      <c r="V135" s="59"/>
      <c r="W135" s="59"/>
      <c r="X135" s="59"/>
      <c r="Y135" s="59"/>
      <c r="Z135" s="59"/>
    </row>
    <row r="136">
      <c r="A136" s="76" t="s">
        <v>2604</v>
      </c>
      <c r="B136" s="77">
        <v>9.0</v>
      </c>
      <c r="C136" s="76" t="str">
        <f>Springer!J10</f>
        <v>A systematic literature review on the application of process mining to Industry 4.0</v>
      </c>
      <c r="D136" s="76" t="str">
        <f>Springer!F10</f>
        <v>Inconforme</v>
      </c>
      <c r="E136" s="76" t="str">
        <f t="shared" si="41"/>
        <v>Inconforme</v>
      </c>
      <c r="F136" s="77" t="str">
        <f>Springer!A10</f>
        <v>Inconforme</v>
      </c>
      <c r="G136" s="77" t="str">
        <f t="shared" si="42"/>
        <v>Acerto</v>
      </c>
      <c r="H136" s="77" t="str">
        <f t="shared" si="43"/>
        <v>VN</v>
      </c>
      <c r="I136" s="77" t="str">
        <f>Springer!C10</f>
        <v>Inconforme</v>
      </c>
      <c r="J136" s="77" t="str">
        <f t="shared" si="44"/>
        <v>Acerto</v>
      </c>
      <c r="K136" s="77" t="str">
        <f t="shared" si="45"/>
        <v>VN</v>
      </c>
      <c r="L136" s="59"/>
      <c r="M136" s="59"/>
      <c r="N136" s="59"/>
      <c r="O136" s="59"/>
      <c r="P136" s="59"/>
      <c r="Q136" s="59"/>
      <c r="R136" s="59"/>
      <c r="S136" s="59"/>
      <c r="T136" s="59"/>
      <c r="U136" s="59"/>
      <c r="V136" s="59"/>
      <c r="W136" s="59"/>
      <c r="X136" s="59"/>
      <c r="Y136" s="59"/>
      <c r="Z136" s="59"/>
    </row>
    <row r="137">
      <c r="A137" s="78" t="s">
        <v>2604</v>
      </c>
      <c r="B137" s="79">
        <v>10.0</v>
      </c>
      <c r="C137" s="78" t="str">
        <f>Springer!J11</f>
        <v>Workplace performance measurement: digitalization of work observation and analysis</v>
      </c>
      <c r="D137" s="78" t="str">
        <f>Springer!F11</f>
        <v>Inconforme</v>
      </c>
      <c r="E137" s="78" t="str">
        <f t="shared" si="41"/>
        <v>Inconforme</v>
      </c>
      <c r="F137" s="79" t="str">
        <f>Springer!A11</f>
        <v>Inconforme</v>
      </c>
      <c r="G137" s="79" t="str">
        <f t="shared" si="42"/>
        <v>Acerto</v>
      </c>
      <c r="H137" s="79" t="str">
        <f t="shared" si="43"/>
        <v>VN</v>
      </c>
      <c r="I137" s="79" t="str">
        <f>Springer!C11</f>
        <v>Inconforme</v>
      </c>
      <c r="J137" s="79" t="str">
        <f t="shared" si="44"/>
        <v>Acerto</v>
      </c>
      <c r="K137" s="79" t="str">
        <f t="shared" si="45"/>
        <v>VN</v>
      </c>
      <c r="L137" s="59"/>
      <c r="M137" s="59"/>
      <c r="N137" s="59"/>
      <c r="O137" s="59"/>
      <c r="P137" s="59"/>
      <c r="Q137" s="59"/>
      <c r="R137" s="59"/>
      <c r="S137" s="59"/>
      <c r="T137" s="59"/>
      <c r="U137" s="59"/>
      <c r="V137" s="59"/>
      <c r="W137" s="59"/>
      <c r="X137" s="59"/>
      <c r="Y137" s="59"/>
      <c r="Z137" s="59"/>
    </row>
    <row r="138">
      <c r="A138" s="76" t="s">
        <v>2604</v>
      </c>
      <c r="B138" s="77">
        <v>11.0</v>
      </c>
      <c r="C138" s="76" t="str">
        <f>Springer!J12</f>
        <v>Exploring the diverse nature of business processes in organisations in Industry 4.0/5.0</v>
      </c>
      <c r="D138" s="76" t="str">
        <f>Springer!F12</f>
        <v>Inconforme</v>
      </c>
      <c r="E138" s="76" t="str">
        <f t="shared" si="41"/>
        <v>Inconforme</v>
      </c>
      <c r="F138" s="77" t="str">
        <f>Springer!A12</f>
        <v>Inconforme</v>
      </c>
      <c r="G138" s="77" t="str">
        <f t="shared" si="42"/>
        <v>Acerto</v>
      </c>
      <c r="H138" s="77" t="str">
        <f t="shared" si="43"/>
        <v>VN</v>
      </c>
      <c r="I138" s="77" t="str">
        <f>Springer!C12</f>
        <v>Inconforme</v>
      </c>
      <c r="J138" s="77" t="str">
        <f t="shared" si="44"/>
        <v>Acerto</v>
      </c>
      <c r="K138" s="77" t="str">
        <f t="shared" si="45"/>
        <v>VN</v>
      </c>
      <c r="L138" s="59"/>
      <c r="M138" s="59"/>
      <c r="N138" s="59"/>
      <c r="O138" s="59"/>
      <c r="P138" s="59"/>
      <c r="Q138" s="59"/>
      <c r="R138" s="59"/>
      <c r="S138" s="59"/>
      <c r="T138" s="59"/>
      <c r="U138" s="59"/>
      <c r="V138" s="59"/>
      <c r="W138" s="59"/>
      <c r="X138" s="59"/>
      <c r="Y138" s="59"/>
      <c r="Z138" s="59"/>
    </row>
    <row r="139">
      <c r="A139" s="78" t="s">
        <v>2604</v>
      </c>
      <c r="B139" s="79">
        <v>12.0</v>
      </c>
      <c r="C139" s="78" t="str">
        <f>Springer!J13</f>
        <v>How does robotic process automation create value for firms?</v>
      </c>
      <c r="D139" s="78" t="str">
        <f>Springer!F13</f>
        <v>Inconforme</v>
      </c>
      <c r="E139" s="78" t="str">
        <f t="shared" si="41"/>
        <v>Inconforme</v>
      </c>
      <c r="F139" s="79" t="str">
        <f>Springer!A13</f>
        <v>Inconforme</v>
      </c>
      <c r="G139" s="79" t="str">
        <f t="shared" si="42"/>
        <v>Acerto</v>
      </c>
      <c r="H139" s="79" t="str">
        <f t="shared" si="43"/>
        <v>VN</v>
      </c>
      <c r="I139" s="80" t="str">
        <f>Springer!C13</f>
        <v>Inconforme</v>
      </c>
      <c r="J139" s="79" t="str">
        <f t="shared" si="44"/>
        <v>Acerto</v>
      </c>
      <c r="K139" s="79" t="str">
        <f t="shared" si="45"/>
        <v>VN</v>
      </c>
      <c r="L139" s="59"/>
      <c r="M139" s="59"/>
      <c r="N139" s="59"/>
      <c r="O139" s="59"/>
      <c r="P139" s="59"/>
      <c r="Q139" s="59"/>
      <c r="R139" s="59"/>
      <c r="S139" s="59"/>
      <c r="T139" s="59"/>
      <c r="U139" s="59"/>
      <c r="V139" s="59"/>
      <c r="W139" s="59"/>
      <c r="X139" s="59"/>
      <c r="Y139" s="59"/>
      <c r="Z139" s="59"/>
    </row>
    <row r="140">
      <c r="A140" s="76" t="s">
        <v>2604</v>
      </c>
      <c r="B140" s="77">
        <v>13.0</v>
      </c>
      <c r="C140" s="76" t="str">
        <f>Springer!J14</f>
        <v>Transforming Skill Gap Crisis into Opportunity for Upskilling in India’s IT-BPM Sector</v>
      </c>
      <c r="D140" s="76" t="str">
        <f>Springer!F14</f>
        <v>Conforme</v>
      </c>
      <c r="E140" s="76" t="str">
        <f t="shared" si="41"/>
        <v>Conforme</v>
      </c>
      <c r="F140" s="77" t="str">
        <f>Springer!A14</f>
        <v>Inconforme</v>
      </c>
      <c r="G140" s="77" t="str">
        <f t="shared" si="42"/>
        <v>Divergência</v>
      </c>
      <c r="H140" s="77" t="str">
        <f t="shared" si="43"/>
        <v>FN</v>
      </c>
      <c r="I140" s="77" t="str">
        <f>Springer!C14</f>
        <v>Conforme</v>
      </c>
      <c r="J140" s="77" t="str">
        <f t="shared" si="44"/>
        <v>Acerto</v>
      </c>
      <c r="K140" s="77" t="str">
        <f t="shared" si="45"/>
        <v>VP</v>
      </c>
      <c r="L140" s="59"/>
      <c r="M140" s="59"/>
      <c r="N140" s="59"/>
      <c r="O140" s="59"/>
      <c r="P140" s="59"/>
      <c r="Q140" s="59"/>
      <c r="R140" s="59"/>
      <c r="S140" s="59"/>
      <c r="T140" s="59"/>
      <c r="U140" s="59"/>
      <c r="V140" s="59"/>
      <c r="W140" s="59"/>
      <c r="X140" s="59"/>
      <c r="Y140" s="59"/>
      <c r="Z140" s="59"/>
    </row>
    <row r="141">
      <c r="A141" s="78" t="s">
        <v>2604</v>
      </c>
      <c r="B141" s="79">
        <v>14.0</v>
      </c>
      <c r="C141" s="78" t="str">
        <f>Springer!J15</f>
        <v>Applying Robotic Process Automation (RPA) in Education: A Platform</v>
      </c>
      <c r="D141" s="78" t="str">
        <f>Springer!F15</f>
        <v>Inconforme</v>
      </c>
      <c r="E141" s="78" t="str">
        <f t="shared" si="41"/>
        <v>Inconforme</v>
      </c>
      <c r="F141" s="79" t="str">
        <f>Springer!A15</f>
        <v>Inconforme</v>
      </c>
      <c r="G141" s="79" t="str">
        <f t="shared" si="42"/>
        <v>Acerto</v>
      </c>
      <c r="H141" s="79" t="str">
        <f t="shared" si="43"/>
        <v>VN</v>
      </c>
      <c r="I141" s="79" t="str">
        <f>Springer!C15</f>
        <v>Inconforme</v>
      </c>
      <c r="J141" s="79" t="str">
        <f t="shared" si="44"/>
        <v>Acerto</v>
      </c>
      <c r="K141" s="79" t="str">
        <f t="shared" si="45"/>
        <v>VN</v>
      </c>
      <c r="L141" s="59"/>
      <c r="M141" s="59"/>
      <c r="N141" s="59"/>
      <c r="O141" s="59"/>
      <c r="P141" s="59"/>
      <c r="Q141" s="59"/>
      <c r="R141" s="59"/>
      <c r="S141" s="59"/>
      <c r="T141" s="59"/>
      <c r="U141" s="59"/>
      <c r="V141" s="59"/>
      <c r="W141" s="59"/>
      <c r="X141" s="59"/>
      <c r="Y141" s="59"/>
      <c r="Z141" s="59"/>
    </row>
    <row r="142">
      <c r="A142" s="76" t="s">
        <v>2604</v>
      </c>
      <c r="B142" s="77">
        <v>15.0</v>
      </c>
      <c r="C142" s="76" t="str">
        <f>Springer!J16</f>
        <v>Navigating the Landscape of Organizational Process Mining Setups: A Taxonomy Approach</v>
      </c>
      <c r="D142" s="76" t="str">
        <f>Springer!F16</f>
        <v>Inconforme</v>
      </c>
      <c r="E142" s="76" t="str">
        <f t="shared" si="41"/>
        <v>Inconforme</v>
      </c>
      <c r="F142" s="77" t="str">
        <f>Springer!A16</f>
        <v>Inconforme</v>
      </c>
      <c r="G142" s="77" t="str">
        <f t="shared" si="42"/>
        <v>Acerto</v>
      </c>
      <c r="H142" s="77" t="str">
        <f t="shared" si="43"/>
        <v>VN</v>
      </c>
      <c r="I142" s="77" t="str">
        <f>Springer!C16</f>
        <v>Inconforme</v>
      </c>
      <c r="J142" s="77" t="str">
        <f t="shared" si="44"/>
        <v>Acerto</v>
      </c>
      <c r="K142" s="77" t="str">
        <f t="shared" si="45"/>
        <v>VN</v>
      </c>
      <c r="L142" s="59"/>
      <c r="M142" s="59"/>
      <c r="N142" s="59"/>
      <c r="O142" s="59"/>
      <c r="P142" s="59"/>
      <c r="Q142" s="59"/>
      <c r="R142" s="59"/>
      <c r="S142" s="59"/>
      <c r="T142" s="59"/>
      <c r="U142" s="59"/>
      <c r="V142" s="59"/>
      <c r="W142" s="59"/>
      <c r="X142" s="59"/>
      <c r="Y142" s="59"/>
      <c r="Z142" s="59"/>
    </row>
    <row r="143">
      <c r="A143" s="78" t="s">
        <v>2604</v>
      </c>
      <c r="B143" s="79">
        <v>16.0</v>
      </c>
      <c r="C143" s="78" t="str">
        <f>Springer!J17</f>
        <v>Leveraging the industrial internet of things for business process improvement: a metamodel and patterns</v>
      </c>
      <c r="D143" s="78" t="str">
        <f>Springer!F17</f>
        <v>Inconforme</v>
      </c>
      <c r="E143" s="78" t="str">
        <f t="shared" si="41"/>
        <v>Inconforme</v>
      </c>
      <c r="F143" s="79" t="str">
        <f>Springer!A17</f>
        <v>Inconforme</v>
      </c>
      <c r="G143" s="79" t="str">
        <f t="shared" si="42"/>
        <v>Acerto</v>
      </c>
      <c r="H143" s="79" t="str">
        <f t="shared" si="43"/>
        <v>VN</v>
      </c>
      <c r="I143" s="79" t="str">
        <f>Springer!C17</f>
        <v>Inconforme</v>
      </c>
      <c r="J143" s="79" t="str">
        <f t="shared" si="44"/>
        <v>Acerto</v>
      </c>
      <c r="K143" s="79" t="str">
        <f t="shared" si="45"/>
        <v>VN</v>
      </c>
      <c r="L143" s="59"/>
      <c r="M143" s="59"/>
      <c r="N143" s="59"/>
      <c r="O143" s="59"/>
      <c r="P143" s="59"/>
      <c r="Q143" s="59"/>
      <c r="R143" s="59"/>
      <c r="S143" s="59"/>
      <c r="T143" s="59"/>
      <c r="U143" s="59"/>
      <c r="V143" s="59"/>
      <c r="W143" s="59"/>
      <c r="X143" s="59"/>
      <c r="Y143" s="59"/>
      <c r="Z143" s="59"/>
    </row>
    <row r="144">
      <c r="A144" s="76" t="s">
        <v>2604</v>
      </c>
      <c r="B144" s="77">
        <v>17.0</v>
      </c>
      <c r="C144" s="76" t="str">
        <f>Springer!J18</f>
        <v>RPA as a Challenge Beyond Technology: Self-Learning and Attitude Needed for Successful RPA Implementation in the Workplace</v>
      </c>
      <c r="D144" s="76" t="str">
        <f>Springer!F18</f>
        <v>Inconforme</v>
      </c>
      <c r="E144" s="76" t="str">
        <f t="shared" si="41"/>
        <v>Inconforme</v>
      </c>
      <c r="F144" s="77" t="str">
        <f>Springer!A18</f>
        <v>Inconforme</v>
      </c>
      <c r="G144" s="77" t="str">
        <f t="shared" si="42"/>
        <v>Acerto</v>
      </c>
      <c r="H144" s="77" t="str">
        <f t="shared" si="43"/>
        <v>VN</v>
      </c>
      <c r="I144" s="77" t="str">
        <f>Springer!C18</f>
        <v>Inconforme</v>
      </c>
      <c r="J144" s="77" t="str">
        <f t="shared" si="44"/>
        <v>Acerto</v>
      </c>
      <c r="K144" s="77" t="str">
        <f t="shared" si="45"/>
        <v>VN</v>
      </c>
      <c r="L144" s="59"/>
      <c r="M144" s="59"/>
      <c r="N144" s="59"/>
      <c r="O144" s="59"/>
      <c r="P144" s="59"/>
      <c r="Q144" s="59"/>
      <c r="R144" s="59"/>
      <c r="S144" s="59"/>
      <c r="T144" s="59"/>
      <c r="U144" s="59"/>
      <c r="V144" s="59"/>
      <c r="W144" s="59"/>
      <c r="X144" s="59"/>
      <c r="Y144" s="59"/>
      <c r="Z144" s="59"/>
    </row>
    <row r="145">
      <c r="A145" s="78" t="s">
        <v>2604</v>
      </c>
      <c r="B145" s="79">
        <v>18.0</v>
      </c>
      <c r="C145" s="78" t="str">
        <f>Springer!J19</f>
        <v>From zero to hero: ramp-up management as a new cross-cutting business process management capability</v>
      </c>
      <c r="D145" s="78" t="str">
        <f>Springer!F19</f>
        <v>Inconforme</v>
      </c>
      <c r="E145" s="78" t="str">
        <f t="shared" si="41"/>
        <v>Inconforme</v>
      </c>
      <c r="F145" s="79" t="str">
        <f>Springer!A19</f>
        <v>Inconforme</v>
      </c>
      <c r="G145" s="79" t="str">
        <f t="shared" si="42"/>
        <v>Acerto</v>
      </c>
      <c r="H145" s="79" t="str">
        <f t="shared" si="43"/>
        <v>VN</v>
      </c>
      <c r="I145" s="79" t="str">
        <f>Springer!C19</f>
        <v>Inconforme</v>
      </c>
      <c r="J145" s="79" t="str">
        <f t="shared" si="44"/>
        <v>Acerto</v>
      </c>
      <c r="K145" s="79" t="str">
        <f t="shared" si="45"/>
        <v>VN</v>
      </c>
      <c r="L145" s="59"/>
      <c r="M145" s="59"/>
      <c r="N145" s="59"/>
      <c r="O145" s="59"/>
      <c r="P145" s="59"/>
      <c r="Q145" s="59"/>
      <c r="R145" s="59"/>
      <c r="S145" s="59"/>
      <c r="T145" s="59"/>
      <c r="U145" s="59"/>
      <c r="V145" s="59"/>
      <c r="W145" s="59"/>
      <c r="X145" s="59"/>
      <c r="Y145" s="59"/>
      <c r="Z145" s="59"/>
    </row>
    <row r="146">
      <c r="A146" s="76" t="s">
        <v>2604</v>
      </c>
      <c r="B146" s="77">
        <v>19.0</v>
      </c>
      <c r="C146" s="76" t="str">
        <f>Springer!J20</f>
        <v>How do digital startups manage their activities? Insights and opportunities for business process management</v>
      </c>
      <c r="D146" s="76" t="str">
        <f>Springer!F20</f>
        <v>Inconforme</v>
      </c>
      <c r="E146" s="76" t="str">
        <f t="shared" si="41"/>
        <v>Inconforme</v>
      </c>
      <c r="F146" s="77" t="str">
        <f>Springer!A20</f>
        <v>Inconforme</v>
      </c>
      <c r="G146" s="77" t="str">
        <f t="shared" si="42"/>
        <v>Acerto</v>
      </c>
      <c r="H146" s="77" t="str">
        <f t="shared" si="43"/>
        <v>VN</v>
      </c>
      <c r="I146" s="77" t="str">
        <f>Springer!C20</f>
        <v>Inconforme</v>
      </c>
      <c r="J146" s="77" t="str">
        <f t="shared" si="44"/>
        <v>Acerto</v>
      </c>
      <c r="K146" s="77" t="str">
        <f t="shared" si="45"/>
        <v>VN</v>
      </c>
      <c r="L146" s="59"/>
      <c r="M146" s="59"/>
      <c r="N146" s="59"/>
      <c r="O146" s="59"/>
      <c r="P146" s="59"/>
      <c r="Q146" s="59"/>
      <c r="R146" s="59"/>
      <c r="S146" s="59"/>
      <c r="T146" s="59"/>
      <c r="U146" s="59"/>
      <c r="V146" s="59"/>
      <c r="W146" s="59"/>
      <c r="X146" s="59"/>
      <c r="Y146" s="59"/>
      <c r="Z146" s="59"/>
    </row>
    <row r="147">
      <c r="A147" s="78" t="s">
        <v>2604</v>
      </c>
      <c r="B147" s="79">
        <v>20.0</v>
      </c>
      <c r="C147" s="78" t="str">
        <f>Springer!J21</f>
        <v>A Portfolio Management Method for Process Mining-Enabled Business Process Improvement Projects</v>
      </c>
      <c r="D147" s="78" t="str">
        <f>Springer!F21</f>
        <v>Inconforme</v>
      </c>
      <c r="E147" s="78" t="str">
        <f t="shared" si="41"/>
        <v>Inconforme</v>
      </c>
      <c r="F147" s="79" t="str">
        <f>Springer!A21</f>
        <v>Inconforme</v>
      </c>
      <c r="G147" s="79" t="str">
        <f t="shared" si="42"/>
        <v>Acerto</v>
      </c>
      <c r="H147" s="79" t="str">
        <f t="shared" si="43"/>
        <v>VN</v>
      </c>
      <c r="I147" s="79" t="str">
        <f>Springer!C21</f>
        <v>Inconforme</v>
      </c>
      <c r="J147" s="79" t="str">
        <f t="shared" si="44"/>
        <v>Acerto</v>
      </c>
      <c r="K147" s="79" t="str">
        <f t="shared" si="45"/>
        <v>VN</v>
      </c>
      <c r="L147" s="59"/>
      <c r="M147" s="59"/>
      <c r="N147" s="59"/>
      <c r="O147" s="59"/>
      <c r="P147" s="59"/>
      <c r="Q147" s="59"/>
      <c r="R147" s="59"/>
      <c r="S147" s="59"/>
      <c r="T147" s="59"/>
      <c r="U147" s="59"/>
      <c r="V147" s="59"/>
      <c r="W147" s="59"/>
      <c r="X147" s="59"/>
      <c r="Y147" s="59"/>
      <c r="Z147" s="59"/>
    </row>
    <row r="148">
      <c r="A148" s="76" t="s">
        <v>2604</v>
      </c>
      <c r="B148" s="77">
        <v>21.0</v>
      </c>
      <c r="C148" s="76" t="str">
        <f>Springer!J22</f>
        <v>How do Process Mining Users Act, Think, and Feel?: An Explorative Study of Process Mining Use Patterns</v>
      </c>
      <c r="D148" s="76" t="str">
        <f>Springer!F22</f>
        <v>Inconforme</v>
      </c>
      <c r="E148" s="76" t="str">
        <f t="shared" si="41"/>
        <v>Inconforme</v>
      </c>
      <c r="F148" s="77" t="str">
        <f>Springer!A22</f>
        <v>Inconforme</v>
      </c>
      <c r="G148" s="77" t="str">
        <f t="shared" si="42"/>
        <v>Acerto</v>
      </c>
      <c r="H148" s="77" t="str">
        <f t="shared" si="43"/>
        <v>VN</v>
      </c>
      <c r="I148" s="77" t="str">
        <f>Springer!C22</f>
        <v>Inconforme</v>
      </c>
      <c r="J148" s="77" t="str">
        <f t="shared" si="44"/>
        <v>Acerto</v>
      </c>
      <c r="K148" s="77" t="str">
        <f t="shared" si="45"/>
        <v>VN</v>
      </c>
      <c r="L148" s="59"/>
      <c r="M148" s="59"/>
      <c r="N148" s="59"/>
      <c r="O148" s="59"/>
      <c r="P148" s="59"/>
      <c r="Q148" s="59"/>
      <c r="R148" s="59"/>
      <c r="S148" s="59"/>
      <c r="T148" s="59"/>
      <c r="U148" s="59"/>
      <c r="V148" s="59"/>
      <c r="W148" s="59"/>
      <c r="X148" s="59"/>
      <c r="Y148" s="59"/>
      <c r="Z148" s="59"/>
    </row>
    <row r="149">
      <c r="A149" s="78" t="s">
        <v>2604</v>
      </c>
      <c r="B149" s="79">
        <v>22.0</v>
      </c>
      <c r="C149" s="78" t="str">
        <f>Springer!J23</f>
        <v>A framework for implementing robotic process automation projects</v>
      </c>
      <c r="D149" s="78" t="str">
        <f>Springer!F23</f>
        <v>Inconforme</v>
      </c>
      <c r="E149" s="78" t="str">
        <f t="shared" si="41"/>
        <v>Inconforme</v>
      </c>
      <c r="F149" s="79" t="str">
        <f>Springer!A23</f>
        <v>Inconforme</v>
      </c>
      <c r="G149" s="79" t="str">
        <f t="shared" si="42"/>
        <v>Acerto</v>
      </c>
      <c r="H149" s="79" t="str">
        <f t="shared" si="43"/>
        <v>VN</v>
      </c>
      <c r="I149" s="79" t="str">
        <f>Springer!C23</f>
        <v>Inconforme</v>
      </c>
      <c r="J149" s="79" t="str">
        <f t="shared" si="44"/>
        <v>Acerto</v>
      </c>
      <c r="K149" s="79" t="str">
        <f t="shared" si="45"/>
        <v>VN</v>
      </c>
      <c r="L149" s="59"/>
      <c r="M149" s="59"/>
      <c r="N149" s="59"/>
      <c r="O149" s="59"/>
      <c r="P149" s="59"/>
      <c r="Q149" s="59"/>
      <c r="R149" s="59"/>
      <c r="S149" s="59"/>
      <c r="T149" s="59"/>
      <c r="U149" s="59"/>
      <c r="V149" s="59"/>
      <c r="W149" s="59"/>
      <c r="X149" s="59"/>
      <c r="Y149" s="59"/>
      <c r="Z149" s="59"/>
    </row>
    <row r="150">
      <c r="A150" s="76" t="s">
        <v>2604</v>
      </c>
      <c r="B150" s="77">
        <v>23.0</v>
      </c>
      <c r="C150" s="76" t="str">
        <f>Springer!J24</f>
        <v>The performance assessment framework (PPAFR) for RPA implementation in a loan application process using process mining</v>
      </c>
      <c r="D150" s="76" t="str">
        <f>Springer!F24</f>
        <v>Inconforme</v>
      </c>
      <c r="E150" s="76" t="str">
        <f t="shared" si="41"/>
        <v>Inconforme</v>
      </c>
      <c r="F150" s="77" t="str">
        <f>Springer!A24</f>
        <v>Inconforme</v>
      </c>
      <c r="G150" s="77" t="str">
        <f t="shared" si="42"/>
        <v>Acerto</v>
      </c>
      <c r="H150" s="77" t="str">
        <f t="shared" si="43"/>
        <v>VN</v>
      </c>
      <c r="I150" s="77" t="str">
        <f>Springer!C24</f>
        <v>Inconforme</v>
      </c>
      <c r="J150" s="77" t="str">
        <f t="shared" si="44"/>
        <v>Acerto</v>
      </c>
      <c r="K150" s="77" t="str">
        <f t="shared" si="45"/>
        <v>VN</v>
      </c>
      <c r="L150" s="59"/>
      <c r="M150" s="59"/>
      <c r="N150" s="59"/>
      <c r="O150" s="59"/>
      <c r="P150" s="59"/>
      <c r="Q150" s="59"/>
      <c r="R150" s="59"/>
      <c r="S150" s="59"/>
      <c r="T150" s="59"/>
      <c r="U150" s="59"/>
      <c r="V150" s="59"/>
      <c r="W150" s="59"/>
      <c r="X150" s="59"/>
      <c r="Y150" s="59"/>
      <c r="Z150" s="59"/>
    </row>
    <row r="151">
      <c r="A151" s="78" t="s">
        <v>2604</v>
      </c>
      <c r="B151" s="79">
        <v>24.0</v>
      </c>
      <c r="C151" s="78" t="str">
        <f>Springer!J25</f>
        <v>Developing a decision tree to improve a maturity model’s usability: an example for digital work maturity</v>
      </c>
      <c r="D151" s="78" t="str">
        <f>Springer!F25</f>
        <v>Inconforme</v>
      </c>
      <c r="E151" s="78" t="str">
        <f t="shared" si="41"/>
        <v>Inconforme</v>
      </c>
      <c r="F151" s="79" t="str">
        <f>Springer!A25</f>
        <v>Inconforme</v>
      </c>
      <c r="G151" s="79" t="str">
        <f t="shared" si="42"/>
        <v>Acerto</v>
      </c>
      <c r="H151" s="79" t="str">
        <f t="shared" si="43"/>
        <v>VN</v>
      </c>
      <c r="I151" s="79" t="str">
        <f>Springer!C25</f>
        <v>Inconforme</v>
      </c>
      <c r="J151" s="79" t="str">
        <f t="shared" si="44"/>
        <v>Acerto</v>
      </c>
      <c r="K151" s="79" t="str">
        <f t="shared" si="45"/>
        <v>VN</v>
      </c>
      <c r="L151" s="59"/>
      <c r="M151" s="59"/>
      <c r="N151" s="59"/>
      <c r="O151" s="59"/>
      <c r="P151" s="59"/>
      <c r="Q151" s="59"/>
      <c r="R151" s="59"/>
      <c r="S151" s="59"/>
      <c r="T151" s="59"/>
      <c r="U151" s="59"/>
      <c r="V151" s="59"/>
      <c r="W151" s="59"/>
      <c r="X151" s="59"/>
      <c r="Y151" s="59"/>
      <c r="Z151" s="59"/>
    </row>
    <row r="152">
      <c r="A152" s="76" t="s">
        <v>2604</v>
      </c>
      <c r="B152" s="77">
        <v>25.0</v>
      </c>
      <c r="C152" s="76" t="str">
        <f>Springer!J26</f>
        <v>Process Mining Success Factors and Their Interrelationships</v>
      </c>
      <c r="D152" s="76" t="str">
        <f>Springer!F26</f>
        <v>Inconforme</v>
      </c>
      <c r="E152" s="76" t="str">
        <f t="shared" si="41"/>
        <v>Inconforme</v>
      </c>
      <c r="F152" s="77" t="str">
        <f>Springer!A26</f>
        <v>Inconforme</v>
      </c>
      <c r="G152" s="77" t="str">
        <f t="shared" si="42"/>
        <v>Acerto</v>
      </c>
      <c r="H152" s="77" t="str">
        <f t="shared" si="43"/>
        <v>VN</v>
      </c>
      <c r="I152" s="77" t="str">
        <f>Springer!C26</f>
        <v>Inconforme</v>
      </c>
      <c r="J152" s="77" t="str">
        <f t="shared" si="44"/>
        <v>Acerto</v>
      </c>
      <c r="K152" s="77" t="str">
        <f t="shared" si="45"/>
        <v>VN</v>
      </c>
      <c r="L152" s="59"/>
      <c r="M152" s="59"/>
      <c r="N152" s="59"/>
      <c r="O152" s="59"/>
      <c r="P152" s="59"/>
      <c r="Q152" s="59"/>
      <c r="R152" s="59"/>
      <c r="S152" s="59"/>
      <c r="T152" s="59"/>
      <c r="U152" s="59"/>
      <c r="V152" s="59"/>
      <c r="W152" s="59"/>
      <c r="X152" s="59"/>
      <c r="Y152" s="59"/>
      <c r="Z152" s="59"/>
    </row>
    <row r="153">
      <c r="A153" s="78" t="s">
        <v>2604</v>
      </c>
      <c r="B153" s="79">
        <v>26.0</v>
      </c>
      <c r="C153" s="78" t="str">
        <f>Springer!J27</f>
        <v>How to improve the assessment of BPM maturity in the era of digital transformation</v>
      </c>
      <c r="D153" s="78" t="str">
        <f>Springer!F27</f>
        <v>Conforme</v>
      </c>
      <c r="E153" s="78" t="str">
        <f t="shared" si="41"/>
        <v>Conforme</v>
      </c>
      <c r="F153" s="79" t="str">
        <f>Springer!A27</f>
        <v>Inconforme</v>
      </c>
      <c r="G153" s="79" t="str">
        <f t="shared" si="42"/>
        <v>Divergência</v>
      </c>
      <c r="H153" s="79" t="str">
        <f t="shared" si="43"/>
        <v>FN</v>
      </c>
      <c r="I153" s="79" t="str">
        <f>Springer!C27</f>
        <v>Conforme</v>
      </c>
      <c r="J153" s="79" t="str">
        <f t="shared" si="44"/>
        <v>Acerto</v>
      </c>
      <c r="K153" s="79" t="str">
        <f t="shared" si="45"/>
        <v>VP</v>
      </c>
      <c r="L153" s="59"/>
      <c r="M153" s="59"/>
      <c r="N153" s="59"/>
      <c r="O153" s="59"/>
      <c r="P153" s="59"/>
      <c r="Q153" s="59"/>
      <c r="R153" s="59"/>
      <c r="S153" s="59"/>
      <c r="T153" s="59"/>
      <c r="U153" s="59"/>
      <c r="V153" s="59"/>
      <c r="W153" s="59"/>
      <c r="X153" s="59"/>
      <c r="Y153" s="59"/>
      <c r="Z153" s="59"/>
    </row>
    <row r="154">
      <c r="A154" s="76" t="s">
        <v>2604</v>
      </c>
      <c r="B154" s="77">
        <v>27.0</v>
      </c>
      <c r="C154" s="76" t="str">
        <f>Springer!J28</f>
        <v>Industry-specific effects of IT systems: uncovering the winners and losers</v>
      </c>
      <c r="D154" s="76" t="str">
        <f>Springer!F28</f>
        <v>Conforme</v>
      </c>
      <c r="E154" s="76" t="str">
        <f t="shared" si="41"/>
        <v>Conforme</v>
      </c>
      <c r="F154" s="77" t="str">
        <f>Springer!A28</f>
        <v>Conforme</v>
      </c>
      <c r="G154" s="77" t="str">
        <f t="shared" si="42"/>
        <v>Acerto</v>
      </c>
      <c r="H154" s="77" t="str">
        <f t="shared" si="43"/>
        <v>VP</v>
      </c>
      <c r="I154" s="77" t="str">
        <f>Springer!C28</f>
        <v>Conforme</v>
      </c>
      <c r="J154" s="77" t="str">
        <f t="shared" si="44"/>
        <v>Acerto</v>
      </c>
      <c r="K154" s="77" t="str">
        <f t="shared" si="45"/>
        <v>VP</v>
      </c>
      <c r="L154" s="59"/>
      <c r="M154" s="59"/>
      <c r="N154" s="59"/>
      <c r="O154" s="59"/>
      <c r="P154" s="59"/>
      <c r="Q154" s="59"/>
      <c r="R154" s="59"/>
      <c r="S154" s="59"/>
      <c r="T154" s="59"/>
      <c r="U154" s="59"/>
      <c r="V154" s="59"/>
      <c r="W154" s="59"/>
      <c r="X154" s="59"/>
      <c r="Y154" s="59"/>
      <c r="Z154" s="59"/>
    </row>
    <row r="155">
      <c r="A155" s="78" t="s">
        <v>2604</v>
      </c>
      <c r="B155" s="79">
        <v>28.0</v>
      </c>
      <c r="C155" s="78" t="str">
        <f>Springer!J29</f>
        <v>Information Analysis in Risk Management of BP (Using the Example of Metallurgical Enterprises)</v>
      </c>
      <c r="D155" s="78" t="str">
        <f>Springer!F29</f>
        <v>Inconforme</v>
      </c>
      <c r="E155" s="78" t="str">
        <f t="shared" si="41"/>
        <v>Inconforme</v>
      </c>
      <c r="F155" s="79" t="str">
        <f>Springer!A29</f>
        <v>Inconforme</v>
      </c>
      <c r="G155" s="79" t="str">
        <f t="shared" si="42"/>
        <v>Acerto</v>
      </c>
      <c r="H155" s="79" t="str">
        <f t="shared" si="43"/>
        <v>VN</v>
      </c>
      <c r="I155" s="79" t="str">
        <f>Springer!C29</f>
        <v>Inconforme</v>
      </c>
      <c r="J155" s="79" t="str">
        <f t="shared" si="44"/>
        <v>Acerto</v>
      </c>
      <c r="K155" s="79" t="str">
        <f t="shared" si="45"/>
        <v>VN</v>
      </c>
      <c r="L155" s="59"/>
      <c r="M155" s="59"/>
      <c r="N155" s="59"/>
      <c r="O155" s="59"/>
      <c r="P155" s="59"/>
      <c r="Q155" s="59"/>
      <c r="R155" s="59"/>
      <c r="S155" s="59"/>
      <c r="T155" s="59"/>
      <c r="U155" s="59"/>
      <c r="V155" s="59"/>
      <c r="W155" s="59"/>
      <c r="X155" s="59"/>
      <c r="Y155" s="59"/>
      <c r="Z155" s="59"/>
    </row>
    <row r="156">
      <c r="A156" s="76" t="s">
        <v>2604</v>
      </c>
      <c r="B156" s="77">
        <v>29.0</v>
      </c>
      <c r="C156" s="76" t="str">
        <f>Springer!J30</f>
        <v>Navigating Business Model Redesign: The Compass Method for Identifying Changes to the Operating Model</v>
      </c>
      <c r="D156" s="76" t="str">
        <f>Springer!F30</f>
        <v>Inconforme</v>
      </c>
      <c r="E156" s="76" t="str">
        <f t="shared" si="41"/>
        <v>Inconforme</v>
      </c>
      <c r="F156" s="77" t="str">
        <f>Springer!A30</f>
        <v>Inconforme</v>
      </c>
      <c r="G156" s="77" t="str">
        <f t="shared" si="42"/>
        <v>Acerto</v>
      </c>
      <c r="H156" s="77" t="str">
        <f t="shared" si="43"/>
        <v>VN</v>
      </c>
      <c r="I156" s="77" t="str">
        <f>Springer!C30</f>
        <v>Inconforme</v>
      </c>
      <c r="J156" s="77" t="str">
        <f t="shared" si="44"/>
        <v>Acerto</v>
      </c>
      <c r="K156" s="77" t="str">
        <f t="shared" si="45"/>
        <v>VN</v>
      </c>
      <c r="L156" s="59"/>
      <c r="M156" s="59"/>
      <c r="N156" s="59"/>
      <c r="O156" s="59"/>
      <c r="P156" s="59"/>
      <c r="Q156" s="59"/>
      <c r="R156" s="59"/>
      <c r="S156" s="59"/>
      <c r="T156" s="59"/>
      <c r="U156" s="59"/>
      <c r="V156" s="59"/>
      <c r="W156" s="59"/>
      <c r="X156" s="59"/>
      <c r="Y156" s="59"/>
      <c r="Z156" s="59"/>
    </row>
    <row r="157">
      <c r="A157" s="78" t="s">
        <v>2604</v>
      </c>
      <c r="B157" s="79">
        <v>30.0</v>
      </c>
      <c r="C157" s="78" t="str">
        <f>Springer!J31</f>
        <v>Towards a process selection method for embedded analytics</v>
      </c>
      <c r="D157" s="78" t="str">
        <f>Springer!F31</f>
        <v>Conforme</v>
      </c>
      <c r="E157" s="78" t="str">
        <f t="shared" si="41"/>
        <v>Conforme</v>
      </c>
      <c r="F157" s="79" t="str">
        <f>Springer!A31</f>
        <v>Conforme</v>
      </c>
      <c r="G157" s="79" t="str">
        <f t="shared" si="42"/>
        <v>Acerto</v>
      </c>
      <c r="H157" s="79" t="str">
        <f t="shared" si="43"/>
        <v>VP</v>
      </c>
      <c r="I157" s="79" t="str">
        <f>Springer!C31</f>
        <v>Inconforme</v>
      </c>
      <c r="J157" s="79" t="str">
        <f t="shared" si="44"/>
        <v>Divergência</v>
      </c>
      <c r="K157" s="79" t="str">
        <f t="shared" si="45"/>
        <v>FN</v>
      </c>
      <c r="L157" s="59"/>
      <c r="M157" s="59"/>
      <c r="N157" s="59"/>
      <c r="O157" s="59"/>
      <c r="P157" s="59"/>
      <c r="Q157" s="59"/>
      <c r="R157" s="59"/>
      <c r="S157" s="59"/>
      <c r="T157" s="59"/>
      <c r="U157" s="59"/>
      <c r="V157" s="59"/>
      <c r="W157" s="59"/>
      <c r="X157" s="59"/>
      <c r="Y157" s="59"/>
      <c r="Z157" s="59"/>
    </row>
    <row r="158">
      <c r="A158" s="76" t="s">
        <v>2604</v>
      </c>
      <c r="B158" s="77">
        <v>31.0</v>
      </c>
      <c r="C158" s="76" t="str">
        <f>Springer!J32</f>
        <v>Executing automotive test workflows with BPMN and web service orchestration in software-defined car manufacturing</v>
      </c>
      <c r="D158" s="76" t="str">
        <f>Springer!F32</f>
        <v>Conforme</v>
      </c>
      <c r="E158" s="76" t="str">
        <f t="shared" si="41"/>
        <v>Conforme</v>
      </c>
      <c r="F158" s="77" t="str">
        <f>Springer!A32</f>
        <v>Conforme</v>
      </c>
      <c r="G158" s="77" t="str">
        <f t="shared" si="42"/>
        <v>Acerto</v>
      </c>
      <c r="H158" s="77" t="str">
        <f t="shared" si="43"/>
        <v>VP</v>
      </c>
      <c r="I158" s="77" t="str">
        <f>Springer!C32</f>
        <v>Inconforme</v>
      </c>
      <c r="J158" s="77" t="str">
        <f t="shared" si="44"/>
        <v>Divergência</v>
      </c>
      <c r="K158" s="77" t="str">
        <f t="shared" si="45"/>
        <v>FN</v>
      </c>
      <c r="L158" s="59"/>
      <c r="M158" s="59"/>
      <c r="N158" s="59"/>
      <c r="O158" s="59"/>
      <c r="P158" s="59"/>
      <c r="Q158" s="59"/>
      <c r="R158" s="59"/>
      <c r="S158" s="59"/>
      <c r="T158" s="59"/>
      <c r="U158" s="59"/>
      <c r="V158" s="59"/>
      <c r="W158" s="59"/>
      <c r="X158" s="59"/>
      <c r="Y158" s="59"/>
      <c r="Z158" s="59"/>
    </row>
    <row r="159">
      <c r="A159" s="78" t="s">
        <v>2604</v>
      </c>
      <c r="B159" s="79">
        <v>32.0</v>
      </c>
      <c r="C159" s="78" t="str">
        <f>Springer!J33</f>
        <v>Exogenous Shocks and Business Process Management: A Scholars’ Perspective on Challenges and Opportunities</v>
      </c>
      <c r="D159" s="78" t="str">
        <f>Springer!F33</f>
        <v>Inconforme</v>
      </c>
      <c r="E159" s="78" t="str">
        <f t="shared" si="41"/>
        <v>Inconforme</v>
      </c>
      <c r="F159" s="79" t="str">
        <f>Springer!A33</f>
        <v>Inconforme</v>
      </c>
      <c r="G159" s="79" t="str">
        <f t="shared" si="42"/>
        <v>Acerto</v>
      </c>
      <c r="H159" s="79" t="str">
        <f t="shared" si="43"/>
        <v>VN</v>
      </c>
      <c r="I159" s="79" t="str">
        <f>Springer!C33</f>
        <v>Inconforme</v>
      </c>
      <c r="J159" s="79" t="str">
        <f t="shared" si="44"/>
        <v>Acerto</v>
      </c>
      <c r="K159" s="79" t="str">
        <f t="shared" si="45"/>
        <v>VN</v>
      </c>
      <c r="L159" s="59"/>
      <c r="M159" s="59"/>
      <c r="N159" s="59"/>
      <c r="O159" s="59"/>
      <c r="P159" s="59"/>
      <c r="Q159" s="59"/>
      <c r="R159" s="59"/>
      <c r="S159" s="59"/>
      <c r="T159" s="59"/>
      <c r="U159" s="59"/>
      <c r="V159" s="59"/>
      <c r="W159" s="59"/>
      <c r="X159" s="59"/>
      <c r="Y159" s="59"/>
      <c r="Z159" s="59"/>
    </row>
    <row r="160">
      <c r="A160" s="76" t="s">
        <v>2604</v>
      </c>
      <c r="B160" s="77">
        <v>33.0</v>
      </c>
      <c r="C160" s="76" t="str">
        <f>Springer!J34</f>
        <v>Robotic process automation in banking industry: a case study on Deutsche Bank</v>
      </c>
      <c r="D160" s="76" t="str">
        <f>Springer!F34</f>
        <v>Inconforme</v>
      </c>
      <c r="E160" s="76" t="str">
        <f t="shared" si="41"/>
        <v>Inconforme</v>
      </c>
      <c r="F160" s="77" t="str">
        <f>Springer!A34</f>
        <v>Inconforme</v>
      </c>
      <c r="G160" s="77" t="str">
        <f t="shared" si="42"/>
        <v>Acerto</v>
      </c>
      <c r="H160" s="77" t="str">
        <f t="shared" si="43"/>
        <v>VN</v>
      </c>
      <c r="I160" s="77" t="str">
        <f>Springer!C34</f>
        <v>Inconforme</v>
      </c>
      <c r="J160" s="77" t="str">
        <f t="shared" si="44"/>
        <v>Acerto</v>
      </c>
      <c r="K160" s="77" t="str">
        <f t="shared" si="45"/>
        <v>VN</v>
      </c>
      <c r="L160" s="59"/>
      <c r="M160" s="59"/>
      <c r="N160" s="59"/>
      <c r="O160" s="59"/>
      <c r="P160" s="59"/>
      <c r="Q160" s="59"/>
      <c r="R160" s="59"/>
      <c r="S160" s="59"/>
      <c r="T160" s="59"/>
      <c r="U160" s="59"/>
      <c r="V160" s="59"/>
      <c r="W160" s="59"/>
      <c r="X160" s="59"/>
      <c r="Y160" s="59"/>
      <c r="Z160" s="59"/>
    </row>
    <row r="161">
      <c r="A161" s="78" t="s">
        <v>2604</v>
      </c>
      <c r="B161" s="79">
        <v>34.0</v>
      </c>
      <c r="C161" s="78" t="str">
        <f>Springer!J35</f>
        <v>A Five-Level Framework for Research on Process Mining</v>
      </c>
      <c r="D161" s="78" t="str">
        <f>Springer!F35</f>
        <v>Inconforme</v>
      </c>
      <c r="E161" s="78" t="str">
        <f t="shared" si="41"/>
        <v>Inconforme</v>
      </c>
      <c r="F161" s="79" t="str">
        <f>Springer!A35</f>
        <v>Inconforme</v>
      </c>
      <c r="G161" s="79" t="str">
        <f t="shared" si="42"/>
        <v>Acerto</v>
      </c>
      <c r="H161" s="79" t="str">
        <f t="shared" si="43"/>
        <v>VN</v>
      </c>
      <c r="I161" s="79" t="str">
        <f>Springer!C35</f>
        <v>Inconforme</v>
      </c>
      <c r="J161" s="79" t="str">
        <f t="shared" si="44"/>
        <v>Acerto</v>
      </c>
      <c r="K161" s="79" t="str">
        <f t="shared" si="45"/>
        <v>VN</v>
      </c>
      <c r="L161" s="59"/>
      <c r="M161" s="59"/>
      <c r="N161" s="59"/>
      <c r="O161" s="59"/>
      <c r="P161" s="59"/>
      <c r="Q161" s="59"/>
      <c r="R161" s="59"/>
      <c r="S161" s="59"/>
      <c r="T161" s="59"/>
      <c r="U161" s="59"/>
      <c r="V161" s="59"/>
      <c r="W161" s="59"/>
      <c r="X161" s="59"/>
      <c r="Y161" s="59"/>
      <c r="Z161" s="59"/>
    </row>
    <row r="162">
      <c r="A162" s="76" t="s">
        <v>2604</v>
      </c>
      <c r="B162" s="77">
        <v>35.0</v>
      </c>
      <c r="C162" s="76" t="str">
        <f>Springer!J36</f>
        <v>OR based multi-objective decision-making in e-commerce improvement</v>
      </c>
      <c r="D162" s="76" t="str">
        <f>Springer!F36</f>
        <v>Inconforme</v>
      </c>
      <c r="E162" s="76" t="str">
        <f t="shared" si="41"/>
        <v>Inconforme</v>
      </c>
      <c r="F162" s="77" t="str">
        <f>Springer!A36</f>
        <v>Inconforme</v>
      </c>
      <c r="G162" s="77" t="str">
        <f t="shared" si="42"/>
        <v>Acerto</v>
      </c>
      <c r="H162" s="77" t="str">
        <f t="shared" si="43"/>
        <v>VN</v>
      </c>
      <c r="I162" s="77" t="str">
        <f>Springer!C36</f>
        <v>Inconforme</v>
      </c>
      <c r="J162" s="77" t="str">
        <f t="shared" si="44"/>
        <v>Acerto</v>
      </c>
      <c r="K162" s="77" t="str">
        <f t="shared" si="45"/>
        <v>VN</v>
      </c>
      <c r="L162" s="59"/>
      <c r="M162" s="59"/>
      <c r="N162" s="59"/>
      <c r="O162" s="59"/>
      <c r="P162" s="59"/>
      <c r="Q162" s="59"/>
      <c r="R162" s="59"/>
      <c r="S162" s="59"/>
      <c r="T162" s="59"/>
      <c r="U162" s="59"/>
      <c r="V162" s="59"/>
      <c r="W162" s="59"/>
      <c r="X162" s="59"/>
      <c r="Y162" s="59"/>
      <c r="Z162" s="59"/>
    </row>
    <row r="163">
      <c r="A163" s="78" t="s">
        <v>2604</v>
      </c>
      <c r="B163" s="79">
        <v>36.0</v>
      </c>
      <c r="C163" s="78" t="str">
        <f>Springer!J37</f>
        <v>Modeling inter-organizational business process governance in the age of collaborative networks</v>
      </c>
      <c r="D163" s="78" t="str">
        <f>Springer!F37</f>
        <v>Inconforme</v>
      </c>
      <c r="E163" s="78" t="str">
        <f t="shared" si="41"/>
        <v>Inconforme</v>
      </c>
      <c r="F163" s="79" t="str">
        <f>Springer!A37</f>
        <v>Inconforme</v>
      </c>
      <c r="G163" s="79" t="str">
        <f t="shared" si="42"/>
        <v>Acerto</v>
      </c>
      <c r="H163" s="79" t="str">
        <f t="shared" si="43"/>
        <v>VN</v>
      </c>
      <c r="I163" s="79" t="str">
        <f>Springer!C37</f>
        <v>Inconforme</v>
      </c>
      <c r="J163" s="79" t="str">
        <f t="shared" si="44"/>
        <v>Acerto</v>
      </c>
      <c r="K163" s="79" t="str">
        <f t="shared" si="45"/>
        <v>VN</v>
      </c>
      <c r="L163" s="59"/>
      <c r="M163" s="59"/>
      <c r="N163" s="59"/>
      <c r="O163" s="59"/>
      <c r="P163" s="59"/>
      <c r="Q163" s="59"/>
      <c r="R163" s="59"/>
      <c r="S163" s="59"/>
      <c r="T163" s="59"/>
      <c r="U163" s="59"/>
      <c r="V163" s="59"/>
      <c r="W163" s="59"/>
      <c r="X163" s="59"/>
      <c r="Y163" s="59"/>
      <c r="Z163" s="59"/>
    </row>
    <row r="164">
      <c r="A164" s="76" t="s">
        <v>2604</v>
      </c>
      <c r="B164" s="77">
        <v>37.0</v>
      </c>
      <c r="C164" s="76" t="str">
        <f>Springer!J38</f>
        <v>Analysing cross-border logistics operations for performance improvement: development and validation of a reference model</v>
      </c>
      <c r="D164" s="76" t="str">
        <f>Springer!F38</f>
        <v>Inconforme</v>
      </c>
      <c r="E164" s="76" t="str">
        <f t="shared" si="41"/>
        <v>Inconforme</v>
      </c>
      <c r="F164" s="77" t="str">
        <f>Springer!A38</f>
        <v>Inconforme</v>
      </c>
      <c r="G164" s="77" t="str">
        <f t="shared" si="42"/>
        <v>Acerto</v>
      </c>
      <c r="H164" s="77" t="str">
        <f t="shared" si="43"/>
        <v>VN</v>
      </c>
      <c r="I164" s="77" t="str">
        <f>Springer!C38</f>
        <v>Inconforme</v>
      </c>
      <c r="J164" s="77" t="str">
        <f t="shared" si="44"/>
        <v>Acerto</v>
      </c>
      <c r="K164" s="77" t="str">
        <f t="shared" si="45"/>
        <v>VN</v>
      </c>
      <c r="L164" s="59"/>
      <c r="M164" s="59"/>
      <c r="N164" s="59"/>
      <c r="O164" s="59"/>
      <c r="P164" s="59"/>
      <c r="Q164" s="59"/>
      <c r="R164" s="59"/>
      <c r="S164" s="59"/>
      <c r="T164" s="59"/>
      <c r="U164" s="59"/>
      <c r="V164" s="59"/>
      <c r="W164" s="59"/>
      <c r="X164" s="59"/>
      <c r="Y164" s="59"/>
      <c r="Z164" s="59"/>
    </row>
    <row r="165">
      <c r="A165" s="78" t="s">
        <v>2604</v>
      </c>
      <c r="B165" s="79">
        <v>38.0</v>
      </c>
      <c r="C165" s="78" t="str">
        <f>Springer!J39</f>
        <v>A comparative analysis of predictive process monitoring: object-centric versus classical event logs</v>
      </c>
      <c r="D165" s="78" t="str">
        <f>Springer!F39</f>
        <v>Inconforme</v>
      </c>
      <c r="E165" s="78" t="str">
        <f t="shared" si="41"/>
        <v>Inconforme</v>
      </c>
      <c r="F165" s="79" t="str">
        <f>Springer!A39</f>
        <v>Inconforme</v>
      </c>
      <c r="G165" s="79" t="str">
        <f t="shared" si="42"/>
        <v>Acerto</v>
      </c>
      <c r="H165" s="79" t="str">
        <f t="shared" si="43"/>
        <v>VN</v>
      </c>
      <c r="I165" s="79" t="str">
        <f>Springer!C39</f>
        <v>Inconforme</v>
      </c>
      <c r="J165" s="79" t="str">
        <f t="shared" si="44"/>
        <v>Acerto</v>
      </c>
      <c r="K165" s="79" t="str">
        <f t="shared" si="45"/>
        <v>VN</v>
      </c>
      <c r="L165" s="59"/>
      <c r="M165" s="59"/>
      <c r="N165" s="59"/>
      <c r="O165" s="59"/>
      <c r="P165" s="59"/>
      <c r="Q165" s="59"/>
      <c r="R165" s="59"/>
      <c r="S165" s="59"/>
      <c r="T165" s="59"/>
      <c r="U165" s="59"/>
      <c r="V165" s="59"/>
      <c r="W165" s="59"/>
      <c r="X165" s="59"/>
      <c r="Y165" s="59"/>
      <c r="Z165" s="59"/>
    </row>
    <row r="166">
      <c r="A166" s="76" t="s">
        <v>2604</v>
      </c>
      <c r="B166" s="77">
        <v>39.0</v>
      </c>
      <c r="C166" s="76" t="str">
        <f>Springer!J40</f>
        <v>The Five Diamond Method for Explorative Business Process Management</v>
      </c>
      <c r="D166" s="76" t="str">
        <f>Springer!F40</f>
        <v>Conforme</v>
      </c>
      <c r="E166" s="76" t="str">
        <f t="shared" si="41"/>
        <v>Conforme</v>
      </c>
      <c r="F166" s="77" t="str">
        <f>Springer!A40</f>
        <v>Conforme</v>
      </c>
      <c r="G166" s="77" t="str">
        <f t="shared" si="42"/>
        <v>Acerto</v>
      </c>
      <c r="H166" s="77" t="str">
        <f t="shared" si="43"/>
        <v>VP</v>
      </c>
      <c r="I166" s="77" t="str">
        <f>Springer!C40</f>
        <v>Inconforme</v>
      </c>
      <c r="J166" s="77" t="str">
        <f t="shared" si="44"/>
        <v>Divergência</v>
      </c>
      <c r="K166" s="77" t="str">
        <f t="shared" si="45"/>
        <v>FN</v>
      </c>
      <c r="L166" s="59"/>
      <c r="M166" s="59"/>
      <c r="N166" s="59"/>
      <c r="O166" s="59"/>
      <c r="P166" s="59"/>
      <c r="Q166" s="59"/>
      <c r="R166" s="59"/>
      <c r="S166" s="59"/>
      <c r="T166" s="59"/>
      <c r="U166" s="59"/>
      <c r="V166" s="59"/>
      <c r="W166" s="59"/>
      <c r="X166" s="59"/>
      <c r="Y166" s="59"/>
      <c r="Z166" s="59"/>
    </row>
    <row r="167">
      <c r="A167" s="78" t="s">
        <v>2604</v>
      </c>
      <c r="B167" s="79">
        <v>40.0</v>
      </c>
      <c r="C167" s="78" t="str">
        <f>Springer!J41</f>
        <v>Project Management for Supply Chains 4.0: A conceptual framework proposal based on PMBOK methodology</v>
      </c>
      <c r="D167" s="78" t="str">
        <f>Springer!F41</f>
        <v>Inconforme</v>
      </c>
      <c r="E167" s="78" t="str">
        <f t="shared" si="41"/>
        <v>Inconforme</v>
      </c>
      <c r="F167" s="79" t="str">
        <f>Springer!A41</f>
        <v>Inconforme</v>
      </c>
      <c r="G167" s="79" t="str">
        <f t="shared" si="42"/>
        <v>Acerto</v>
      </c>
      <c r="H167" s="79" t="str">
        <f t="shared" si="43"/>
        <v>VN</v>
      </c>
      <c r="I167" s="79" t="str">
        <f>Springer!C41</f>
        <v>Inconforme</v>
      </c>
      <c r="J167" s="79" t="str">
        <f t="shared" si="44"/>
        <v>Acerto</v>
      </c>
      <c r="K167" s="79" t="str">
        <f t="shared" si="45"/>
        <v>VN</v>
      </c>
      <c r="L167" s="59"/>
      <c r="M167" s="59"/>
      <c r="N167" s="59"/>
      <c r="O167" s="59"/>
      <c r="P167" s="59"/>
      <c r="Q167" s="59"/>
      <c r="R167" s="59"/>
      <c r="S167" s="59"/>
      <c r="T167" s="59"/>
      <c r="U167" s="59"/>
      <c r="V167" s="59"/>
      <c r="W167" s="59"/>
      <c r="X167" s="59"/>
      <c r="Y167" s="59"/>
      <c r="Z167" s="59"/>
    </row>
    <row r="168">
      <c r="A168" s="76" t="s">
        <v>2604</v>
      </c>
      <c r="B168" s="77">
        <v>41.0</v>
      </c>
      <c r="C168" s="76" t="str">
        <f>Springer!J42</f>
        <v>The mediating role of education and training in linking process management and product-service design</v>
      </c>
      <c r="D168" s="76" t="str">
        <f>Springer!F42</f>
        <v>Inconforme</v>
      </c>
      <c r="E168" s="76" t="str">
        <f t="shared" si="41"/>
        <v>Inconforme</v>
      </c>
      <c r="F168" s="77" t="str">
        <f>Springer!A42</f>
        <v>Inconforme</v>
      </c>
      <c r="G168" s="77" t="str">
        <f t="shared" si="42"/>
        <v>Acerto</v>
      </c>
      <c r="H168" s="77" t="str">
        <f t="shared" si="43"/>
        <v>VN</v>
      </c>
      <c r="I168" s="77" t="str">
        <f>Springer!C42</f>
        <v>Inconforme</v>
      </c>
      <c r="J168" s="77" t="str">
        <f t="shared" si="44"/>
        <v>Acerto</v>
      </c>
      <c r="K168" s="77" t="str">
        <f t="shared" si="45"/>
        <v>VN</v>
      </c>
      <c r="L168" s="59"/>
      <c r="M168" s="59"/>
      <c r="N168" s="59"/>
      <c r="O168" s="59"/>
      <c r="P168" s="59"/>
      <c r="Q168" s="59"/>
      <c r="R168" s="59"/>
      <c r="S168" s="59"/>
      <c r="T168" s="59"/>
      <c r="U168" s="59"/>
      <c r="V168" s="59"/>
      <c r="W168" s="59"/>
      <c r="X168" s="59"/>
      <c r="Y168" s="59"/>
      <c r="Z168" s="59"/>
    </row>
    <row r="169">
      <c r="A169" s="78" t="s">
        <v>2604</v>
      </c>
      <c r="B169" s="79">
        <v>42.0</v>
      </c>
      <c r="C169" s="78" t="str">
        <f>Springer!J43</f>
        <v>Business Process Management Culture in Public Administration and Its Determinants</v>
      </c>
      <c r="D169" s="78" t="str">
        <f>Springer!F43</f>
        <v>Inconforme</v>
      </c>
      <c r="E169" s="78" t="str">
        <f t="shared" si="41"/>
        <v>Inconforme</v>
      </c>
      <c r="F169" s="79" t="str">
        <f>Springer!A43</f>
        <v>Inconforme</v>
      </c>
      <c r="G169" s="79" t="str">
        <f t="shared" si="42"/>
        <v>Acerto</v>
      </c>
      <c r="H169" s="79" t="str">
        <f t="shared" si="43"/>
        <v>VN</v>
      </c>
      <c r="I169" s="79" t="str">
        <f>Springer!C43</f>
        <v>Inconforme</v>
      </c>
      <c r="J169" s="79" t="str">
        <f t="shared" si="44"/>
        <v>Acerto</v>
      </c>
      <c r="K169" s="79" t="str">
        <f t="shared" si="45"/>
        <v>VN</v>
      </c>
      <c r="L169" s="59"/>
      <c r="M169" s="59"/>
      <c r="N169" s="59"/>
      <c r="O169" s="59"/>
      <c r="P169" s="59"/>
      <c r="Q169" s="59"/>
      <c r="R169" s="59"/>
      <c r="S169" s="59"/>
      <c r="T169" s="59"/>
      <c r="U169" s="59"/>
      <c r="V169" s="59"/>
      <c r="W169" s="59"/>
      <c r="X169" s="59"/>
      <c r="Y169" s="59"/>
      <c r="Z169" s="59"/>
    </row>
    <row r="170">
      <c r="A170" s="76" t="s">
        <v>2604</v>
      </c>
      <c r="B170" s="77">
        <v>43.0</v>
      </c>
      <c r="C170" s="76" t="str">
        <f>Springer!J44</f>
        <v>Managing Dynamics in and Around Business Processes</v>
      </c>
      <c r="D170" s="76" t="str">
        <f>Springer!F44</f>
        <v>Inconforme</v>
      </c>
      <c r="E170" s="76" t="str">
        <f t="shared" si="41"/>
        <v>Inconforme</v>
      </c>
      <c r="F170" s="77" t="str">
        <f>Springer!A44</f>
        <v>Inconforme</v>
      </c>
      <c r="G170" s="77" t="str">
        <f t="shared" si="42"/>
        <v>Acerto</v>
      </c>
      <c r="H170" s="77" t="str">
        <f t="shared" si="43"/>
        <v>VN</v>
      </c>
      <c r="I170" s="77" t="str">
        <f>Springer!C44</f>
        <v>Inconforme</v>
      </c>
      <c r="J170" s="77" t="str">
        <f t="shared" si="44"/>
        <v>Acerto</v>
      </c>
      <c r="K170" s="77" t="str">
        <f t="shared" si="45"/>
        <v>VN</v>
      </c>
      <c r="L170" s="59"/>
      <c r="M170" s="59"/>
      <c r="N170" s="59"/>
      <c r="O170" s="59"/>
      <c r="P170" s="59"/>
      <c r="Q170" s="59"/>
      <c r="R170" s="59"/>
      <c r="S170" s="59"/>
      <c r="T170" s="59"/>
      <c r="U170" s="59"/>
      <c r="V170" s="59"/>
      <c r="W170" s="59"/>
      <c r="X170" s="59"/>
      <c r="Y170" s="59"/>
      <c r="Z170" s="59"/>
    </row>
    <row r="171">
      <c r="A171" s="78" t="s">
        <v>2604</v>
      </c>
      <c r="B171" s="79">
        <v>44.0</v>
      </c>
      <c r="C171" s="78" t="str">
        <f>Springer!J45</f>
        <v>Process Improvement Copilot: bridging the gap between process inefficiencies and process improvement ideas</v>
      </c>
      <c r="D171" s="78" t="str">
        <f>Springer!F45</f>
        <v>Conforme</v>
      </c>
      <c r="E171" s="78" t="str">
        <f t="shared" si="41"/>
        <v>Conforme</v>
      </c>
      <c r="F171" s="79" t="str">
        <f>Springer!A45</f>
        <v>Conforme</v>
      </c>
      <c r="G171" s="79" t="str">
        <f t="shared" si="42"/>
        <v>Acerto</v>
      </c>
      <c r="H171" s="79" t="str">
        <f t="shared" si="43"/>
        <v>VP</v>
      </c>
      <c r="I171" s="79" t="str">
        <f>Springer!C45</f>
        <v>Inconforme</v>
      </c>
      <c r="J171" s="79" t="str">
        <f t="shared" si="44"/>
        <v>Divergência</v>
      </c>
      <c r="K171" s="79" t="str">
        <f t="shared" si="45"/>
        <v>FN</v>
      </c>
      <c r="L171" s="59"/>
      <c r="M171" s="59"/>
      <c r="N171" s="59"/>
      <c r="O171" s="59"/>
      <c r="P171" s="59"/>
      <c r="Q171" s="59"/>
      <c r="R171" s="59"/>
      <c r="S171" s="59"/>
      <c r="T171" s="59"/>
      <c r="U171" s="59"/>
      <c r="V171" s="59"/>
      <c r="W171" s="59"/>
      <c r="X171" s="59"/>
      <c r="Y171" s="59"/>
      <c r="Z171" s="59"/>
    </row>
    <row r="172">
      <c r="A172" s="76" t="s">
        <v>2604</v>
      </c>
      <c r="B172" s="77">
        <v>45.0</v>
      </c>
      <c r="C172" s="76" t="str">
        <f>Springer!J46</f>
        <v>An empirical study of business process models and model clones on GitHub</v>
      </c>
      <c r="D172" s="76" t="str">
        <f>Springer!F46</f>
        <v>Inconforme</v>
      </c>
      <c r="E172" s="76" t="str">
        <f t="shared" si="41"/>
        <v>Inconforme</v>
      </c>
      <c r="F172" s="77" t="str">
        <f>Springer!A46</f>
        <v>Inconforme</v>
      </c>
      <c r="G172" s="77" t="str">
        <f t="shared" si="42"/>
        <v>Acerto</v>
      </c>
      <c r="H172" s="77" t="str">
        <f t="shared" si="43"/>
        <v>VN</v>
      </c>
      <c r="I172" s="77" t="str">
        <f>Springer!C46</f>
        <v>Inconforme</v>
      </c>
      <c r="J172" s="77" t="str">
        <f t="shared" si="44"/>
        <v>Acerto</v>
      </c>
      <c r="K172" s="77" t="str">
        <f t="shared" si="45"/>
        <v>VN</v>
      </c>
      <c r="L172" s="59"/>
      <c r="M172" s="59"/>
      <c r="N172" s="59"/>
      <c r="O172" s="59"/>
      <c r="P172" s="59"/>
      <c r="Q172" s="59"/>
      <c r="R172" s="59"/>
      <c r="S172" s="59"/>
      <c r="T172" s="59"/>
      <c r="U172" s="59"/>
      <c r="V172" s="59"/>
      <c r="W172" s="59"/>
      <c r="X172" s="59"/>
      <c r="Y172" s="59"/>
      <c r="Z172" s="59"/>
    </row>
    <row r="173">
      <c r="A173" s="78" t="s">
        <v>2604</v>
      </c>
      <c r="B173" s="79">
        <v>46.0</v>
      </c>
      <c r="C173" s="78" t="str">
        <f>Springer!J47</f>
        <v>Analyzing Healthcare Processes with Incremental Process Discovery: Practical Insights from a Real-World Application</v>
      </c>
      <c r="D173" s="78" t="str">
        <f>Springer!F47</f>
        <v>Inconforme</v>
      </c>
      <c r="E173" s="78" t="str">
        <f t="shared" si="41"/>
        <v>Inconforme</v>
      </c>
      <c r="F173" s="79" t="str">
        <f>Springer!A47</f>
        <v>Inconforme</v>
      </c>
      <c r="G173" s="79" t="str">
        <f t="shared" si="42"/>
        <v>Acerto</v>
      </c>
      <c r="H173" s="79" t="str">
        <f t="shared" si="43"/>
        <v>VN</v>
      </c>
      <c r="I173" s="79" t="str">
        <f>Springer!C47</f>
        <v>Inconforme</v>
      </c>
      <c r="J173" s="79" t="str">
        <f t="shared" si="44"/>
        <v>Acerto</v>
      </c>
      <c r="K173" s="79" t="str">
        <f t="shared" si="45"/>
        <v>VN</v>
      </c>
      <c r="L173" s="59"/>
      <c r="M173" s="59"/>
      <c r="N173" s="59"/>
      <c r="O173" s="59"/>
      <c r="P173" s="59"/>
      <c r="Q173" s="59"/>
      <c r="R173" s="59"/>
      <c r="S173" s="59"/>
      <c r="T173" s="59"/>
      <c r="U173" s="59"/>
      <c r="V173" s="59"/>
      <c r="W173" s="59"/>
      <c r="X173" s="59"/>
      <c r="Y173" s="59"/>
      <c r="Z173" s="59"/>
    </row>
    <row r="174">
      <c r="A174" s="76" t="s">
        <v>2604</v>
      </c>
      <c r="B174" s="77">
        <v>47.0</v>
      </c>
      <c r="C174" s="76" t="str">
        <f>Springer!J48</f>
        <v>Towards a lightweight framework for service management evaluation in SMEs</v>
      </c>
      <c r="D174" s="76" t="str">
        <f>Springer!F48</f>
        <v>Inconforme</v>
      </c>
      <c r="E174" s="76" t="str">
        <f t="shared" si="41"/>
        <v>Inconforme</v>
      </c>
      <c r="F174" s="77" t="str">
        <f>Springer!A48</f>
        <v>Inconforme</v>
      </c>
      <c r="G174" s="77" t="str">
        <f t="shared" si="42"/>
        <v>Acerto</v>
      </c>
      <c r="H174" s="77" t="str">
        <f t="shared" si="43"/>
        <v>VN</v>
      </c>
      <c r="I174" s="77" t="str">
        <f>Springer!C48</f>
        <v>Inconforme</v>
      </c>
      <c r="J174" s="77" t="str">
        <f t="shared" si="44"/>
        <v>Acerto</v>
      </c>
      <c r="K174" s="77" t="str">
        <f t="shared" si="45"/>
        <v>VN</v>
      </c>
      <c r="L174" s="59"/>
      <c r="M174" s="59"/>
      <c r="N174" s="59"/>
      <c r="O174" s="59"/>
      <c r="P174" s="59"/>
      <c r="Q174" s="59"/>
      <c r="R174" s="59"/>
      <c r="S174" s="59"/>
      <c r="T174" s="59"/>
      <c r="U174" s="59"/>
      <c r="V174" s="59"/>
      <c r="W174" s="59"/>
      <c r="X174" s="59"/>
      <c r="Y174" s="59"/>
      <c r="Z174" s="59"/>
    </row>
    <row r="175">
      <c r="A175" s="78" t="s">
        <v>2604</v>
      </c>
      <c r="B175" s="79">
        <v>48.0</v>
      </c>
      <c r="C175" s="78" t="str">
        <f>Springer!J49</f>
        <v>Context-Aware Business Process Management: Method Assessment and Selection</v>
      </c>
      <c r="D175" s="78" t="str">
        <f>Springer!F49</f>
        <v>Inconforme</v>
      </c>
      <c r="E175" s="78" t="str">
        <f t="shared" si="41"/>
        <v>Inconforme</v>
      </c>
      <c r="F175" s="79" t="str">
        <f>Springer!A49</f>
        <v>Inconforme</v>
      </c>
      <c r="G175" s="79" t="str">
        <f t="shared" si="42"/>
        <v>Acerto</v>
      </c>
      <c r="H175" s="79" t="str">
        <f t="shared" si="43"/>
        <v>VN</v>
      </c>
      <c r="I175" s="79" t="str">
        <f>Springer!C49</f>
        <v>Inconforme</v>
      </c>
      <c r="J175" s="79" t="str">
        <f t="shared" si="44"/>
        <v>Acerto</v>
      </c>
      <c r="K175" s="79" t="str">
        <f t="shared" si="45"/>
        <v>VN</v>
      </c>
      <c r="L175" s="59"/>
      <c r="M175" s="59"/>
      <c r="N175" s="59"/>
      <c r="O175" s="59"/>
      <c r="P175" s="59"/>
      <c r="Q175" s="59"/>
      <c r="R175" s="59"/>
      <c r="S175" s="59"/>
      <c r="T175" s="59"/>
      <c r="U175" s="59"/>
      <c r="V175" s="59"/>
      <c r="W175" s="59"/>
      <c r="X175" s="59"/>
      <c r="Y175" s="59"/>
      <c r="Z175" s="59"/>
    </row>
    <row r="176">
      <c r="A176" s="76" t="s">
        <v>2604</v>
      </c>
      <c r="B176" s="77">
        <v>49.0</v>
      </c>
      <c r="C176" s="76" t="str">
        <f>Springer!J50</f>
        <v>BPM supported model generation by contemplating key elements of information security</v>
      </c>
      <c r="D176" s="76" t="str">
        <f>Springer!F50</f>
        <v>Inconforme</v>
      </c>
      <c r="E176" s="76" t="str">
        <f t="shared" si="41"/>
        <v>Inconforme</v>
      </c>
      <c r="F176" s="77" t="str">
        <f>Springer!A50</f>
        <v>Inconforme</v>
      </c>
      <c r="G176" s="77" t="str">
        <f t="shared" si="42"/>
        <v>Acerto</v>
      </c>
      <c r="H176" s="77" t="str">
        <f t="shared" si="43"/>
        <v>VN</v>
      </c>
      <c r="I176" s="77" t="str">
        <f>Springer!C50</f>
        <v>Inconforme</v>
      </c>
      <c r="J176" s="77" t="str">
        <f t="shared" si="44"/>
        <v>Acerto</v>
      </c>
      <c r="K176" s="77" t="str">
        <f t="shared" si="45"/>
        <v>VN</v>
      </c>
      <c r="L176" s="59"/>
      <c r="M176" s="59"/>
      <c r="N176" s="59"/>
      <c r="O176" s="59"/>
      <c r="P176" s="59"/>
      <c r="Q176" s="59"/>
      <c r="R176" s="59"/>
      <c r="S176" s="59"/>
      <c r="T176" s="59"/>
      <c r="U176" s="59"/>
      <c r="V176" s="59"/>
      <c r="W176" s="59"/>
      <c r="X176" s="59"/>
      <c r="Y176" s="59"/>
      <c r="Z176" s="59"/>
    </row>
    <row r="177">
      <c r="A177" s="78" t="s">
        <v>2604</v>
      </c>
      <c r="B177" s="79">
        <v>50.0</v>
      </c>
      <c r="C177" s="78" t="str">
        <f>Springer!J51</f>
        <v>Development of a catalog and a description model for methods and digital tools in Manufacturing Change Management</v>
      </c>
      <c r="D177" s="78" t="str">
        <f>Springer!F51</f>
        <v>Inconforme</v>
      </c>
      <c r="E177" s="78" t="str">
        <f t="shared" si="41"/>
        <v>Inconforme</v>
      </c>
      <c r="F177" s="79" t="str">
        <f>Springer!A51</f>
        <v>Inconforme</v>
      </c>
      <c r="G177" s="79" t="str">
        <f t="shared" si="42"/>
        <v>Acerto</v>
      </c>
      <c r="H177" s="79" t="str">
        <f t="shared" si="43"/>
        <v>VN</v>
      </c>
      <c r="I177" s="79" t="str">
        <f>Springer!C51</f>
        <v>Inconforme</v>
      </c>
      <c r="J177" s="79" t="str">
        <f t="shared" si="44"/>
        <v>Acerto</v>
      </c>
      <c r="K177" s="79" t="str">
        <f t="shared" si="45"/>
        <v>VN</v>
      </c>
      <c r="L177" s="59"/>
      <c r="M177" s="59"/>
      <c r="N177" s="59"/>
      <c r="O177" s="59"/>
      <c r="P177" s="59"/>
      <c r="Q177" s="59"/>
      <c r="R177" s="59"/>
      <c r="S177" s="59"/>
      <c r="T177" s="59"/>
      <c r="U177" s="59"/>
      <c r="V177" s="59"/>
      <c r="W177" s="59"/>
      <c r="X177" s="59"/>
      <c r="Y177" s="59"/>
      <c r="Z177" s="59"/>
    </row>
    <row r="178">
      <c r="A178" s="76" t="s">
        <v>2604</v>
      </c>
      <c r="B178" s="77">
        <v>51.0</v>
      </c>
      <c r="C178" s="76" t="str">
        <f>Springer!J52</f>
        <v>Business process management heuristics in IT service management: a case study for incident management</v>
      </c>
      <c r="D178" s="76" t="str">
        <f>Springer!F52</f>
        <v>Inconforme</v>
      </c>
      <c r="E178" s="76" t="str">
        <f t="shared" si="41"/>
        <v>Inconforme</v>
      </c>
      <c r="F178" s="77" t="str">
        <f>Springer!A52</f>
        <v>Inconforme</v>
      </c>
      <c r="G178" s="77" t="str">
        <f t="shared" si="42"/>
        <v>Acerto</v>
      </c>
      <c r="H178" s="77" t="str">
        <f t="shared" si="43"/>
        <v>VN</v>
      </c>
      <c r="I178" s="77" t="str">
        <f>Springer!C52</f>
        <v>Inconforme</v>
      </c>
      <c r="J178" s="77" t="str">
        <f t="shared" si="44"/>
        <v>Acerto</v>
      </c>
      <c r="K178" s="77" t="str">
        <f t="shared" si="45"/>
        <v>VN</v>
      </c>
      <c r="L178" s="59"/>
      <c r="M178" s="59"/>
      <c r="N178" s="59"/>
      <c r="O178" s="59"/>
      <c r="P178" s="59"/>
      <c r="Q178" s="59"/>
      <c r="R178" s="59"/>
      <c r="S178" s="59"/>
      <c r="T178" s="59"/>
      <c r="U178" s="59"/>
      <c r="V178" s="59"/>
      <c r="W178" s="59"/>
      <c r="X178" s="59"/>
      <c r="Y178" s="59"/>
      <c r="Z178" s="59"/>
    </row>
    <row r="179">
      <c r="A179" s="78" t="s">
        <v>2604</v>
      </c>
      <c r="B179" s="79">
        <v>52.0</v>
      </c>
      <c r="C179" s="78" t="str">
        <f>Springer!J53</f>
        <v>Business Process Performance: Investigating the Impact of Process-Oriented Appraisals and Rewards on Success</v>
      </c>
      <c r="D179" s="78" t="str">
        <f>Springer!F53</f>
        <v>Inconforme</v>
      </c>
      <c r="E179" s="78" t="str">
        <f t="shared" si="41"/>
        <v>Inconforme</v>
      </c>
      <c r="F179" s="79" t="str">
        <f>Springer!A53</f>
        <v>Inconforme</v>
      </c>
      <c r="G179" s="79" t="str">
        <f t="shared" si="42"/>
        <v>Acerto</v>
      </c>
      <c r="H179" s="79" t="str">
        <f t="shared" si="43"/>
        <v>VN</v>
      </c>
      <c r="I179" s="79" t="str">
        <f>Springer!C53</f>
        <v>Inconforme</v>
      </c>
      <c r="J179" s="79" t="str">
        <f t="shared" si="44"/>
        <v>Acerto</v>
      </c>
      <c r="K179" s="79" t="str">
        <f t="shared" si="45"/>
        <v>VN</v>
      </c>
      <c r="L179" s="59"/>
      <c r="M179" s="59"/>
      <c r="N179" s="59"/>
      <c r="O179" s="59"/>
      <c r="P179" s="59"/>
      <c r="Q179" s="59"/>
      <c r="R179" s="59"/>
      <c r="S179" s="59"/>
      <c r="T179" s="59"/>
      <c r="U179" s="59"/>
      <c r="V179" s="59"/>
      <c r="W179" s="59"/>
      <c r="X179" s="59"/>
      <c r="Y179" s="59"/>
      <c r="Z179" s="59"/>
    </row>
    <row r="180">
      <c r="A180" s="76" t="s">
        <v>2604</v>
      </c>
      <c r="B180" s="77">
        <v>53.0</v>
      </c>
      <c r="C180" s="76" t="str">
        <f>Springer!J54</f>
        <v>Interview with Varun Grover on "Business Processes, Information Technology and Its Evolution in the Digital Age"</v>
      </c>
      <c r="D180" s="76" t="str">
        <f>Springer!F54</f>
        <v>Inconforme</v>
      </c>
      <c r="E180" s="76" t="str">
        <f t="shared" si="41"/>
        <v>Inconforme</v>
      </c>
      <c r="F180" s="77" t="str">
        <f>Springer!A54</f>
        <v>Inconforme</v>
      </c>
      <c r="G180" s="77" t="str">
        <f t="shared" si="42"/>
        <v>Acerto</v>
      </c>
      <c r="H180" s="77" t="str">
        <f t="shared" si="43"/>
        <v>VN</v>
      </c>
      <c r="I180" s="77" t="str">
        <f>Springer!C54</f>
        <v>Inconforme</v>
      </c>
      <c r="J180" s="77" t="str">
        <f t="shared" si="44"/>
        <v>Acerto</v>
      </c>
      <c r="K180" s="77" t="str">
        <f t="shared" si="45"/>
        <v>VN</v>
      </c>
      <c r="L180" s="59"/>
      <c r="M180" s="59"/>
      <c r="N180" s="59"/>
      <c r="O180" s="59"/>
      <c r="P180" s="59"/>
      <c r="Q180" s="59"/>
      <c r="R180" s="59"/>
      <c r="S180" s="59"/>
      <c r="T180" s="59"/>
      <c r="U180" s="59"/>
      <c r="V180" s="59"/>
      <c r="W180" s="59"/>
      <c r="X180" s="59"/>
      <c r="Y180" s="59"/>
      <c r="Z180" s="59"/>
    </row>
    <row r="181">
      <c r="A181" s="78" t="s">
        <v>2604</v>
      </c>
      <c r="B181" s="79">
        <v>54.0</v>
      </c>
      <c r="C181" s="78" t="str">
        <f>Springer!J55</f>
        <v>Development of a centralized progress management system using lean thinking and efforts to improve operations</v>
      </c>
      <c r="D181" s="78" t="str">
        <f>Springer!F55</f>
        <v>Inconforme</v>
      </c>
      <c r="E181" s="78" t="str">
        <f t="shared" si="41"/>
        <v>Inconforme</v>
      </c>
      <c r="F181" s="79" t="str">
        <f>Springer!A55</f>
        <v>Inconforme</v>
      </c>
      <c r="G181" s="79" t="str">
        <f t="shared" si="42"/>
        <v>Acerto</v>
      </c>
      <c r="H181" s="79" t="str">
        <f t="shared" si="43"/>
        <v>VN</v>
      </c>
      <c r="I181" s="79" t="str">
        <f>Springer!C55</f>
        <v>Inconforme</v>
      </c>
      <c r="J181" s="79" t="str">
        <f t="shared" si="44"/>
        <v>Acerto</v>
      </c>
      <c r="K181" s="79" t="str">
        <f t="shared" si="45"/>
        <v>VN</v>
      </c>
      <c r="L181" s="59"/>
      <c r="M181" s="59"/>
      <c r="N181" s="59"/>
      <c r="O181" s="59"/>
      <c r="P181" s="59"/>
      <c r="Q181" s="59"/>
      <c r="R181" s="59"/>
      <c r="S181" s="59"/>
      <c r="T181" s="59"/>
      <c r="U181" s="59"/>
      <c r="V181" s="59"/>
      <c r="W181" s="59"/>
      <c r="X181" s="59"/>
      <c r="Y181" s="59"/>
      <c r="Z181" s="59"/>
    </row>
    <row r="182">
      <c r="A182" s="76" t="s">
        <v>2604</v>
      </c>
      <c r="B182" s="77">
        <v>55.0</v>
      </c>
      <c r="C182" s="76" t="str">
        <f>Springer!J56</f>
        <v>Large Language Models for Process Knowledge Acquisition: Designing and Evaluating a Multi-agent System</v>
      </c>
      <c r="D182" s="76" t="str">
        <f>Springer!F56</f>
        <v>Conforme</v>
      </c>
      <c r="E182" s="76" t="str">
        <f t="shared" si="41"/>
        <v>Conforme</v>
      </c>
      <c r="F182" s="77" t="str">
        <f>Springer!A56</f>
        <v>Conforme</v>
      </c>
      <c r="G182" s="77" t="str">
        <f t="shared" si="42"/>
        <v>Acerto</v>
      </c>
      <c r="H182" s="77" t="str">
        <f t="shared" si="43"/>
        <v>VP</v>
      </c>
      <c r="I182" s="77" t="str">
        <f>Springer!C56</f>
        <v>Inconforme</v>
      </c>
      <c r="J182" s="77" t="str">
        <f t="shared" si="44"/>
        <v>Divergência</v>
      </c>
      <c r="K182" s="77" t="str">
        <f t="shared" si="45"/>
        <v>FN</v>
      </c>
      <c r="L182" s="59"/>
      <c r="M182" s="59"/>
      <c r="N182" s="59"/>
      <c r="O182" s="59"/>
      <c r="P182" s="59"/>
      <c r="Q182" s="59"/>
      <c r="R182" s="59"/>
      <c r="S182" s="59"/>
      <c r="T182" s="59"/>
      <c r="U182" s="59"/>
      <c r="V182" s="59"/>
      <c r="W182" s="59"/>
      <c r="X182" s="59"/>
      <c r="Y182" s="59"/>
      <c r="Z182" s="59"/>
    </row>
    <row r="183">
      <c r="A183" s="78" t="s">
        <v>2604</v>
      </c>
      <c r="B183" s="79">
        <v>56.0</v>
      </c>
      <c r="C183" s="78" t="str">
        <f>Springer!J57</f>
        <v>Trace clustering for judicial process simplification: identifying patterns and enhancing anaslysis</v>
      </c>
      <c r="D183" s="78" t="str">
        <f>Springer!F57</f>
        <v>Inconforme</v>
      </c>
      <c r="E183" s="78" t="str">
        <f t="shared" si="41"/>
        <v>Inconforme</v>
      </c>
      <c r="F183" s="79" t="str">
        <f>Springer!A57</f>
        <v>Inconforme</v>
      </c>
      <c r="G183" s="79" t="str">
        <f t="shared" si="42"/>
        <v>Acerto</v>
      </c>
      <c r="H183" s="79" t="str">
        <f t="shared" si="43"/>
        <v>VN</v>
      </c>
      <c r="I183" s="79" t="str">
        <f>Springer!C57</f>
        <v>Inconforme</v>
      </c>
      <c r="J183" s="79" t="str">
        <f t="shared" si="44"/>
        <v>Acerto</v>
      </c>
      <c r="K183" s="79" t="str">
        <f t="shared" si="45"/>
        <v>VN</v>
      </c>
      <c r="L183" s="59"/>
      <c r="M183" s="59"/>
      <c r="N183" s="59"/>
      <c r="O183" s="59"/>
      <c r="P183" s="59"/>
      <c r="Q183" s="59"/>
      <c r="R183" s="59"/>
      <c r="S183" s="59"/>
      <c r="T183" s="59"/>
      <c r="U183" s="59"/>
      <c r="V183" s="59"/>
      <c r="W183" s="59"/>
      <c r="X183" s="59"/>
      <c r="Y183" s="59"/>
      <c r="Z183" s="59"/>
    </row>
    <row r="184">
      <c r="A184" s="76" t="s">
        <v>2604</v>
      </c>
      <c r="B184" s="77">
        <v>57.0</v>
      </c>
      <c r="C184" s="76" t="str">
        <f>Springer!J58</f>
        <v>From Source to Target: Leveraging Transfer Learning for Predictive Process Monitoring in Organizations</v>
      </c>
      <c r="D184" s="76" t="str">
        <f>Springer!F58</f>
        <v>Inconforme</v>
      </c>
      <c r="E184" s="76" t="str">
        <f t="shared" si="41"/>
        <v>Inconforme</v>
      </c>
      <c r="F184" s="77" t="str">
        <f>Springer!A58</f>
        <v>Inconforme</v>
      </c>
      <c r="G184" s="77" t="str">
        <f t="shared" si="42"/>
        <v>Acerto</v>
      </c>
      <c r="H184" s="77" t="str">
        <f t="shared" si="43"/>
        <v>VN</v>
      </c>
      <c r="I184" s="77" t="str">
        <f>Springer!C58</f>
        <v>Inconforme</v>
      </c>
      <c r="J184" s="77" t="str">
        <f t="shared" si="44"/>
        <v>Acerto</v>
      </c>
      <c r="K184" s="77" t="str">
        <f t="shared" si="45"/>
        <v>VN</v>
      </c>
      <c r="L184" s="59"/>
      <c r="M184" s="59"/>
      <c r="N184" s="59"/>
      <c r="O184" s="59"/>
      <c r="P184" s="59"/>
      <c r="Q184" s="59"/>
      <c r="R184" s="59"/>
      <c r="S184" s="59"/>
      <c r="T184" s="59"/>
      <c r="U184" s="59"/>
      <c r="V184" s="59"/>
      <c r="W184" s="59"/>
      <c r="X184" s="59"/>
      <c r="Y184" s="59"/>
      <c r="Z184" s="59"/>
    </row>
    <row r="185">
      <c r="A185" s="78" t="s">
        <v>2604</v>
      </c>
      <c r="B185" s="79">
        <v>58.0</v>
      </c>
      <c r="C185" s="78" t="str">
        <f>Springer!J59</f>
        <v>Enterprise Architecture and IT Governance to Support the BizDevOps Approach: a Systematic Mapping Study</v>
      </c>
      <c r="D185" s="78" t="str">
        <f>Springer!F59</f>
        <v>Inconforme</v>
      </c>
      <c r="E185" s="78" t="str">
        <f t="shared" si="41"/>
        <v>Inconforme</v>
      </c>
      <c r="F185" s="79" t="str">
        <f>Springer!A59</f>
        <v>Inconforme</v>
      </c>
      <c r="G185" s="79" t="str">
        <f t="shared" si="42"/>
        <v>Acerto</v>
      </c>
      <c r="H185" s="79" t="str">
        <f t="shared" si="43"/>
        <v>VN</v>
      </c>
      <c r="I185" s="79" t="str">
        <f>Springer!C59</f>
        <v>Inconforme</v>
      </c>
      <c r="J185" s="79" t="str">
        <f t="shared" si="44"/>
        <v>Acerto</v>
      </c>
      <c r="K185" s="79" t="str">
        <f t="shared" si="45"/>
        <v>VN</v>
      </c>
      <c r="L185" s="59"/>
      <c r="M185" s="59"/>
      <c r="N185" s="59"/>
      <c r="O185" s="59"/>
      <c r="P185" s="59"/>
      <c r="Q185" s="59"/>
      <c r="R185" s="59"/>
      <c r="S185" s="59"/>
      <c r="T185" s="59"/>
      <c r="U185" s="59"/>
      <c r="V185" s="59"/>
      <c r="W185" s="59"/>
      <c r="X185" s="59"/>
      <c r="Y185" s="59"/>
      <c r="Z185" s="59"/>
    </row>
    <row r="186">
      <c r="A186" s="76" t="s">
        <v>2604</v>
      </c>
      <c r="B186" s="77">
        <v>59.0</v>
      </c>
      <c r="C186" s="76" t="str">
        <f>Springer!J60</f>
        <v>Intelligent monitoring and anomaly detection for power service processes based on spatiotemporal attention mechanism</v>
      </c>
      <c r="D186" s="76" t="str">
        <f>Springer!F60</f>
        <v>Inconforme</v>
      </c>
      <c r="E186" s="76" t="str">
        <f t="shared" si="41"/>
        <v>Inconforme</v>
      </c>
      <c r="F186" s="77" t="str">
        <f>Springer!A60</f>
        <v>Inconforme</v>
      </c>
      <c r="G186" s="77" t="str">
        <f t="shared" si="42"/>
        <v>Acerto</v>
      </c>
      <c r="H186" s="77" t="str">
        <f t="shared" si="43"/>
        <v>VN</v>
      </c>
      <c r="I186" s="77" t="str">
        <f>Springer!C60</f>
        <v>Inconforme</v>
      </c>
      <c r="J186" s="77" t="str">
        <f t="shared" si="44"/>
        <v>Acerto</v>
      </c>
      <c r="K186" s="77" t="str">
        <f t="shared" si="45"/>
        <v>VN</v>
      </c>
      <c r="L186" s="59"/>
      <c r="M186" s="59"/>
      <c r="N186" s="59"/>
      <c r="O186" s="59"/>
      <c r="P186" s="59"/>
      <c r="Q186" s="59"/>
      <c r="R186" s="59"/>
      <c r="S186" s="59"/>
      <c r="T186" s="59"/>
      <c r="U186" s="59"/>
      <c r="V186" s="59"/>
      <c r="W186" s="59"/>
      <c r="X186" s="59"/>
      <c r="Y186" s="59"/>
      <c r="Z186" s="59"/>
    </row>
    <row r="187">
      <c r="A187" s="78" t="s">
        <v>2604</v>
      </c>
      <c r="B187" s="79">
        <v>60.0</v>
      </c>
      <c r="C187" s="78" t="str">
        <f>Springer!J61</f>
        <v>Idea generation in exploitative and explorative business process redesign techniques</v>
      </c>
      <c r="D187" s="78" t="str">
        <f>Springer!F61</f>
        <v>Inconforme</v>
      </c>
      <c r="E187" s="78" t="str">
        <f t="shared" si="41"/>
        <v>Inconforme</v>
      </c>
      <c r="F187" s="79" t="str">
        <f>Springer!A61</f>
        <v>Inconforme</v>
      </c>
      <c r="G187" s="79" t="str">
        <f t="shared" si="42"/>
        <v>Acerto</v>
      </c>
      <c r="H187" s="79" t="str">
        <f t="shared" si="43"/>
        <v>VN</v>
      </c>
      <c r="I187" s="79" t="str">
        <f>Springer!C61</f>
        <v>Inconforme</v>
      </c>
      <c r="J187" s="79" t="str">
        <f t="shared" si="44"/>
        <v>Acerto</v>
      </c>
      <c r="K187" s="79" t="str">
        <f t="shared" si="45"/>
        <v>VN</v>
      </c>
      <c r="L187" s="59"/>
      <c r="M187" s="59"/>
      <c r="N187" s="59"/>
      <c r="O187" s="59"/>
      <c r="P187" s="59"/>
      <c r="Q187" s="59"/>
      <c r="R187" s="59"/>
      <c r="S187" s="59"/>
      <c r="T187" s="59"/>
      <c r="U187" s="59"/>
      <c r="V187" s="59"/>
      <c r="W187" s="59"/>
      <c r="X187" s="59"/>
      <c r="Y187" s="59"/>
      <c r="Z187" s="59"/>
    </row>
    <row r="188">
      <c r="A188" s="76" t="s">
        <v>2604</v>
      </c>
      <c r="B188" s="77">
        <v>61.0</v>
      </c>
      <c r="C188" s="76" t="str">
        <f>Springer!J62</f>
        <v>Statements on the Contribution by Grisold et al. from Issue 2/2022</v>
      </c>
      <c r="D188" s="76" t="str">
        <f>Springer!F62</f>
        <v>Inconforme</v>
      </c>
      <c r="E188" s="76" t="str">
        <f t="shared" si="41"/>
        <v>Inconforme</v>
      </c>
      <c r="F188" s="77" t="str">
        <f>Springer!A62</f>
        <v>Inconforme</v>
      </c>
      <c r="G188" s="77" t="str">
        <f t="shared" si="42"/>
        <v>Acerto</v>
      </c>
      <c r="H188" s="77" t="str">
        <f t="shared" si="43"/>
        <v>VN</v>
      </c>
      <c r="I188" s="77" t="str">
        <f>Springer!C62</f>
        <v>Inconforme</v>
      </c>
      <c r="J188" s="77" t="str">
        <f t="shared" si="44"/>
        <v>Acerto</v>
      </c>
      <c r="K188" s="77" t="str">
        <f t="shared" si="45"/>
        <v>VN</v>
      </c>
      <c r="L188" s="59"/>
      <c r="M188" s="59"/>
      <c r="N188" s="59"/>
      <c r="O188" s="59"/>
      <c r="P188" s="59"/>
      <c r="Q188" s="59"/>
      <c r="R188" s="59"/>
      <c r="S188" s="59"/>
      <c r="T188" s="59"/>
      <c r="U188" s="59"/>
      <c r="V188" s="59"/>
      <c r="W188" s="59"/>
      <c r="X188" s="59"/>
      <c r="Y188" s="59"/>
      <c r="Z188" s="59"/>
    </row>
    <row r="189">
      <c r="A189" s="78" t="s">
        <v>2604</v>
      </c>
      <c r="B189" s="79">
        <v>62.0</v>
      </c>
      <c r="C189" s="78" t="str">
        <f>Springer!J63</f>
        <v>Predictive End-to-End Enterprise Process Network Monitoring</v>
      </c>
      <c r="D189" s="78" t="str">
        <f>Springer!F63</f>
        <v>Inconforme</v>
      </c>
      <c r="E189" s="78" t="str">
        <f t="shared" si="41"/>
        <v>Inconforme</v>
      </c>
      <c r="F189" s="79" t="str">
        <f>Springer!A63</f>
        <v>Inconforme</v>
      </c>
      <c r="G189" s="79" t="str">
        <f t="shared" si="42"/>
        <v>Acerto</v>
      </c>
      <c r="H189" s="79" t="str">
        <f t="shared" si="43"/>
        <v>VN</v>
      </c>
      <c r="I189" s="79" t="str">
        <f>Springer!C63</f>
        <v>Inconforme</v>
      </c>
      <c r="J189" s="79" t="str">
        <f t="shared" si="44"/>
        <v>Acerto</v>
      </c>
      <c r="K189" s="79" t="str">
        <f t="shared" si="45"/>
        <v>VN</v>
      </c>
      <c r="L189" s="59"/>
      <c r="M189" s="59"/>
      <c r="N189" s="59"/>
      <c r="O189" s="59"/>
      <c r="P189" s="59"/>
      <c r="Q189" s="59"/>
      <c r="R189" s="59"/>
      <c r="S189" s="59"/>
      <c r="T189" s="59"/>
      <c r="U189" s="59"/>
      <c r="V189" s="59"/>
      <c r="W189" s="59"/>
      <c r="X189" s="59"/>
      <c r="Y189" s="59"/>
      <c r="Z189" s="59"/>
    </row>
    <row r="190">
      <c r="A190" s="76" t="s">
        <v>2604</v>
      </c>
      <c r="B190" s="77">
        <v>63.0</v>
      </c>
      <c r="C190" s="76" t="str">
        <f>Springer!J64</f>
        <v>Opportunities and Challenges for Process Mining in Organizations: Results of a Delphi Study</v>
      </c>
      <c r="D190" s="76" t="str">
        <f>Springer!F64</f>
        <v>Inconforme</v>
      </c>
      <c r="E190" s="76" t="str">
        <f t="shared" si="41"/>
        <v>Inconforme</v>
      </c>
      <c r="F190" s="77" t="str">
        <f>Springer!A64</f>
        <v>Inconforme</v>
      </c>
      <c r="G190" s="77" t="str">
        <f t="shared" si="42"/>
        <v>Acerto</v>
      </c>
      <c r="H190" s="77" t="str">
        <f t="shared" si="43"/>
        <v>VN</v>
      </c>
      <c r="I190" s="77" t="str">
        <f>Springer!C64</f>
        <v>Inconforme</v>
      </c>
      <c r="J190" s="77" t="str">
        <f t="shared" si="44"/>
        <v>Acerto</v>
      </c>
      <c r="K190" s="77" t="str">
        <f t="shared" si="45"/>
        <v>VN</v>
      </c>
      <c r="L190" s="59"/>
      <c r="M190" s="59"/>
      <c r="N190" s="59"/>
      <c r="O190" s="59"/>
      <c r="P190" s="59"/>
      <c r="Q190" s="59"/>
      <c r="R190" s="59"/>
      <c r="S190" s="59"/>
      <c r="T190" s="59"/>
      <c r="U190" s="59"/>
      <c r="V190" s="59"/>
      <c r="W190" s="59"/>
      <c r="X190" s="59"/>
      <c r="Y190" s="59"/>
      <c r="Z190" s="59"/>
    </row>
    <row r="191">
      <c r="A191" s="78" t="s">
        <v>2604</v>
      </c>
      <c r="B191" s="79">
        <v>64.0</v>
      </c>
      <c r="C191" s="78" t="str">
        <f>Springer!J65</f>
        <v>BEST: a unified business process enactment via streams and tables for service computing</v>
      </c>
      <c r="D191" s="78" t="str">
        <f>Springer!F65</f>
        <v>Conforme</v>
      </c>
      <c r="E191" s="78" t="str">
        <f t="shared" si="41"/>
        <v>Conforme</v>
      </c>
      <c r="F191" s="79" t="str">
        <f>Springer!A65</f>
        <v>Inconforme</v>
      </c>
      <c r="G191" s="79" t="str">
        <f t="shared" si="42"/>
        <v>Divergência</v>
      </c>
      <c r="H191" s="79" t="str">
        <f t="shared" si="43"/>
        <v>FN</v>
      </c>
      <c r="I191" s="79" t="str">
        <f>Springer!C65</f>
        <v>Inconforme</v>
      </c>
      <c r="J191" s="79" t="str">
        <f t="shared" si="44"/>
        <v>Divergência</v>
      </c>
      <c r="K191" s="79" t="str">
        <f t="shared" si="45"/>
        <v>FN</v>
      </c>
      <c r="L191" s="59"/>
      <c r="M191" s="59"/>
      <c r="N191" s="59"/>
      <c r="O191" s="59"/>
      <c r="P191" s="59"/>
      <c r="Q191" s="59"/>
      <c r="R191" s="59"/>
      <c r="S191" s="59"/>
      <c r="T191" s="59"/>
      <c r="U191" s="59"/>
      <c r="V191" s="59"/>
      <c r="W191" s="59"/>
      <c r="X191" s="59"/>
      <c r="Y191" s="59"/>
      <c r="Z191" s="59"/>
    </row>
    <row r="192">
      <c r="A192" s="76" t="s">
        <v>2604</v>
      </c>
      <c r="B192" s="77">
        <v>65.0</v>
      </c>
      <c r="C192" s="76" t="str">
        <f>Springer!J66</f>
        <v>Towards automatic business process redesign: an NLP based approach to extract redesign suggestions</v>
      </c>
      <c r="D192" s="76" t="str">
        <f>Springer!F66</f>
        <v>Conforme</v>
      </c>
      <c r="E192" s="76" t="str">
        <f t="shared" si="41"/>
        <v>Conforme</v>
      </c>
      <c r="F192" s="77" t="str">
        <f>Springer!A66</f>
        <v>Inconforme</v>
      </c>
      <c r="G192" s="77" t="str">
        <f t="shared" si="42"/>
        <v>Divergência</v>
      </c>
      <c r="H192" s="77" t="str">
        <f t="shared" si="43"/>
        <v>FN</v>
      </c>
      <c r="I192" s="77" t="str">
        <f>Springer!C66</f>
        <v>Inconforme</v>
      </c>
      <c r="J192" s="77" t="str">
        <f t="shared" si="44"/>
        <v>Divergência</v>
      </c>
      <c r="K192" s="77" t="str">
        <f t="shared" si="45"/>
        <v>FN</v>
      </c>
      <c r="L192" s="59"/>
      <c r="M192" s="59"/>
      <c r="N192" s="59"/>
      <c r="O192" s="59"/>
      <c r="P192" s="59"/>
      <c r="Q192" s="59"/>
      <c r="R192" s="59"/>
      <c r="S192" s="59"/>
      <c r="T192" s="59"/>
      <c r="U192" s="59"/>
      <c r="V192" s="59"/>
      <c r="W192" s="59"/>
      <c r="X192" s="59"/>
      <c r="Y192" s="59"/>
      <c r="Z192" s="59"/>
    </row>
    <row r="193">
      <c r="A193" s="78" t="s">
        <v>2604</v>
      </c>
      <c r="B193" s="79">
        <v>66.0</v>
      </c>
      <c r="C193" s="78" t="str">
        <f>Springer!J67</f>
        <v>Evaluating BPMN Extensions for Continuous Processes Based on Use Cases and Expert Interviews</v>
      </c>
      <c r="D193" s="78" t="str">
        <f>Springer!F67</f>
        <v>Inconforme</v>
      </c>
      <c r="E193" s="78" t="str">
        <f t="shared" si="41"/>
        <v>Inconforme</v>
      </c>
      <c r="F193" s="79" t="str">
        <f>Springer!A67</f>
        <v>Inconforme</v>
      </c>
      <c r="G193" s="79" t="str">
        <f t="shared" si="42"/>
        <v>Acerto</v>
      </c>
      <c r="H193" s="79" t="str">
        <f t="shared" si="43"/>
        <v>VN</v>
      </c>
      <c r="I193" s="79" t="str">
        <f>Springer!C67</f>
        <v>Inconforme</v>
      </c>
      <c r="J193" s="79" t="str">
        <f t="shared" si="44"/>
        <v>Acerto</v>
      </c>
      <c r="K193" s="79" t="str">
        <f t="shared" si="45"/>
        <v>VN</v>
      </c>
      <c r="L193" s="59"/>
      <c r="M193" s="59"/>
      <c r="N193" s="59"/>
      <c r="O193" s="59"/>
      <c r="P193" s="59"/>
      <c r="Q193" s="59"/>
      <c r="R193" s="59"/>
      <c r="S193" s="59"/>
      <c r="T193" s="59"/>
      <c r="U193" s="59"/>
      <c r="V193" s="59"/>
      <c r="W193" s="59"/>
      <c r="X193" s="59"/>
      <c r="Y193" s="59"/>
      <c r="Z193" s="59"/>
    </row>
    <row r="194">
      <c r="A194" s="76" t="s">
        <v>2604</v>
      </c>
      <c r="B194" s="77">
        <v>67.0</v>
      </c>
      <c r="C194" s="76" t="str">
        <f>Springer!J68</f>
        <v>aCHAT-WF: Generating conversational agents for teaching business process models</v>
      </c>
      <c r="D194" s="76" t="str">
        <f>Springer!F68</f>
        <v>Inconforme</v>
      </c>
      <c r="E194" s="76" t="str">
        <f t="shared" si="41"/>
        <v>Inconforme</v>
      </c>
      <c r="F194" s="77" t="str">
        <f>Springer!A68</f>
        <v>Inconforme</v>
      </c>
      <c r="G194" s="77" t="str">
        <f t="shared" si="42"/>
        <v>Acerto</v>
      </c>
      <c r="H194" s="77" t="str">
        <f t="shared" si="43"/>
        <v>VN</v>
      </c>
      <c r="I194" s="77" t="str">
        <f>Springer!C68</f>
        <v>Inconforme</v>
      </c>
      <c r="J194" s="77" t="str">
        <f t="shared" si="44"/>
        <v>Acerto</v>
      </c>
      <c r="K194" s="77" t="str">
        <f t="shared" si="45"/>
        <v>VN</v>
      </c>
      <c r="L194" s="59"/>
      <c r="M194" s="59"/>
      <c r="N194" s="59"/>
      <c r="O194" s="59"/>
      <c r="P194" s="59"/>
      <c r="Q194" s="59"/>
      <c r="R194" s="59"/>
      <c r="S194" s="59"/>
      <c r="T194" s="59"/>
      <c r="U194" s="59"/>
      <c r="V194" s="59"/>
      <c r="W194" s="59"/>
      <c r="X194" s="59"/>
      <c r="Y194" s="59"/>
      <c r="Z194" s="59"/>
    </row>
    <row r="195">
      <c r="A195" s="78" t="s">
        <v>2604</v>
      </c>
      <c r="B195" s="79">
        <v>68.0</v>
      </c>
      <c r="C195" s="78" t="str">
        <f>Springer!J69</f>
        <v>A data-driven, goal-oriented framework for process-focused enterprise re-engineering</v>
      </c>
      <c r="D195" s="78" t="str">
        <f>Springer!F69</f>
        <v>Conforme</v>
      </c>
      <c r="E195" s="78" t="str">
        <f t="shared" si="41"/>
        <v>Conforme</v>
      </c>
      <c r="F195" s="79" t="str">
        <f>Springer!A69</f>
        <v>Inconforme</v>
      </c>
      <c r="G195" s="79" t="str">
        <f t="shared" si="42"/>
        <v>Divergência</v>
      </c>
      <c r="H195" s="79" t="str">
        <f t="shared" si="43"/>
        <v>FN</v>
      </c>
      <c r="I195" s="79" t="str">
        <f>Springer!C69</f>
        <v>Inconforme</v>
      </c>
      <c r="J195" s="79" t="str">
        <f t="shared" si="44"/>
        <v>Divergência</v>
      </c>
      <c r="K195" s="79" t="str">
        <f t="shared" si="45"/>
        <v>FN</v>
      </c>
      <c r="L195" s="59"/>
      <c r="M195" s="59"/>
      <c r="N195" s="59"/>
      <c r="O195" s="59"/>
      <c r="P195" s="59"/>
      <c r="Q195" s="59"/>
      <c r="R195" s="59"/>
      <c r="S195" s="59"/>
      <c r="T195" s="59"/>
      <c r="U195" s="59"/>
      <c r="V195" s="59"/>
      <c r="W195" s="59"/>
      <c r="X195" s="59"/>
      <c r="Y195" s="59"/>
      <c r="Z195" s="59"/>
    </row>
    <row r="196">
      <c r="A196" s="76" t="s">
        <v>2604</v>
      </c>
      <c r="B196" s="77">
        <v>69.0</v>
      </c>
      <c r="C196" s="76" t="str">
        <f>Springer!J70</f>
        <v>A configurable mining approach for enhancing the business processes' performance</v>
      </c>
      <c r="D196" s="76" t="str">
        <f>Springer!F70</f>
        <v>Inconforme</v>
      </c>
      <c r="E196" s="76" t="str">
        <f t="shared" si="41"/>
        <v>Inconforme</v>
      </c>
      <c r="F196" s="77" t="str">
        <f>Springer!A70</f>
        <v>Inconforme</v>
      </c>
      <c r="G196" s="77" t="str">
        <f t="shared" si="42"/>
        <v>Acerto</v>
      </c>
      <c r="H196" s="77" t="str">
        <f t="shared" si="43"/>
        <v>VN</v>
      </c>
      <c r="I196" s="77" t="str">
        <f>Springer!C70</f>
        <v>Inconforme</v>
      </c>
      <c r="J196" s="77" t="str">
        <f t="shared" si="44"/>
        <v>Acerto</v>
      </c>
      <c r="K196" s="77" t="str">
        <f t="shared" si="45"/>
        <v>VN</v>
      </c>
      <c r="L196" s="59"/>
      <c r="M196" s="59"/>
      <c r="N196" s="59"/>
      <c r="O196" s="59"/>
      <c r="P196" s="59"/>
      <c r="Q196" s="59"/>
      <c r="R196" s="59"/>
      <c r="S196" s="59"/>
      <c r="T196" s="59"/>
      <c r="U196" s="59"/>
      <c r="V196" s="59"/>
      <c r="W196" s="59"/>
      <c r="X196" s="59"/>
      <c r="Y196" s="59"/>
      <c r="Z196" s="59"/>
    </row>
    <row r="197">
      <c r="A197" s="78" t="s">
        <v>2604</v>
      </c>
      <c r="B197" s="79">
        <v>70.0</v>
      </c>
      <c r="C197" s="78" t="str">
        <f>Springer!J71</f>
        <v>A QoS and sustainability-driven two-stage service composition method in cloud manufacturing: combining clustering and bi-objective optimization</v>
      </c>
      <c r="D197" s="78" t="str">
        <f>Springer!F71</f>
        <v>Inconforme</v>
      </c>
      <c r="E197" s="78" t="str">
        <f t="shared" si="41"/>
        <v>Inconforme</v>
      </c>
      <c r="F197" s="79" t="str">
        <f>Springer!A71</f>
        <v>Inconforme</v>
      </c>
      <c r="G197" s="79" t="str">
        <f t="shared" si="42"/>
        <v>Acerto</v>
      </c>
      <c r="H197" s="79" t="str">
        <f t="shared" si="43"/>
        <v>VN</v>
      </c>
      <c r="I197" s="79" t="str">
        <f>Springer!C71</f>
        <v>Inconforme</v>
      </c>
      <c r="J197" s="79" t="str">
        <f t="shared" si="44"/>
        <v>Acerto</v>
      </c>
      <c r="K197" s="79" t="str">
        <f t="shared" si="45"/>
        <v>VN</v>
      </c>
      <c r="L197" s="59"/>
      <c r="M197" s="59"/>
      <c r="N197" s="59"/>
      <c r="O197" s="59"/>
      <c r="P197" s="59"/>
      <c r="Q197" s="59"/>
      <c r="R197" s="59"/>
      <c r="S197" s="59"/>
      <c r="T197" s="59"/>
      <c r="U197" s="59"/>
      <c r="V197" s="59"/>
      <c r="W197" s="59"/>
      <c r="X197" s="59"/>
      <c r="Y197" s="59"/>
      <c r="Z197" s="59"/>
    </row>
    <row r="198">
      <c r="A198" s="76" t="s">
        <v>2604</v>
      </c>
      <c r="B198" s="77">
        <v>71.0</v>
      </c>
      <c r="C198" s="76" t="str">
        <f>Springer!J72</f>
        <v>A Typology of Business Process Standardization Strategies</v>
      </c>
      <c r="D198" s="76" t="str">
        <f>Springer!F72</f>
        <v>Inconforme</v>
      </c>
      <c r="E198" s="76" t="str">
        <f t="shared" si="41"/>
        <v>Inconforme</v>
      </c>
      <c r="F198" s="77" t="str">
        <f>Springer!A72</f>
        <v>Inconforme</v>
      </c>
      <c r="G198" s="77" t="str">
        <f t="shared" si="42"/>
        <v>Acerto</v>
      </c>
      <c r="H198" s="77" t="str">
        <f t="shared" si="43"/>
        <v>VN</v>
      </c>
      <c r="I198" s="77" t="str">
        <f>Springer!C72</f>
        <v>Inconforme</v>
      </c>
      <c r="J198" s="77" t="str">
        <f t="shared" si="44"/>
        <v>Acerto</v>
      </c>
      <c r="K198" s="77" t="str">
        <f t="shared" si="45"/>
        <v>VN</v>
      </c>
      <c r="L198" s="59"/>
      <c r="M198" s="59"/>
      <c r="N198" s="59"/>
      <c r="O198" s="59"/>
      <c r="P198" s="59"/>
      <c r="Q198" s="59"/>
      <c r="R198" s="59"/>
      <c r="S198" s="59"/>
      <c r="T198" s="59"/>
      <c r="U198" s="59"/>
      <c r="V198" s="59"/>
      <c r="W198" s="59"/>
      <c r="X198" s="59"/>
      <c r="Y198" s="59"/>
      <c r="Z198" s="59"/>
    </row>
    <row r="199">
      <c r="A199" s="78" t="s">
        <v>2604</v>
      </c>
      <c r="B199" s="79">
        <v>72.0</v>
      </c>
      <c r="C199" s="78" t="str">
        <f>Springer!J73</f>
        <v>Keeping Your Maturity Assessment Alive: A Method for the Continuous Tracking and Assessment of Organizational Capabilities and Maturity</v>
      </c>
      <c r="D199" s="78" t="str">
        <f>Springer!F73</f>
        <v>Inconforme</v>
      </c>
      <c r="E199" s="78" t="str">
        <f t="shared" si="41"/>
        <v>Inconforme</v>
      </c>
      <c r="F199" s="79" t="str">
        <f>Springer!A73</f>
        <v>Inconforme</v>
      </c>
      <c r="G199" s="79" t="str">
        <f t="shared" si="42"/>
        <v>Acerto</v>
      </c>
      <c r="H199" s="79" t="str">
        <f t="shared" si="43"/>
        <v>VN</v>
      </c>
      <c r="I199" s="79" t="str">
        <f>Springer!C73</f>
        <v>Inconforme</v>
      </c>
      <c r="J199" s="79" t="str">
        <f t="shared" si="44"/>
        <v>Acerto</v>
      </c>
      <c r="K199" s="79" t="str">
        <f t="shared" si="45"/>
        <v>VN</v>
      </c>
      <c r="L199" s="59"/>
      <c r="M199" s="59"/>
      <c r="N199" s="59"/>
      <c r="O199" s="59"/>
      <c r="P199" s="59"/>
      <c r="Q199" s="59"/>
      <c r="R199" s="59"/>
      <c r="S199" s="59"/>
      <c r="T199" s="59"/>
      <c r="U199" s="59"/>
      <c r="V199" s="59"/>
      <c r="W199" s="59"/>
      <c r="X199" s="59"/>
      <c r="Y199" s="59"/>
      <c r="Z199" s="59"/>
    </row>
    <row r="200">
      <c r="A200" s="76" t="s">
        <v>2604</v>
      </c>
      <c r="B200" s="77">
        <v>73.0</v>
      </c>
      <c r="C200" s="76" t="str">
        <f>Springer!J74</f>
        <v>Making Sense of Projects—Developing Project Portfolio Management Capabilities</v>
      </c>
      <c r="D200" s="76" t="str">
        <f>Springer!F74</f>
        <v>Inconforme</v>
      </c>
      <c r="E200" s="76" t="str">
        <f t="shared" si="41"/>
        <v>Inconforme</v>
      </c>
      <c r="F200" s="77" t="str">
        <f>Springer!A74</f>
        <v>Inconforme</v>
      </c>
      <c r="G200" s="77" t="str">
        <f t="shared" si="42"/>
        <v>Acerto</v>
      </c>
      <c r="H200" s="77" t="str">
        <f t="shared" si="43"/>
        <v>VN</v>
      </c>
      <c r="I200" s="77" t="str">
        <f>Springer!C74</f>
        <v>Inconforme</v>
      </c>
      <c r="J200" s="77" t="str">
        <f t="shared" si="44"/>
        <v>Acerto</v>
      </c>
      <c r="K200" s="77" t="str">
        <f t="shared" si="45"/>
        <v>VN</v>
      </c>
      <c r="L200" s="59"/>
      <c r="M200" s="59"/>
      <c r="N200" s="59"/>
      <c r="O200" s="59"/>
      <c r="P200" s="59"/>
      <c r="Q200" s="59"/>
      <c r="R200" s="59"/>
      <c r="S200" s="59"/>
      <c r="T200" s="59"/>
      <c r="U200" s="59"/>
      <c r="V200" s="59"/>
      <c r="W200" s="59"/>
      <c r="X200" s="59"/>
      <c r="Y200" s="59"/>
      <c r="Z200" s="59"/>
    </row>
    <row r="201">
      <c r="A201" s="78" t="s">
        <v>2604</v>
      </c>
      <c r="B201" s="79">
        <v>74.0</v>
      </c>
      <c r="C201" s="78" t="str">
        <f>Springer!J75</f>
        <v>A Configuration Taxonomy of Business Process Orientation</v>
      </c>
      <c r="D201" s="78" t="str">
        <f>Springer!F75</f>
        <v>Inconforme</v>
      </c>
      <c r="E201" s="78" t="str">
        <f t="shared" si="41"/>
        <v>Inconforme</v>
      </c>
      <c r="F201" s="79" t="str">
        <f>Springer!A75</f>
        <v>Inconforme</v>
      </c>
      <c r="G201" s="79" t="str">
        <f t="shared" si="42"/>
        <v>Acerto</v>
      </c>
      <c r="H201" s="79" t="str">
        <f t="shared" si="43"/>
        <v>VN</v>
      </c>
      <c r="I201" s="79" t="str">
        <f>Springer!C75</f>
        <v>Inconforme</v>
      </c>
      <c r="J201" s="79" t="str">
        <f t="shared" si="44"/>
        <v>Acerto</v>
      </c>
      <c r="K201" s="79" t="str">
        <f t="shared" si="45"/>
        <v>VN</v>
      </c>
      <c r="L201" s="59"/>
      <c r="M201" s="59"/>
      <c r="N201" s="59"/>
      <c r="O201" s="59"/>
      <c r="P201" s="59"/>
      <c r="Q201" s="59"/>
      <c r="R201" s="59"/>
      <c r="S201" s="59"/>
      <c r="T201" s="59"/>
      <c r="U201" s="59"/>
      <c r="V201" s="59"/>
      <c r="W201" s="59"/>
      <c r="X201" s="59"/>
      <c r="Y201" s="59"/>
      <c r="Z201" s="59"/>
    </row>
    <row r="202">
      <c r="A202" s="76" t="s">
        <v>2604</v>
      </c>
      <c r="B202" s="77">
        <v>75.0</v>
      </c>
      <c r="C202" s="76" t="str">
        <f>Springer!J76</f>
        <v>Measurement and performance impact of team mental models on process performance</v>
      </c>
      <c r="D202" s="76" t="str">
        <f>Springer!F76</f>
        <v>Inconforme</v>
      </c>
      <c r="E202" s="76" t="str">
        <f t="shared" si="41"/>
        <v>Inconforme</v>
      </c>
      <c r="F202" s="77" t="str">
        <f>Springer!A76</f>
        <v>Inconforme</v>
      </c>
      <c r="G202" s="77" t="str">
        <f t="shared" si="42"/>
        <v>Acerto</v>
      </c>
      <c r="H202" s="77" t="str">
        <f t="shared" si="43"/>
        <v>VN</v>
      </c>
      <c r="I202" s="77" t="str">
        <f>Springer!C76</f>
        <v>Inconforme</v>
      </c>
      <c r="J202" s="77" t="str">
        <f t="shared" si="44"/>
        <v>Acerto</v>
      </c>
      <c r="K202" s="77" t="str">
        <f t="shared" si="45"/>
        <v>VN</v>
      </c>
      <c r="L202" s="59"/>
      <c r="M202" s="59"/>
      <c r="N202" s="59"/>
      <c r="O202" s="59"/>
      <c r="P202" s="59"/>
      <c r="Q202" s="59"/>
      <c r="R202" s="59"/>
      <c r="S202" s="59"/>
      <c r="T202" s="59"/>
      <c r="U202" s="59"/>
      <c r="V202" s="59"/>
      <c r="W202" s="59"/>
      <c r="X202" s="59"/>
      <c r="Y202" s="59"/>
      <c r="Z202" s="59"/>
    </row>
    <row r="203">
      <c r="A203" s="78" t="s">
        <v>2605</v>
      </c>
      <c r="B203" s="79">
        <v>1.0</v>
      </c>
      <c r="C203" s="78" t="str">
        <f>IEEE!J2</f>
        <v>Business Process Management as a driver for Digital Transformation : A case study in a higher education institution</v>
      </c>
      <c r="D203" s="78" t="str">
        <f>IEEE!F2</f>
        <v>Conforme</v>
      </c>
      <c r="E203" s="78" t="str">
        <f t="shared" si="41"/>
        <v>Conforme</v>
      </c>
      <c r="F203" s="79" t="str">
        <f>IEEE!A2</f>
        <v>Conforme</v>
      </c>
      <c r="G203" s="79" t="str">
        <f t="shared" si="42"/>
        <v>Acerto</v>
      </c>
      <c r="H203" s="79" t="str">
        <f t="shared" si="43"/>
        <v>VP</v>
      </c>
      <c r="I203" s="79" t="str">
        <f>IEEE!C2</f>
        <v>Conforme</v>
      </c>
      <c r="J203" s="79" t="str">
        <f t="shared" si="44"/>
        <v>Acerto</v>
      </c>
      <c r="K203" s="79" t="str">
        <f t="shared" si="45"/>
        <v>VP</v>
      </c>
      <c r="L203" s="59"/>
      <c r="M203" s="59"/>
      <c r="N203" s="59"/>
      <c r="O203" s="59"/>
      <c r="P203" s="59"/>
      <c r="Q203" s="59"/>
      <c r="R203" s="59"/>
      <c r="S203" s="59"/>
      <c r="T203" s="59"/>
      <c r="U203" s="59"/>
      <c r="V203" s="59"/>
      <c r="W203" s="59"/>
      <c r="X203" s="59"/>
      <c r="Y203" s="59"/>
      <c r="Z203" s="59"/>
    </row>
    <row r="204">
      <c r="A204" s="76" t="s">
        <v>2605</v>
      </c>
      <c r="B204" s="77">
        <v>2.0</v>
      </c>
      <c r="C204" s="76" t="str">
        <f>IEEE!J3</f>
        <v>Digital Transformation of Islamic Banks using Business Process Management</v>
      </c>
      <c r="D204" s="76" t="str">
        <f>IEEE!F3</f>
        <v>Conforme</v>
      </c>
      <c r="E204" s="76" t="str">
        <f t="shared" si="41"/>
        <v>Conforme</v>
      </c>
      <c r="F204" s="77" t="str">
        <f>IEEE!A3</f>
        <v>Conforme</v>
      </c>
      <c r="G204" s="77" t="str">
        <f t="shared" si="42"/>
        <v>Acerto</v>
      </c>
      <c r="H204" s="77" t="str">
        <f t="shared" si="43"/>
        <v>VP</v>
      </c>
      <c r="I204" s="77" t="str">
        <f>IEEE!C3</f>
        <v>Conforme</v>
      </c>
      <c r="J204" s="77" t="str">
        <f t="shared" si="44"/>
        <v>Acerto</v>
      </c>
      <c r="K204" s="77" t="str">
        <f t="shared" si="45"/>
        <v>VP</v>
      </c>
      <c r="L204" s="59"/>
      <c r="M204" s="59"/>
      <c r="N204" s="59"/>
      <c r="O204" s="59"/>
      <c r="P204" s="59"/>
      <c r="Q204" s="59"/>
      <c r="R204" s="59"/>
      <c r="S204" s="59"/>
      <c r="T204" s="59"/>
      <c r="U204" s="59"/>
      <c r="V204" s="59"/>
      <c r="W204" s="59"/>
      <c r="X204" s="59"/>
      <c r="Y204" s="59"/>
      <c r="Z204" s="59"/>
    </row>
    <row r="205">
      <c r="A205" s="78" t="s">
        <v>2605</v>
      </c>
      <c r="B205" s="79">
        <v>3.0</v>
      </c>
      <c r="C205" s="78" t="str">
        <f>IEEE!J4</f>
        <v>Triad of Digital Transformation: Holistic Orchestration for People, Process, and Technology</v>
      </c>
      <c r="D205" s="78" t="str">
        <f>IEEE!F4</f>
        <v>Inconforme</v>
      </c>
      <c r="E205" s="78" t="str">
        <f t="shared" si="41"/>
        <v>Inconforme</v>
      </c>
      <c r="F205" s="79" t="str">
        <f>IEEE!A4</f>
        <v>Inconforme</v>
      </c>
      <c r="G205" s="79" t="str">
        <f t="shared" si="42"/>
        <v>Acerto</v>
      </c>
      <c r="H205" s="79" t="str">
        <f t="shared" si="43"/>
        <v>VN</v>
      </c>
      <c r="I205" s="79" t="str">
        <f>IEEE!C4</f>
        <v>Inconforme</v>
      </c>
      <c r="J205" s="79" t="str">
        <f t="shared" si="44"/>
        <v>Acerto</v>
      </c>
      <c r="K205" s="79" t="str">
        <f t="shared" si="45"/>
        <v>VN</v>
      </c>
      <c r="L205" s="59"/>
      <c r="M205" s="59"/>
      <c r="N205" s="59"/>
      <c r="O205" s="59"/>
      <c r="P205" s="59"/>
      <c r="Q205" s="59"/>
      <c r="R205" s="59"/>
      <c r="S205" s="59"/>
      <c r="T205" s="59"/>
      <c r="U205" s="59"/>
      <c r="V205" s="59"/>
      <c r="W205" s="59"/>
      <c r="X205" s="59"/>
      <c r="Y205" s="59"/>
      <c r="Z205" s="59"/>
    </row>
    <row r="206">
      <c r="A206" s="76" t="s">
        <v>2605</v>
      </c>
      <c r="B206" s="77">
        <v>4.0</v>
      </c>
      <c r="C206" s="76" t="str">
        <f>IEEE!J5</f>
        <v>Implementation of Digital Technologies in Production Processes</v>
      </c>
      <c r="D206" s="76" t="str">
        <f>IEEE!F5</f>
        <v>Inconforme</v>
      </c>
      <c r="E206" s="76" t="str">
        <f t="shared" si="41"/>
        <v>Inconforme</v>
      </c>
      <c r="F206" s="77" t="str">
        <f>IEEE!A5</f>
        <v>Inconforme</v>
      </c>
      <c r="G206" s="77" t="str">
        <f t="shared" si="42"/>
        <v>Acerto</v>
      </c>
      <c r="H206" s="77" t="str">
        <f t="shared" si="43"/>
        <v>VN</v>
      </c>
      <c r="I206" s="77" t="str">
        <f>IEEE!C5</f>
        <v>Inconforme</v>
      </c>
      <c r="J206" s="77" t="str">
        <f t="shared" si="44"/>
        <v>Acerto</v>
      </c>
      <c r="K206" s="77" t="str">
        <f t="shared" si="45"/>
        <v>VN</v>
      </c>
      <c r="L206" s="59"/>
      <c r="M206" s="59"/>
      <c r="N206" s="59"/>
      <c r="O206" s="59"/>
      <c r="P206" s="59"/>
      <c r="Q206" s="59"/>
      <c r="R206" s="59"/>
      <c r="S206" s="59"/>
      <c r="T206" s="59"/>
      <c r="U206" s="59"/>
      <c r="V206" s="59"/>
      <c r="W206" s="59"/>
      <c r="X206" s="59"/>
      <c r="Y206" s="59"/>
      <c r="Z206" s="59"/>
    </row>
    <row r="207">
      <c r="A207" s="78" t="s">
        <v>2605</v>
      </c>
      <c r="B207" s="79">
        <v>5.0</v>
      </c>
      <c r="C207" s="78" t="str">
        <f>IEEE!J6</f>
        <v>AIML: The Approach of Optimization to Support the Company Organizing the Automated Business Technique</v>
      </c>
      <c r="D207" s="78" t="str">
        <f>IEEE!F6</f>
        <v>Conforme</v>
      </c>
      <c r="E207" s="78" t="str">
        <f t="shared" si="41"/>
        <v>Conforme</v>
      </c>
      <c r="F207" s="79" t="str">
        <f>IEEE!A6</f>
        <v>Conforme</v>
      </c>
      <c r="G207" s="79" t="str">
        <f t="shared" si="42"/>
        <v>Acerto</v>
      </c>
      <c r="H207" s="79" t="str">
        <f t="shared" si="43"/>
        <v>VP</v>
      </c>
      <c r="I207" s="79" t="str">
        <f>IEEE!C6</f>
        <v>Conforme</v>
      </c>
      <c r="J207" s="79" t="str">
        <f t="shared" si="44"/>
        <v>Acerto</v>
      </c>
      <c r="K207" s="79" t="str">
        <f t="shared" si="45"/>
        <v>VP</v>
      </c>
      <c r="L207" s="59"/>
      <c r="M207" s="59"/>
      <c r="N207" s="59"/>
      <c r="O207" s="59"/>
      <c r="P207" s="59"/>
      <c r="Q207" s="59"/>
      <c r="R207" s="59"/>
      <c r="S207" s="59"/>
      <c r="T207" s="59"/>
      <c r="U207" s="59"/>
      <c r="V207" s="59"/>
      <c r="W207" s="59"/>
      <c r="X207" s="59"/>
      <c r="Y207" s="59"/>
      <c r="Z207" s="59"/>
    </row>
    <row r="208">
      <c r="A208" s="76" t="s">
        <v>2605</v>
      </c>
      <c r="B208" s="77">
        <v>6.0</v>
      </c>
      <c r="C208" s="76" t="str">
        <f>IEEE!J7</f>
        <v>Business Process Automation in SMEs: A Systematic Literature Review</v>
      </c>
      <c r="D208" s="76" t="str">
        <f>IEEE!F7</f>
        <v>Inconforme</v>
      </c>
      <c r="E208" s="76" t="str">
        <f t="shared" si="41"/>
        <v>Inconforme</v>
      </c>
      <c r="F208" s="77" t="str">
        <f>IEEE!A7</f>
        <v>Inconforme</v>
      </c>
      <c r="G208" s="77" t="str">
        <f t="shared" si="42"/>
        <v>Acerto</v>
      </c>
      <c r="H208" s="77" t="str">
        <f t="shared" si="43"/>
        <v>VN</v>
      </c>
      <c r="I208" s="77" t="str">
        <f>IEEE!C7</f>
        <v>Inconforme</v>
      </c>
      <c r="J208" s="77" t="str">
        <f t="shared" si="44"/>
        <v>Acerto</v>
      </c>
      <c r="K208" s="77" t="str">
        <f t="shared" si="45"/>
        <v>VN</v>
      </c>
      <c r="L208" s="59"/>
      <c r="M208" s="59"/>
      <c r="N208" s="59"/>
      <c r="O208" s="59"/>
      <c r="P208" s="59"/>
      <c r="Q208" s="59"/>
      <c r="R208" s="59"/>
      <c r="S208" s="59"/>
      <c r="T208" s="59"/>
      <c r="U208" s="59"/>
      <c r="V208" s="59"/>
      <c r="W208" s="59"/>
      <c r="X208" s="59"/>
      <c r="Y208" s="59"/>
      <c r="Z208" s="59"/>
    </row>
    <row r="209">
      <c r="A209" s="78" t="s">
        <v>2605</v>
      </c>
      <c r="B209" s="79">
        <v>7.0</v>
      </c>
      <c r="C209" s="78" t="str">
        <f>IEEE!J8</f>
        <v>Application of Business Process Management in the Libyan International Medical University: History and Development</v>
      </c>
      <c r="D209" s="78" t="str">
        <f>IEEE!F8</f>
        <v>Conforme</v>
      </c>
      <c r="E209" s="78" t="str">
        <f t="shared" si="41"/>
        <v>Conforme</v>
      </c>
      <c r="F209" s="79" t="str">
        <f>IEEE!A8</f>
        <v>Conforme</v>
      </c>
      <c r="G209" s="79" t="str">
        <f t="shared" si="42"/>
        <v>Acerto</v>
      </c>
      <c r="H209" s="79" t="str">
        <f t="shared" si="43"/>
        <v>VP</v>
      </c>
      <c r="I209" s="79" t="str">
        <f>IEEE!C8</f>
        <v>Conforme</v>
      </c>
      <c r="J209" s="79" t="str">
        <f t="shared" si="44"/>
        <v>Acerto</v>
      </c>
      <c r="K209" s="79" t="str">
        <f t="shared" si="45"/>
        <v>VP</v>
      </c>
      <c r="L209" s="59"/>
      <c r="M209" s="59"/>
      <c r="N209" s="59"/>
      <c r="O209" s="59"/>
      <c r="P209" s="59"/>
      <c r="Q209" s="59"/>
      <c r="R209" s="59"/>
      <c r="S209" s="59"/>
      <c r="T209" s="59"/>
      <c r="U209" s="59"/>
      <c r="V209" s="59"/>
      <c r="W209" s="59"/>
      <c r="X209" s="59"/>
      <c r="Y209" s="59"/>
      <c r="Z209" s="59"/>
    </row>
    <row r="210">
      <c r="A210" s="76" t="s">
        <v>2605</v>
      </c>
      <c r="B210" s="77">
        <v>8.0</v>
      </c>
      <c r="C210" s="76" t="str">
        <f>IEEE!J9</f>
        <v>Toward a Game-like Experience: Design of a Modern User Interface of a Simulation Game for Teaching Business Process Digitalization</v>
      </c>
      <c r="D210" s="76" t="str">
        <f>IEEE!F9</f>
        <v>Inconforme</v>
      </c>
      <c r="E210" s="76" t="str">
        <f t="shared" si="41"/>
        <v>Inconforme</v>
      </c>
      <c r="F210" s="77" t="str">
        <f>IEEE!A9</f>
        <v>Conforme</v>
      </c>
      <c r="G210" s="77" t="str">
        <f t="shared" si="42"/>
        <v>Divergência</v>
      </c>
      <c r="H210" s="77" t="str">
        <f t="shared" si="43"/>
        <v>FP</v>
      </c>
      <c r="I210" s="77" t="str">
        <f>IEEE!C9</f>
        <v>Inconforme</v>
      </c>
      <c r="J210" s="77" t="str">
        <f t="shared" si="44"/>
        <v>Acerto</v>
      </c>
      <c r="K210" s="77" t="str">
        <f t="shared" si="45"/>
        <v>VN</v>
      </c>
      <c r="L210" s="59"/>
      <c r="M210" s="59"/>
      <c r="N210" s="59"/>
      <c r="O210" s="59"/>
      <c r="P210" s="59"/>
      <c r="Q210" s="59"/>
      <c r="R210" s="59"/>
      <c r="S210" s="59"/>
      <c r="T210" s="59"/>
      <c r="U210" s="59"/>
      <c r="V210" s="59"/>
      <c r="W210" s="59"/>
      <c r="X210" s="59"/>
      <c r="Y210" s="59"/>
      <c r="Z210" s="59"/>
    </row>
    <row r="211">
      <c r="A211" s="78" t="s">
        <v>2605</v>
      </c>
      <c r="B211" s="79">
        <v>9.0</v>
      </c>
      <c r="C211" s="78" t="str">
        <f>IEEE!J10</f>
        <v>Digital Technologies and a Process Approach</v>
      </c>
      <c r="D211" s="78" t="str">
        <f>IEEE!F10</f>
        <v>Inconforme</v>
      </c>
      <c r="E211" s="78" t="str">
        <f t="shared" si="41"/>
        <v>Inconforme</v>
      </c>
      <c r="F211" s="79" t="str">
        <f>IEEE!A10</f>
        <v>Inconforme</v>
      </c>
      <c r="G211" s="79" t="str">
        <f t="shared" si="42"/>
        <v>Acerto</v>
      </c>
      <c r="H211" s="79" t="str">
        <f t="shared" si="43"/>
        <v>VN</v>
      </c>
      <c r="I211" s="79" t="str">
        <f>IEEE!C10</f>
        <v>Inconforme</v>
      </c>
      <c r="J211" s="79" t="str">
        <f t="shared" si="44"/>
        <v>Acerto</v>
      </c>
      <c r="K211" s="79" t="str">
        <f t="shared" si="45"/>
        <v>VN</v>
      </c>
      <c r="L211" s="59"/>
      <c r="M211" s="59"/>
      <c r="N211" s="59"/>
      <c r="O211" s="59"/>
      <c r="P211" s="59"/>
      <c r="Q211" s="59"/>
      <c r="R211" s="59"/>
      <c r="S211" s="59"/>
      <c r="T211" s="59"/>
      <c r="U211" s="59"/>
      <c r="V211" s="59"/>
      <c r="W211" s="59"/>
      <c r="X211" s="59"/>
      <c r="Y211" s="59"/>
      <c r="Z211" s="59"/>
    </row>
    <row r="212">
      <c r="A212" s="76" t="s">
        <v>2605</v>
      </c>
      <c r="B212" s="77">
        <v>10.0</v>
      </c>
      <c r="C212" s="76" t="str">
        <f>IEEE!J11</f>
        <v>Information Technologies in the Organization of Production and Quality Management</v>
      </c>
      <c r="D212" s="76" t="str">
        <f>IEEE!F11</f>
        <v>Inconforme</v>
      </c>
      <c r="E212" s="76" t="str">
        <f t="shared" si="41"/>
        <v>Inconforme</v>
      </c>
      <c r="F212" s="77" t="str">
        <f>IEEE!A11</f>
        <v>Inconforme</v>
      </c>
      <c r="G212" s="77" t="str">
        <f t="shared" si="42"/>
        <v>Acerto</v>
      </c>
      <c r="H212" s="77" t="str">
        <f t="shared" si="43"/>
        <v>VN</v>
      </c>
      <c r="I212" s="77" t="str">
        <f>IEEE!C11</f>
        <v>Inconforme</v>
      </c>
      <c r="J212" s="77" t="str">
        <f t="shared" si="44"/>
        <v>Acerto</v>
      </c>
      <c r="K212" s="77" t="str">
        <f t="shared" si="45"/>
        <v>VN</v>
      </c>
      <c r="L212" s="59"/>
      <c r="M212" s="59"/>
      <c r="N212" s="59"/>
      <c r="O212" s="59"/>
      <c r="P212" s="59"/>
      <c r="Q212" s="59"/>
      <c r="R212" s="59"/>
      <c r="S212" s="59"/>
      <c r="T212" s="59"/>
      <c r="U212" s="59"/>
      <c r="V212" s="59"/>
      <c r="W212" s="59"/>
      <c r="X212" s="59"/>
      <c r="Y212" s="59"/>
      <c r="Z212" s="59"/>
    </row>
    <row r="213">
      <c r="A213" s="78" t="s">
        <v>2605</v>
      </c>
      <c r="B213" s="79">
        <v>11.0</v>
      </c>
      <c r="C213" s="78" t="str">
        <f>IEEE!J12</f>
        <v>The iBPM Lifecycle: Integrating Low-Code and Hyperautomation Into Business Process Management</v>
      </c>
      <c r="D213" s="78" t="str">
        <f>IEEE!F12</f>
        <v>Conforme</v>
      </c>
      <c r="E213" s="78" t="str">
        <f t="shared" si="41"/>
        <v>Conforme</v>
      </c>
      <c r="F213" s="79" t="str">
        <f>IEEE!A12</f>
        <v>Conforme</v>
      </c>
      <c r="G213" s="79" t="str">
        <f t="shared" si="42"/>
        <v>Acerto</v>
      </c>
      <c r="H213" s="79" t="str">
        <f t="shared" si="43"/>
        <v>VP</v>
      </c>
      <c r="I213" s="79" t="str">
        <f>IEEE!C12</f>
        <v>Conforme</v>
      </c>
      <c r="J213" s="79" t="str">
        <f t="shared" si="44"/>
        <v>Acerto</v>
      </c>
      <c r="K213" s="79" t="str">
        <f t="shared" si="45"/>
        <v>VP</v>
      </c>
      <c r="L213" s="59"/>
      <c r="M213" s="59"/>
      <c r="N213" s="59"/>
      <c r="O213" s="59"/>
      <c r="P213" s="59"/>
      <c r="Q213" s="59"/>
      <c r="R213" s="59"/>
      <c r="S213" s="59"/>
      <c r="T213" s="59"/>
      <c r="U213" s="59"/>
      <c r="V213" s="59"/>
      <c r="W213" s="59"/>
      <c r="X213" s="59"/>
      <c r="Y213" s="59"/>
      <c r="Z213" s="59"/>
    </row>
    <row r="214">
      <c r="A214" s="76" t="s">
        <v>2605</v>
      </c>
      <c r="B214" s="77">
        <v>12.0</v>
      </c>
      <c r="C214" s="76" t="str">
        <f>IEEE!J13</f>
        <v>Towards the Design of an Intelligent Automation Framework for Business Processes</v>
      </c>
      <c r="D214" s="76" t="str">
        <f>IEEE!F13</f>
        <v>Conforme</v>
      </c>
      <c r="E214" s="76" t="str">
        <f t="shared" si="41"/>
        <v>Conforme</v>
      </c>
      <c r="F214" s="77" t="str">
        <f>IEEE!A13</f>
        <v>Inconforme</v>
      </c>
      <c r="G214" s="77" t="str">
        <f t="shared" si="42"/>
        <v>Divergência</v>
      </c>
      <c r="H214" s="77" t="str">
        <f t="shared" si="43"/>
        <v>FN</v>
      </c>
      <c r="I214" s="77" t="str">
        <f>IEEE!C13</f>
        <v>Inconforme</v>
      </c>
      <c r="J214" s="77" t="str">
        <f t="shared" si="44"/>
        <v>Divergência</v>
      </c>
      <c r="K214" s="77" t="str">
        <f t="shared" si="45"/>
        <v>FN</v>
      </c>
      <c r="L214" s="59"/>
      <c r="M214" s="59"/>
      <c r="N214" s="59"/>
      <c r="O214" s="59"/>
      <c r="P214" s="59"/>
      <c r="Q214" s="59"/>
      <c r="R214" s="59"/>
      <c r="S214" s="59"/>
      <c r="T214" s="59"/>
      <c r="U214" s="59"/>
      <c r="V214" s="59"/>
      <c r="W214" s="59"/>
      <c r="X214" s="59"/>
      <c r="Y214" s="59"/>
      <c r="Z214" s="59"/>
    </row>
    <row r="215">
      <c r="A215" s="78" t="s">
        <v>2605</v>
      </c>
      <c r="B215" s="79">
        <v>13.0</v>
      </c>
      <c r="C215" s="78" t="str">
        <f>IEEE!J14</f>
        <v>From Theory to Practice: Empirical Insights on BPM Lifecycle Adoption and Low-Code Utilization in SMEs</v>
      </c>
      <c r="D215" s="78" t="str">
        <f>IEEE!F14</f>
        <v>Conforme</v>
      </c>
      <c r="E215" s="78" t="str">
        <f t="shared" si="41"/>
        <v>Conforme</v>
      </c>
      <c r="F215" s="79" t="str">
        <f>IEEE!A14</f>
        <v>Inconforme</v>
      </c>
      <c r="G215" s="79" t="str">
        <f t="shared" si="42"/>
        <v>Divergência</v>
      </c>
      <c r="H215" s="79" t="str">
        <f t="shared" si="43"/>
        <v>FN</v>
      </c>
      <c r="I215" s="79" t="str">
        <f>IEEE!C14</f>
        <v>Conforme</v>
      </c>
      <c r="J215" s="79" t="str">
        <f t="shared" si="44"/>
        <v>Acerto</v>
      </c>
      <c r="K215" s="79" t="str">
        <f t="shared" si="45"/>
        <v>VP</v>
      </c>
      <c r="L215" s="59"/>
      <c r="M215" s="59"/>
      <c r="N215" s="59"/>
      <c r="O215" s="59"/>
      <c r="P215" s="59"/>
      <c r="Q215" s="59"/>
      <c r="R215" s="59"/>
      <c r="S215" s="59"/>
      <c r="T215" s="59"/>
      <c r="U215" s="59"/>
      <c r="V215" s="59"/>
      <c r="W215" s="59"/>
      <c r="X215" s="59"/>
      <c r="Y215" s="59"/>
      <c r="Z215" s="59"/>
    </row>
    <row r="216">
      <c r="A216" s="76" t="s">
        <v>2605</v>
      </c>
      <c r="B216" s="77">
        <v>14.0</v>
      </c>
      <c r="C216" s="76" t="str">
        <f>IEEE!J15</f>
        <v>Integration of Process Optimization and Automation: A Way to AI Powered Digital Transformation</v>
      </c>
      <c r="D216" s="76" t="str">
        <f>IEEE!F15</f>
        <v>Conforme</v>
      </c>
      <c r="E216" s="76" t="str">
        <f t="shared" si="41"/>
        <v>Conforme</v>
      </c>
      <c r="F216" s="77" t="str">
        <f>IEEE!A15</f>
        <v>Inconforme</v>
      </c>
      <c r="G216" s="77" t="str">
        <f t="shared" si="42"/>
        <v>Divergência</v>
      </c>
      <c r="H216" s="77" t="str">
        <f t="shared" si="43"/>
        <v>FN</v>
      </c>
      <c r="I216" s="77" t="str">
        <f>IEEE!C15</f>
        <v>Inconforme</v>
      </c>
      <c r="J216" s="77" t="str">
        <f t="shared" si="44"/>
        <v>Divergência</v>
      </c>
      <c r="K216" s="77" t="str">
        <f t="shared" si="45"/>
        <v>FN</v>
      </c>
      <c r="L216" s="59"/>
      <c r="M216" s="59"/>
      <c r="N216" s="59"/>
      <c r="O216" s="59"/>
      <c r="P216" s="59"/>
      <c r="Q216" s="59"/>
      <c r="R216" s="59"/>
      <c r="S216" s="59"/>
      <c r="T216" s="59"/>
      <c r="U216" s="59"/>
      <c r="V216" s="59"/>
      <c r="W216" s="59"/>
      <c r="X216" s="59"/>
      <c r="Y216" s="59"/>
      <c r="Z216" s="59"/>
    </row>
    <row r="217">
      <c r="A217" s="78" t="s">
        <v>2605</v>
      </c>
      <c r="B217" s="79">
        <v>15.0</v>
      </c>
      <c r="C217" s="78" t="str">
        <f>IEEE!J16</f>
        <v>Impact of Digital Transformation in Sourcing &amp; Tender Management Processes on Employee Job Satisfaction - A Study on Malaysian Multinational Electricity Company</v>
      </c>
      <c r="D217" s="78" t="str">
        <f>IEEE!F16</f>
        <v>Conforme</v>
      </c>
      <c r="E217" s="78" t="str">
        <f t="shared" si="41"/>
        <v>Conforme</v>
      </c>
      <c r="F217" s="79" t="str">
        <f>IEEE!A16</f>
        <v>Conforme</v>
      </c>
      <c r="G217" s="79" t="str">
        <f t="shared" si="42"/>
        <v>Acerto</v>
      </c>
      <c r="H217" s="79" t="str">
        <f t="shared" si="43"/>
        <v>VP</v>
      </c>
      <c r="I217" s="79" t="str">
        <f>IEEE!C16</f>
        <v>Conforme</v>
      </c>
      <c r="J217" s="79" t="str">
        <f t="shared" si="44"/>
        <v>Acerto</v>
      </c>
      <c r="K217" s="79" t="str">
        <f t="shared" si="45"/>
        <v>VP</v>
      </c>
      <c r="L217" s="59"/>
      <c r="M217" s="59"/>
      <c r="N217" s="59"/>
      <c r="O217" s="59"/>
      <c r="P217" s="59"/>
      <c r="Q217" s="59"/>
      <c r="R217" s="59"/>
      <c r="S217" s="59"/>
      <c r="T217" s="59"/>
      <c r="U217" s="59"/>
      <c r="V217" s="59"/>
      <c r="W217" s="59"/>
      <c r="X217" s="59"/>
      <c r="Y217" s="59"/>
      <c r="Z217" s="59"/>
    </row>
    <row r="218">
      <c r="A218" s="76" t="s">
        <v>2605</v>
      </c>
      <c r="B218" s="77">
        <v>16.0</v>
      </c>
      <c r="C218" s="76" t="str">
        <f>IEEE!J17</f>
        <v>Restructuring and Reengineering as a Basis for Digitalization of Business Processes of a Telecommunications Operator</v>
      </c>
      <c r="D218" s="76" t="str">
        <f>IEEE!F17</f>
        <v>Inconforme</v>
      </c>
      <c r="E218" s="76" t="str">
        <f t="shared" si="41"/>
        <v>Inconforme</v>
      </c>
      <c r="F218" s="77" t="str">
        <f>IEEE!A17</f>
        <v>Inconforme</v>
      </c>
      <c r="G218" s="77" t="str">
        <f t="shared" si="42"/>
        <v>Acerto</v>
      </c>
      <c r="H218" s="77" t="str">
        <f t="shared" si="43"/>
        <v>VN</v>
      </c>
      <c r="I218" s="77" t="str">
        <f>IEEE!C17</f>
        <v>Inconforme</v>
      </c>
      <c r="J218" s="77" t="str">
        <f t="shared" si="44"/>
        <v>Acerto</v>
      </c>
      <c r="K218" s="77" t="str">
        <f t="shared" si="45"/>
        <v>VN</v>
      </c>
      <c r="L218" s="59"/>
      <c r="M218" s="59"/>
      <c r="N218" s="59"/>
      <c r="O218" s="59"/>
      <c r="P218" s="59"/>
      <c r="Q218" s="59"/>
      <c r="R218" s="59"/>
      <c r="S218" s="59"/>
      <c r="T218" s="59"/>
      <c r="U218" s="59"/>
      <c r="V218" s="59"/>
      <c r="W218" s="59"/>
      <c r="X218" s="59"/>
      <c r="Y218" s="59"/>
      <c r="Z218" s="59"/>
    </row>
    <row r="219">
      <c r="A219" s="78" t="s">
        <v>2605</v>
      </c>
      <c r="B219" s="79">
        <v>17.0</v>
      </c>
      <c r="C219" s="78" t="str">
        <f>IEEE!J18</f>
        <v>Blockchain Technology for Enhanced Business Management</v>
      </c>
      <c r="D219" s="78" t="str">
        <f>IEEE!F18</f>
        <v>Conforme</v>
      </c>
      <c r="E219" s="78" t="str">
        <f t="shared" si="41"/>
        <v>Conforme</v>
      </c>
      <c r="F219" s="79" t="str">
        <f>IEEE!A18</f>
        <v>Conforme</v>
      </c>
      <c r="G219" s="79" t="str">
        <f t="shared" si="42"/>
        <v>Acerto</v>
      </c>
      <c r="H219" s="79" t="str">
        <f t="shared" si="43"/>
        <v>VP</v>
      </c>
      <c r="I219" s="79" t="str">
        <f>IEEE!C18</f>
        <v>Conforme</v>
      </c>
      <c r="J219" s="79" t="str">
        <f t="shared" si="44"/>
        <v>Acerto</v>
      </c>
      <c r="K219" s="79" t="str">
        <f t="shared" si="45"/>
        <v>VP</v>
      </c>
      <c r="L219" s="59"/>
      <c r="M219" s="59"/>
      <c r="N219" s="59"/>
      <c r="O219" s="59"/>
      <c r="P219" s="59"/>
      <c r="Q219" s="59"/>
      <c r="R219" s="59"/>
      <c r="S219" s="59"/>
      <c r="T219" s="59"/>
      <c r="U219" s="59"/>
      <c r="V219" s="59"/>
      <c r="W219" s="59"/>
      <c r="X219" s="59"/>
      <c r="Y219" s="59"/>
      <c r="Z219" s="59"/>
    </row>
    <row r="220">
      <c r="A220" s="76" t="s">
        <v>2605</v>
      </c>
      <c r="B220" s="77">
        <v>18.0</v>
      </c>
      <c r="C220" s="76" t="str">
        <f>IEEE!J19</f>
        <v>Intelligent Management of Business Processes in the Energy, Oil and Gas Industries of Russia</v>
      </c>
      <c r="D220" s="76" t="str">
        <f>IEEE!F19</f>
        <v>Inconforme</v>
      </c>
      <c r="E220" s="76" t="str">
        <f t="shared" si="41"/>
        <v>Inconforme</v>
      </c>
      <c r="F220" s="77" t="str">
        <f>IEEE!A19</f>
        <v>Inconforme</v>
      </c>
      <c r="G220" s="77" t="str">
        <f t="shared" si="42"/>
        <v>Acerto</v>
      </c>
      <c r="H220" s="77" t="str">
        <f t="shared" si="43"/>
        <v>VN</v>
      </c>
      <c r="I220" s="77" t="str">
        <f>IEEE!C19</f>
        <v>Inconforme</v>
      </c>
      <c r="J220" s="77" t="str">
        <f t="shared" si="44"/>
        <v>Acerto</v>
      </c>
      <c r="K220" s="77" t="str">
        <f t="shared" si="45"/>
        <v>VN</v>
      </c>
      <c r="L220" s="59"/>
      <c r="M220" s="59"/>
      <c r="N220" s="59"/>
      <c r="O220" s="59"/>
      <c r="P220" s="59"/>
      <c r="Q220" s="59"/>
      <c r="R220" s="59"/>
      <c r="S220" s="59"/>
      <c r="T220" s="59"/>
      <c r="U220" s="59"/>
      <c r="V220" s="59"/>
      <c r="W220" s="59"/>
      <c r="X220" s="59"/>
      <c r="Y220" s="59"/>
      <c r="Z220" s="59"/>
    </row>
    <row r="221">
      <c r="A221" s="78" t="s">
        <v>2605</v>
      </c>
      <c r="B221" s="79">
        <v>19.0</v>
      </c>
      <c r="C221" s="78" t="str">
        <f>IEEE!J20</f>
        <v>Science and Technology as a Catalyst for Business Growth in Indonesia: A Bibliometric Analysis of Opportunities and Challenges</v>
      </c>
      <c r="D221" s="78" t="str">
        <f>IEEE!F20</f>
        <v>Inconforme</v>
      </c>
      <c r="E221" s="78" t="str">
        <f t="shared" si="41"/>
        <v>Inconforme</v>
      </c>
      <c r="F221" s="79" t="str">
        <f>IEEE!A20</f>
        <v>Inconforme</v>
      </c>
      <c r="G221" s="79" t="str">
        <f t="shared" si="42"/>
        <v>Acerto</v>
      </c>
      <c r="H221" s="79" t="str">
        <f t="shared" si="43"/>
        <v>VN</v>
      </c>
      <c r="I221" s="79" t="str">
        <f>IEEE!C20</f>
        <v>Inconforme</v>
      </c>
      <c r="J221" s="79" t="str">
        <f t="shared" si="44"/>
        <v>Acerto</v>
      </c>
      <c r="K221" s="79" t="str">
        <f t="shared" si="45"/>
        <v>VN</v>
      </c>
      <c r="L221" s="59"/>
      <c r="M221" s="59"/>
      <c r="N221" s="59"/>
      <c r="O221" s="59"/>
      <c r="P221" s="59"/>
      <c r="Q221" s="59"/>
      <c r="R221" s="59"/>
      <c r="S221" s="59"/>
      <c r="T221" s="59"/>
      <c r="U221" s="59"/>
      <c r="V221" s="59"/>
      <c r="W221" s="59"/>
      <c r="X221" s="59"/>
      <c r="Y221" s="59"/>
      <c r="Z221" s="59"/>
    </row>
    <row r="222">
      <c r="A222" s="76" t="s">
        <v>2605</v>
      </c>
      <c r="B222" s="77">
        <v>20.0</v>
      </c>
      <c r="C222" s="76" t="str">
        <f>IEEE!J21</f>
        <v>Redesigning and Building a Business Process Architecture: The Case of De La Salle University's Digital Transformation Journey</v>
      </c>
      <c r="D222" s="76" t="str">
        <f>IEEE!F21</f>
        <v>Inconforme</v>
      </c>
      <c r="E222" s="76" t="str">
        <f t="shared" si="41"/>
        <v>Inconforme</v>
      </c>
      <c r="F222" s="77" t="str">
        <f>IEEE!A21</f>
        <v>Inconforme</v>
      </c>
      <c r="G222" s="77" t="str">
        <f t="shared" si="42"/>
        <v>Acerto</v>
      </c>
      <c r="H222" s="77" t="str">
        <f t="shared" si="43"/>
        <v>VN</v>
      </c>
      <c r="I222" s="77" t="str">
        <f>IEEE!C21</f>
        <v>Inconforme</v>
      </c>
      <c r="J222" s="77" t="str">
        <f t="shared" si="44"/>
        <v>Acerto</v>
      </c>
      <c r="K222" s="77" t="str">
        <f t="shared" si="45"/>
        <v>VN</v>
      </c>
      <c r="L222" s="59"/>
      <c r="M222" s="59"/>
      <c r="N222" s="59"/>
      <c r="O222" s="59"/>
      <c r="P222" s="59"/>
      <c r="Q222" s="59"/>
      <c r="R222" s="59"/>
      <c r="S222" s="59"/>
      <c r="T222" s="59"/>
      <c r="U222" s="59"/>
      <c r="V222" s="59"/>
      <c r="W222" s="59"/>
      <c r="X222" s="59"/>
      <c r="Y222" s="59"/>
      <c r="Z222" s="59"/>
    </row>
    <row r="223">
      <c r="A223" s="78" t="s">
        <v>2605</v>
      </c>
      <c r="B223" s="79">
        <v>21.0</v>
      </c>
      <c r="C223" s="78" t="str">
        <f>IEEE!J22</f>
        <v>Robotic Process Automation in Public Sector: Enhancing Efficiency and Transparency in Government Workflows</v>
      </c>
      <c r="D223" s="78" t="str">
        <f>IEEE!F22</f>
        <v>Inconforme</v>
      </c>
      <c r="E223" s="78" t="str">
        <f t="shared" si="41"/>
        <v>Inconforme</v>
      </c>
      <c r="F223" s="79" t="str">
        <f>IEEE!A22</f>
        <v>Inconforme</v>
      </c>
      <c r="G223" s="79" t="str">
        <f t="shared" si="42"/>
        <v>Acerto</v>
      </c>
      <c r="H223" s="79" t="str">
        <f t="shared" si="43"/>
        <v>VN</v>
      </c>
      <c r="I223" s="79" t="str">
        <f>IEEE!C22</f>
        <v>Inconforme</v>
      </c>
      <c r="J223" s="79" t="str">
        <f t="shared" si="44"/>
        <v>Acerto</v>
      </c>
      <c r="K223" s="79" t="str">
        <f t="shared" si="45"/>
        <v>VN</v>
      </c>
      <c r="L223" s="59"/>
      <c r="M223" s="59"/>
      <c r="N223" s="59"/>
      <c r="O223" s="59"/>
      <c r="P223" s="59"/>
      <c r="Q223" s="59"/>
      <c r="R223" s="59"/>
      <c r="S223" s="59"/>
      <c r="T223" s="59"/>
      <c r="U223" s="59"/>
      <c r="V223" s="59"/>
      <c r="W223" s="59"/>
      <c r="X223" s="59"/>
      <c r="Y223" s="59"/>
      <c r="Z223" s="59"/>
    </row>
    <row r="224">
      <c r="A224" s="76" t="s">
        <v>2605</v>
      </c>
      <c r="B224" s="77">
        <v>22.0</v>
      </c>
      <c r="C224" s="76" t="str">
        <f>IEEE!J23</f>
        <v>Business Models and Methods of Digitalization of the Regional Intellectual Property Management System</v>
      </c>
      <c r="D224" s="76" t="str">
        <f>IEEE!F23</f>
        <v>Inconforme</v>
      </c>
      <c r="E224" s="76" t="str">
        <f t="shared" si="41"/>
        <v>Inconforme</v>
      </c>
      <c r="F224" s="77" t="str">
        <f>IEEE!A23</f>
        <v>Inconforme</v>
      </c>
      <c r="G224" s="77" t="str">
        <f t="shared" si="42"/>
        <v>Acerto</v>
      </c>
      <c r="H224" s="77" t="str">
        <f t="shared" si="43"/>
        <v>VN</v>
      </c>
      <c r="I224" s="77" t="str">
        <f>IEEE!C23</f>
        <v>Inconforme</v>
      </c>
      <c r="J224" s="77" t="str">
        <f t="shared" si="44"/>
        <v>Acerto</v>
      </c>
      <c r="K224" s="77" t="str">
        <f t="shared" si="45"/>
        <v>VN</v>
      </c>
      <c r="L224" s="59"/>
      <c r="M224" s="59"/>
      <c r="N224" s="59"/>
      <c r="O224" s="59"/>
      <c r="P224" s="59"/>
      <c r="Q224" s="59"/>
      <c r="R224" s="59"/>
      <c r="S224" s="59"/>
      <c r="T224" s="59"/>
      <c r="U224" s="59"/>
      <c r="V224" s="59"/>
      <c r="W224" s="59"/>
      <c r="X224" s="59"/>
      <c r="Y224" s="59"/>
      <c r="Z224" s="59"/>
    </row>
    <row r="225">
      <c r="A225" s="78" t="s">
        <v>2605</v>
      </c>
      <c r="B225" s="79">
        <v>23.0</v>
      </c>
      <c r="C225" s="78" t="str">
        <f>IEEE!J24</f>
        <v>Learning by gaming: Improvement of User Experience of a Simulation Game for Teaching the Digital Transformation and its Administration Cockpit</v>
      </c>
      <c r="D225" s="78" t="str">
        <f>IEEE!F24</f>
        <v>Inconforme</v>
      </c>
      <c r="E225" s="78" t="str">
        <f t="shared" si="41"/>
        <v>Inconforme</v>
      </c>
      <c r="F225" s="79" t="str">
        <f>IEEE!A24</f>
        <v>Inconforme</v>
      </c>
      <c r="G225" s="79" t="str">
        <f t="shared" si="42"/>
        <v>Acerto</v>
      </c>
      <c r="H225" s="79" t="str">
        <f t="shared" si="43"/>
        <v>VN</v>
      </c>
      <c r="I225" s="79" t="str">
        <f>IEEE!C24</f>
        <v>Inconforme</v>
      </c>
      <c r="J225" s="79" t="str">
        <f t="shared" si="44"/>
        <v>Acerto</v>
      </c>
      <c r="K225" s="79" t="str">
        <f t="shared" si="45"/>
        <v>VN</v>
      </c>
      <c r="L225" s="59"/>
      <c r="M225" s="59"/>
      <c r="N225" s="59"/>
      <c r="O225" s="59"/>
      <c r="P225" s="59"/>
      <c r="Q225" s="59"/>
      <c r="R225" s="59"/>
      <c r="S225" s="59"/>
      <c r="T225" s="59"/>
      <c r="U225" s="59"/>
      <c r="V225" s="59"/>
      <c r="W225" s="59"/>
      <c r="X225" s="59"/>
      <c r="Y225" s="59"/>
      <c r="Z225" s="59"/>
    </row>
    <row r="226">
      <c r="A226" s="76" t="s">
        <v>2605</v>
      </c>
      <c r="B226" s="77">
        <v>24.0</v>
      </c>
      <c r="C226" s="76" t="str">
        <f>IEEE!J25</f>
        <v>Hyperautomation of Construction Materials Enterprise</v>
      </c>
      <c r="D226" s="76" t="str">
        <f>IEEE!F25</f>
        <v>Inconforme</v>
      </c>
      <c r="E226" s="76" t="str">
        <f t="shared" si="41"/>
        <v>Inconforme</v>
      </c>
      <c r="F226" s="77" t="str">
        <f>IEEE!A25</f>
        <v>Inconforme</v>
      </c>
      <c r="G226" s="77" t="str">
        <f t="shared" si="42"/>
        <v>Acerto</v>
      </c>
      <c r="H226" s="77" t="str">
        <f t="shared" si="43"/>
        <v>VN</v>
      </c>
      <c r="I226" s="77" t="str">
        <f>IEEE!C25</f>
        <v>Inconforme</v>
      </c>
      <c r="J226" s="77" t="str">
        <f t="shared" si="44"/>
        <v>Acerto</v>
      </c>
      <c r="K226" s="77" t="str">
        <f t="shared" si="45"/>
        <v>VN</v>
      </c>
      <c r="L226" s="59"/>
      <c r="M226" s="59"/>
      <c r="N226" s="59"/>
      <c r="O226" s="59"/>
      <c r="P226" s="59"/>
      <c r="Q226" s="59"/>
      <c r="R226" s="59"/>
      <c r="S226" s="59"/>
      <c r="T226" s="59"/>
      <c r="U226" s="59"/>
      <c r="V226" s="59"/>
      <c r="W226" s="59"/>
      <c r="X226" s="59"/>
      <c r="Y226" s="59"/>
      <c r="Z226" s="59"/>
    </row>
    <row r="227">
      <c r="A227" s="78" t="s">
        <v>2605</v>
      </c>
      <c r="B227" s="79">
        <v>25.0</v>
      </c>
      <c r="C227" s="78" t="str">
        <f>IEEE!J26</f>
        <v>Managing Digital Transformation in Public Administration</v>
      </c>
      <c r="D227" s="78" t="str">
        <f>IEEE!F26</f>
        <v>Inconforme</v>
      </c>
      <c r="E227" s="78" t="str">
        <f t="shared" si="41"/>
        <v>Inconforme</v>
      </c>
      <c r="F227" s="79" t="str">
        <f>IEEE!A26</f>
        <v>Inconforme</v>
      </c>
      <c r="G227" s="79" t="str">
        <f t="shared" si="42"/>
        <v>Acerto</v>
      </c>
      <c r="H227" s="79" t="str">
        <f t="shared" si="43"/>
        <v>VN</v>
      </c>
      <c r="I227" s="79" t="str">
        <f>IEEE!C26</f>
        <v>Inconforme</v>
      </c>
      <c r="J227" s="79" t="str">
        <f t="shared" si="44"/>
        <v>Acerto</v>
      </c>
      <c r="K227" s="79" t="str">
        <f t="shared" si="45"/>
        <v>VN</v>
      </c>
      <c r="L227" s="59"/>
      <c r="M227" s="59"/>
      <c r="N227" s="59"/>
      <c r="O227" s="59"/>
      <c r="P227" s="59"/>
      <c r="Q227" s="59"/>
      <c r="R227" s="59"/>
      <c r="S227" s="59"/>
      <c r="T227" s="59"/>
      <c r="U227" s="59"/>
      <c r="V227" s="59"/>
      <c r="W227" s="59"/>
      <c r="X227" s="59"/>
      <c r="Y227" s="59"/>
      <c r="Z227" s="59"/>
    </row>
    <row r="228">
      <c r="A228" s="76" t="s">
        <v>2605</v>
      </c>
      <c r="B228" s="77">
        <v>26.0</v>
      </c>
      <c r="C228" s="76" t="str">
        <f>IEEE!J27</f>
        <v>Pathomorphological Diagnosis Process Modeling for Machine Learning Algorithms’ Applying</v>
      </c>
      <c r="D228" s="76" t="str">
        <f>IEEE!F27</f>
        <v>Conforme</v>
      </c>
      <c r="E228" s="76" t="str">
        <f t="shared" si="41"/>
        <v>Conforme</v>
      </c>
      <c r="F228" s="77" t="str">
        <f>IEEE!A27</f>
        <v>Conforme</v>
      </c>
      <c r="G228" s="77" t="str">
        <f t="shared" si="42"/>
        <v>Acerto</v>
      </c>
      <c r="H228" s="77" t="str">
        <f t="shared" si="43"/>
        <v>VP</v>
      </c>
      <c r="I228" s="77" t="str">
        <f>IEEE!C27</f>
        <v>Conforme</v>
      </c>
      <c r="J228" s="77" t="str">
        <f t="shared" si="44"/>
        <v>Acerto</v>
      </c>
      <c r="K228" s="77" t="str">
        <f t="shared" si="45"/>
        <v>VP</v>
      </c>
      <c r="L228" s="59"/>
      <c r="M228" s="59"/>
      <c r="N228" s="59"/>
      <c r="O228" s="59"/>
      <c r="P228" s="59"/>
      <c r="Q228" s="59"/>
      <c r="R228" s="59"/>
      <c r="S228" s="59"/>
      <c r="T228" s="59"/>
      <c r="U228" s="59"/>
      <c r="V228" s="59"/>
      <c r="W228" s="59"/>
      <c r="X228" s="59"/>
      <c r="Y228" s="59"/>
      <c r="Z228" s="59"/>
    </row>
    <row r="229">
      <c r="A229" s="78" t="s">
        <v>2605</v>
      </c>
      <c r="B229" s="79">
        <v>27.0</v>
      </c>
      <c r="C229" s="78" t="str">
        <f>IEEE!J28</f>
        <v>Digitalization and Business Automation for an Effective Supply Chain Integration: A literature review</v>
      </c>
      <c r="D229" s="78" t="str">
        <f>IEEE!F28</f>
        <v>Inconforme</v>
      </c>
      <c r="E229" s="78" t="str">
        <f t="shared" si="41"/>
        <v>Inconforme</v>
      </c>
      <c r="F229" s="79" t="str">
        <f>IEEE!A28</f>
        <v>Inconforme</v>
      </c>
      <c r="G229" s="79" t="str">
        <f t="shared" si="42"/>
        <v>Acerto</v>
      </c>
      <c r="H229" s="79" t="str">
        <f t="shared" si="43"/>
        <v>VN</v>
      </c>
      <c r="I229" s="79" t="str">
        <f>IEEE!C28</f>
        <v>Inconforme</v>
      </c>
      <c r="J229" s="79" t="str">
        <f t="shared" si="44"/>
        <v>Acerto</v>
      </c>
      <c r="K229" s="79" t="str">
        <f t="shared" si="45"/>
        <v>VN</v>
      </c>
      <c r="L229" s="59"/>
      <c r="M229" s="59"/>
      <c r="N229" s="59"/>
      <c r="O229" s="59"/>
      <c r="P229" s="59"/>
      <c r="Q229" s="59"/>
      <c r="R229" s="59"/>
      <c r="S229" s="59"/>
      <c r="T229" s="59"/>
      <c r="U229" s="59"/>
      <c r="V229" s="59"/>
      <c r="W229" s="59"/>
      <c r="X229" s="59"/>
      <c r="Y229" s="59"/>
      <c r="Z229" s="59"/>
    </row>
    <row r="230">
      <c r="A230" s="76" t="s">
        <v>2605</v>
      </c>
      <c r="B230" s="77">
        <v>28.0</v>
      </c>
      <c r="C230" s="76" t="str">
        <f>IEEE!J29</f>
        <v>Artificial Intelligence and Digital Transformation: Analyzing Future Trends</v>
      </c>
      <c r="D230" s="76" t="str">
        <f>IEEE!F29</f>
        <v>Inconforme</v>
      </c>
      <c r="E230" s="76" t="str">
        <f t="shared" si="41"/>
        <v>Inconforme</v>
      </c>
      <c r="F230" s="77" t="str">
        <f>IEEE!A29</f>
        <v>Inconforme</v>
      </c>
      <c r="G230" s="77" t="str">
        <f t="shared" si="42"/>
        <v>Acerto</v>
      </c>
      <c r="H230" s="77" t="str">
        <f t="shared" si="43"/>
        <v>VN</v>
      </c>
      <c r="I230" s="81" t="str">
        <f>IEEE!C29</f>
        <v>Inconforme</v>
      </c>
      <c r="J230" s="77" t="str">
        <f t="shared" si="44"/>
        <v>Acerto</v>
      </c>
      <c r="K230" s="77" t="str">
        <f t="shared" si="45"/>
        <v>VN</v>
      </c>
      <c r="L230" s="59"/>
      <c r="M230" s="59"/>
      <c r="N230" s="59"/>
      <c r="O230" s="59"/>
      <c r="P230" s="59"/>
      <c r="Q230" s="59"/>
      <c r="R230" s="59"/>
      <c r="S230" s="59"/>
      <c r="T230" s="59"/>
      <c r="U230" s="59"/>
      <c r="V230" s="59"/>
      <c r="W230" s="59"/>
      <c r="X230" s="59"/>
      <c r="Y230" s="59"/>
      <c r="Z230" s="59"/>
    </row>
    <row r="231">
      <c r="A231" s="78" t="s">
        <v>2605</v>
      </c>
      <c r="B231" s="79">
        <v>29.0</v>
      </c>
      <c r="C231" s="78" t="str">
        <f>IEEE!J30</f>
        <v>Business Process Automation in Retail</v>
      </c>
      <c r="D231" s="78" t="str">
        <f>IEEE!F30</f>
        <v>Inconforme</v>
      </c>
      <c r="E231" s="78" t="str">
        <f t="shared" si="41"/>
        <v>Inconforme</v>
      </c>
      <c r="F231" s="79" t="str">
        <f>IEEE!A30</f>
        <v>Inconforme</v>
      </c>
      <c r="G231" s="79" t="str">
        <f t="shared" si="42"/>
        <v>Acerto</v>
      </c>
      <c r="H231" s="79" t="str">
        <f t="shared" si="43"/>
        <v>VN</v>
      </c>
      <c r="I231" s="79" t="str">
        <f>IEEE!C30</f>
        <v>Inconforme</v>
      </c>
      <c r="J231" s="79" t="str">
        <f t="shared" si="44"/>
        <v>Acerto</v>
      </c>
      <c r="K231" s="79" t="str">
        <f t="shared" si="45"/>
        <v>VN</v>
      </c>
      <c r="L231" s="59"/>
      <c r="M231" s="59"/>
      <c r="N231" s="59"/>
      <c r="O231" s="59"/>
      <c r="P231" s="59"/>
      <c r="Q231" s="59"/>
      <c r="R231" s="59"/>
      <c r="S231" s="59"/>
      <c r="T231" s="59"/>
      <c r="U231" s="59"/>
      <c r="V231" s="59"/>
      <c r="W231" s="59"/>
      <c r="X231" s="59"/>
      <c r="Y231" s="59"/>
      <c r="Z231" s="59"/>
    </row>
    <row r="232">
      <c r="A232" s="76" t="s">
        <v>2605</v>
      </c>
      <c r="B232" s="77">
        <v>30.0</v>
      </c>
      <c r="C232" s="76" t="str">
        <f>IEEE!J31</f>
        <v>Digital Transformation in Higher Education: Enhancing Processes with Capabilities Mapping and Automation</v>
      </c>
      <c r="D232" s="76" t="str">
        <f>IEEE!F31</f>
        <v>Conforme</v>
      </c>
      <c r="E232" s="76" t="str">
        <f t="shared" si="41"/>
        <v>Conforme</v>
      </c>
      <c r="F232" s="77" t="str">
        <f>IEEE!A31</f>
        <v>Conforme</v>
      </c>
      <c r="G232" s="77" t="str">
        <f t="shared" si="42"/>
        <v>Acerto</v>
      </c>
      <c r="H232" s="77" t="str">
        <f t="shared" si="43"/>
        <v>VP</v>
      </c>
      <c r="I232" s="77" t="str">
        <f>IEEE!C31</f>
        <v>Conforme</v>
      </c>
      <c r="J232" s="77" t="str">
        <f t="shared" si="44"/>
        <v>Acerto</v>
      </c>
      <c r="K232" s="77" t="str">
        <f t="shared" si="45"/>
        <v>VP</v>
      </c>
      <c r="L232" s="59"/>
      <c r="M232" s="59"/>
      <c r="N232" s="59"/>
      <c r="O232" s="59"/>
      <c r="P232" s="59"/>
      <c r="Q232" s="59"/>
      <c r="R232" s="59"/>
      <c r="S232" s="59"/>
      <c r="T232" s="59"/>
      <c r="U232" s="59"/>
      <c r="V232" s="59"/>
      <c r="W232" s="59"/>
      <c r="X232" s="59"/>
      <c r="Y232" s="59"/>
      <c r="Z232" s="59"/>
    </row>
    <row r="233">
      <c r="A233" s="78" t="s">
        <v>2605</v>
      </c>
      <c r="B233" s="79">
        <v>31.0</v>
      </c>
      <c r="C233" s="78" t="str">
        <f>IEEE!J32</f>
        <v>Role of Digital Technology Transformation in Computer Education: Emerging Needs and Challenges</v>
      </c>
      <c r="D233" s="78" t="str">
        <f>IEEE!F32</f>
        <v>Inconforme</v>
      </c>
      <c r="E233" s="78" t="str">
        <f t="shared" si="41"/>
        <v>Inconforme</v>
      </c>
      <c r="F233" s="79" t="str">
        <f>IEEE!A32</f>
        <v>Inconforme</v>
      </c>
      <c r="G233" s="79" t="str">
        <f t="shared" si="42"/>
        <v>Acerto</v>
      </c>
      <c r="H233" s="79" t="str">
        <f t="shared" si="43"/>
        <v>VN</v>
      </c>
      <c r="I233" s="79" t="str">
        <f>IEEE!C32</f>
        <v>Inconforme</v>
      </c>
      <c r="J233" s="79" t="str">
        <f t="shared" si="44"/>
        <v>Acerto</v>
      </c>
      <c r="K233" s="79" t="str">
        <f t="shared" si="45"/>
        <v>VN</v>
      </c>
      <c r="L233" s="59"/>
      <c r="M233" s="59"/>
      <c r="N233" s="59"/>
      <c r="O233" s="59"/>
      <c r="P233" s="59"/>
      <c r="Q233" s="59"/>
      <c r="R233" s="59"/>
      <c r="S233" s="59"/>
      <c r="T233" s="59"/>
      <c r="U233" s="59"/>
      <c r="V233" s="59"/>
      <c r="W233" s="59"/>
      <c r="X233" s="59"/>
      <c r="Y233" s="59"/>
      <c r="Z233" s="59"/>
    </row>
    <row r="234">
      <c r="A234" s="76" t="s">
        <v>2605</v>
      </c>
      <c r="B234" s="77">
        <v>32.0</v>
      </c>
      <c r="C234" s="76" t="str">
        <f>IEEE!J33</f>
        <v>Methods of Digital Transformation of Management Systems</v>
      </c>
      <c r="D234" s="76" t="str">
        <f>IEEE!F33</f>
        <v>Inconforme</v>
      </c>
      <c r="E234" s="76" t="str">
        <f t="shared" si="41"/>
        <v>Inconforme</v>
      </c>
      <c r="F234" s="77" t="str">
        <f>IEEE!A33</f>
        <v>Conforme</v>
      </c>
      <c r="G234" s="77" t="str">
        <f t="shared" si="42"/>
        <v>Divergência</v>
      </c>
      <c r="H234" s="77" t="str">
        <f t="shared" si="43"/>
        <v>FP</v>
      </c>
      <c r="I234" s="77" t="str">
        <f>IEEE!C33</f>
        <v>Inconforme</v>
      </c>
      <c r="J234" s="77" t="str">
        <f t="shared" si="44"/>
        <v>Acerto</v>
      </c>
      <c r="K234" s="77" t="str">
        <f t="shared" si="45"/>
        <v>VN</v>
      </c>
      <c r="L234" s="59"/>
      <c r="M234" s="59"/>
      <c r="N234" s="59"/>
      <c r="O234" s="59"/>
      <c r="P234" s="59"/>
      <c r="Q234" s="59"/>
      <c r="R234" s="59"/>
      <c r="S234" s="59"/>
      <c r="T234" s="59"/>
      <c r="U234" s="59"/>
      <c r="V234" s="59"/>
      <c r="W234" s="59"/>
      <c r="X234" s="59"/>
      <c r="Y234" s="59"/>
      <c r="Z234" s="59"/>
    </row>
    <row r="235">
      <c r="A235" s="78" t="s">
        <v>2605</v>
      </c>
      <c r="B235" s="79">
        <v>33.0</v>
      </c>
      <c r="C235" s="78" t="str">
        <f>IEEE!J34</f>
        <v>Towards a Description of the Lifecycle of Digital Transformation Projects – Empirical Insights</v>
      </c>
      <c r="D235" s="78" t="str">
        <f>IEEE!F34</f>
        <v>Conforme</v>
      </c>
      <c r="E235" s="78" t="str">
        <f t="shared" si="41"/>
        <v>Conforme</v>
      </c>
      <c r="F235" s="79" t="str">
        <f>IEEE!A34</f>
        <v>Conforme</v>
      </c>
      <c r="G235" s="79" t="str">
        <f t="shared" si="42"/>
        <v>Acerto</v>
      </c>
      <c r="H235" s="79" t="str">
        <f t="shared" si="43"/>
        <v>VP</v>
      </c>
      <c r="I235" s="79" t="str">
        <f>IEEE!C34</f>
        <v>Conforme</v>
      </c>
      <c r="J235" s="79" t="str">
        <f t="shared" si="44"/>
        <v>Acerto</v>
      </c>
      <c r="K235" s="79" t="str">
        <f t="shared" si="45"/>
        <v>VP</v>
      </c>
      <c r="L235" s="59"/>
      <c r="M235" s="59"/>
      <c r="N235" s="59"/>
      <c r="O235" s="59"/>
      <c r="P235" s="59"/>
      <c r="Q235" s="59"/>
      <c r="R235" s="59"/>
      <c r="S235" s="59"/>
      <c r="T235" s="59"/>
      <c r="U235" s="59"/>
      <c r="V235" s="59"/>
      <c r="W235" s="59"/>
      <c r="X235" s="59"/>
      <c r="Y235" s="59"/>
      <c r="Z235" s="59"/>
    </row>
    <row r="236">
      <c r="A236" s="76" t="s">
        <v>2605</v>
      </c>
      <c r="B236" s="77">
        <v>34.0</v>
      </c>
      <c r="C236" s="76" t="str">
        <f>IEEE!J35</f>
        <v>Enabling the Gab Between RPA and Process Mining: User Interface Interactions Recorder</v>
      </c>
      <c r="D236" s="76" t="str">
        <f>IEEE!F35</f>
        <v>Inconforme</v>
      </c>
      <c r="E236" s="76" t="str">
        <f t="shared" si="41"/>
        <v>Inconforme</v>
      </c>
      <c r="F236" s="77" t="str">
        <f>IEEE!A35</f>
        <v>Inconforme</v>
      </c>
      <c r="G236" s="77" t="str">
        <f t="shared" si="42"/>
        <v>Acerto</v>
      </c>
      <c r="H236" s="77" t="str">
        <f t="shared" si="43"/>
        <v>VN</v>
      </c>
      <c r="I236" s="77" t="str">
        <f>IEEE!C35</f>
        <v>Inconforme</v>
      </c>
      <c r="J236" s="77" t="str">
        <f t="shared" si="44"/>
        <v>Acerto</v>
      </c>
      <c r="K236" s="77" t="str">
        <f t="shared" si="45"/>
        <v>VN</v>
      </c>
      <c r="L236" s="59"/>
      <c r="M236" s="59"/>
      <c r="N236" s="59"/>
      <c r="O236" s="59"/>
      <c r="P236" s="59"/>
      <c r="Q236" s="59"/>
      <c r="R236" s="59"/>
      <c r="S236" s="59"/>
      <c r="T236" s="59"/>
      <c r="U236" s="59"/>
      <c r="V236" s="59"/>
      <c r="W236" s="59"/>
      <c r="X236" s="59"/>
      <c r="Y236" s="59"/>
      <c r="Z236" s="59"/>
    </row>
    <row r="237">
      <c r="A237" s="78" t="s">
        <v>2605</v>
      </c>
      <c r="B237" s="79">
        <v>35.0</v>
      </c>
      <c r="C237" s="78" t="str">
        <f>IEEE!J36</f>
        <v>Artificial Intelligence in the Innovation Management Systems</v>
      </c>
      <c r="D237" s="78" t="str">
        <f>IEEE!F36</f>
        <v>Inconforme</v>
      </c>
      <c r="E237" s="78" t="str">
        <f t="shared" si="41"/>
        <v>Inconforme</v>
      </c>
      <c r="F237" s="79" t="str">
        <f>IEEE!A36</f>
        <v>Inconforme</v>
      </c>
      <c r="G237" s="79" t="str">
        <f t="shared" si="42"/>
        <v>Acerto</v>
      </c>
      <c r="H237" s="79" t="str">
        <f t="shared" si="43"/>
        <v>VN</v>
      </c>
      <c r="I237" s="79" t="str">
        <f>IEEE!C36</f>
        <v>Inconforme</v>
      </c>
      <c r="J237" s="79" t="str">
        <f t="shared" si="44"/>
        <v>Acerto</v>
      </c>
      <c r="K237" s="79" t="str">
        <f t="shared" si="45"/>
        <v>VN</v>
      </c>
      <c r="L237" s="59"/>
      <c r="M237" s="59"/>
      <c r="N237" s="59"/>
      <c r="O237" s="59"/>
      <c r="P237" s="59"/>
      <c r="Q237" s="59"/>
      <c r="R237" s="59"/>
      <c r="S237" s="59"/>
      <c r="T237" s="59"/>
      <c r="U237" s="59"/>
      <c r="V237" s="59"/>
      <c r="W237" s="59"/>
      <c r="X237" s="59"/>
      <c r="Y237" s="59"/>
      <c r="Z237" s="59"/>
    </row>
    <row r="238">
      <c r="A238" s="76" t="s">
        <v>2605</v>
      </c>
      <c r="B238" s="77">
        <v>36.0</v>
      </c>
      <c r="C238" s="76" t="str">
        <f>IEEE!J37</f>
        <v>Self-managed Organization: A Role of Business Process Management</v>
      </c>
      <c r="D238" s="76" t="str">
        <f>IEEE!F37</f>
        <v>Inconforme</v>
      </c>
      <c r="E238" s="76" t="str">
        <f t="shared" si="41"/>
        <v>Inconforme</v>
      </c>
      <c r="F238" s="77" t="str">
        <f>IEEE!A37</f>
        <v>Inconforme</v>
      </c>
      <c r="G238" s="77" t="str">
        <f t="shared" si="42"/>
        <v>Acerto</v>
      </c>
      <c r="H238" s="77" t="str">
        <f t="shared" si="43"/>
        <v>VN</v>
      </c>
      <c r="I238" s="77" t="str">
        <f>IEEE!C37</f>
        <v>Inconforme</v>
      </c>
      <c r="J238" s="77" t="str">
        <f t="shared" si="44"/>
        <v>Acerto</v>
      </c>
      <c r="K238" s="77" t="str">
        <f t="shared" si="45"/>
        <v>VN</v>
      </c>
      <c r="L238" s="59"/>
      <c r="M238" s="59"/>
      <c r="N238" s="59"/>
      <c r="O238" s="59"/>
      <c r="P238" s="59"/>
      <c r="Q238" s="59"/>
      <c r="R238" s="59"/>
      <c r="S238" s="59"/>
      <c r="T238" s="59"/>
      <c r="U238" s="59"/>
      <c r="V238" s="59"/>
      <c r="W238" s="59"/>
      <c r="X238" s="59"/>
      <c r="Y238" s="59"/>
      <c r="Z238" s="59"/>
    </row>
    <row r="239">
      <c r="A239" s="78" t="s">
        <v>2605</v>
      </c>
      <c r="B239" s="79">
        <v>37.0</v>
      </c>
      <c r="C239" s="78" t="str">
        <f>IEEE!J38</f>
        <v>Robotic Process Automation in Smart System Platform: A Review</v>
      </c>
      <c r="D239" s="78" t="str">
        <f>IEEE!F38</f>
        <v>Inconforme</v>
      </c>
      <c r="E239" s="78" t="str">
        <f t="shared" si="41"/>
        <v>Inconforme</v>
      </c>
      <c r="F239" s="79" t="str">
        <f>IEEE!A38</f>
        <v>Inconforme</v>
      </c>
      <c r="G239" s="79" t="str">
        <f t="shared" si="42"/>
        <v>Acerto</v>
      </c>
      <c r="H239" s="79" t="str">
        <f t="shared" si="43"/>
        <v>VN</v>
      </c>
      <c r="I239" s="79" t="str">
        <f>IEEE!C38</f>
        <v>Inconforme</v>
      </c>
      <c r="J239" s="79" t="str">
        <f t="shared" si="44"/>
        <v>Acerto</v>
      </c>
      <c r="K239" s="79" t="str">
        <f t="shared" si="45"/>
        <v>VN</v>
      </c>
      <c r="L239" s="59"/>
      <c r="M239" s="59"/>
      <c r="N239" s="59"/>
      <c r="O239" s="59"/>
      <c r="P239" s="59"/>
      <c r="Q239" s="59"/>
      <c r="R239" s="59"/>
      <c r="S239" s="59"/>
      <c r="T239" s="59"/>
      <c r="U239" s="59"/>
      <c r="V239" s="59"/>
      <c r="W239" s="59"/>
      <c r="X239" s="59"/>
      <c r="Y239" s="59"/>
      <c r="Z239" s="59"/>
    </row>
    <row r="240">
      <c r="A240" s="76" t="s">
        <v>2605</v>
      </c>
      <c r="B240" s="77">
        <v>38.0</v>
      </c>
      <c r="C240" s="76" t="str">
        <f>IEEE!J39</f>
        <v>Approaching Quality 4.0: The Digital Process Management as a Competitive Advantage</v>
      </c>
      <c r="D240" s="76" t="str">
        <f>IEEE!F39</f>
        <v>Conforme</v>
      </c>
      <c r="E240" s="76" t="str">
        <f t="shared" si="41"/>
        <v>Conforme</v>
      </c>
      <c r="F240" s="77" t="str">
        <f>IEEE!A39</f>
        <v>Conforme</v>
      </c>
      <c r="G240" s="77" t="str">
        <f t="shared" si="42"/>
        <v>Acerto</v>
      </c>
      <c r="H240" s="77" t="str">
        <f t="shared" si="43"/>
        <v>VP</v>
      </c>
      <c r="I240" s="77" t="str">
        <f>IEEE!C39</f>
        <v>Inconforme</v>
      </c>
      <c r="J240" s="77" t="str">
        <f t="shared" si="44"/>
        <v>Divergência</v>
      </c>
      <c r="K240" s="77" t="str">
        <f t="shared" si="45"/>
        <v>FN</v>
      </c>
      <c r="L240" s="59"/>
      <c r="M240" s="59"/>
      <c r="N240" s="59"/>
      <c r="O240" s="59"/>
      <c r="P240" s="59"/>
      <c r="Q240" s="59"/>
      <c r="R240" s="59"/>
      <c r="S240" s="59"/>
      <c r="T240" s="59"/>
      <c r="U240" s="59"/>
      <c r="V240" s="59"/>
      <c r="W240" s="59"/>
      <c r="X240" s="59"/>
      <c r="Y240" s="59"/>
      <c r="Z240" s="59"/>
    </row>
    <row r="241">
      <c r="A241" s="78" t="s">
        <v>2605</v>
      </c>
      <c r="B241" s="79">
        <v>39.0</v>
      </c>
      <c r="C241" s="78" t="str">
        <f>IEEE!J40</f>
        <v>ROH-BOT: An IoT Wearable and Inclusive Health Device for Remote Patient Monitoring With Different Alarm Systems</v>
      </c>
      <c r="D241" s="78" t="str">
        <f>IEEE!F40</f>
        <v>Inconforme</v>
      </c>
      <c r="E241" s="78" t="str">
        <f t="shared" si="41"/>
        <v>Inconforme</v>
      </c>
      <c r="F241" s="79" t="str">
        <f>IEEE!A40</f>
        <v>Inconforme</v>
      </c>
      <c r="G241" s="79" t="str">
        <f t="shared" si="42"/>
        <v>Acerto</v>
      </c>
      <c r="H241" s="79" t="str">
        <f t="shared" si="43"/>
        <v>VN</v>
      </c>
      <c r="I241" s="79" t="str">
        <f>IEEE!C40</f>
        <v>Inconforme</v>
      </c>
      <c r="J241" s="79" t="str">
        <f t="shared" si="44"/>
        <v>Acerto</v>
      </c>
      <c r="K241" s="79" t="str">
        <f t="shared" si="45"/>
        <v>VN</v>
      </c>
      <c r="L241" s="59"/>
      <c r="M241" s="59"/>
      <c r="N241" s="59"/>
      <c r="O241" s="59"/>
      <c r="P241" s="59"/>
      <c r="Q241" s="59"/>
      <c r="R241" s="59"/>
      <c r="S241" s="59"/>
      <c r="T241" s="59"/>
      <c r="U241" s="59"/>
      <c r="V241" s="59"/>
      <c r="W241" s="59"/>
      <c r="X241" s="59"/>
      <c r="Y241" s="59"/>
      <c r="Z241" s="59"/>
    </row>
    <row r="242">
      <c r="A242" s="76" t="s">
        <v>2605</v>
      </c>
      <c r="B242" s="77">
        <v>40.0</v>
      </c>
      <c r="C242" s="76" t="str">
        <f>IEEE!J41</f>
        <v>Machine Learning Driven Enterprise Business Intelligence Refactoring and Dynamic Adaptation</v>
      </c>
      <c r="D242" s="76" t="str">
        <f>IEEE!F41</f>
        <v>Conforme</v>
      </c>
      <c r="E242" s="76" t="str">
        <f t="shared" si="41"/>
        <v>Conforme</v>
      </c>
      <c r="F242" s="77" t="str">
        <f>IEEE!A41</f>
        <v>Conforme</v>
      </c>
      <c r="G242" s="77" t="str">
        <f t="shared" si="42"/>
        <v>Acerto</v>
      </c>
      <c r="H242" s="77" t="str">
        <f t="shared" si="43"/>
        <v>VP</v>
      </c>
      <c r="I242" s="77" t="str">
        <f>IEEE!C41</f>
        <v>Conforme</v>
      </c>
      <c r="J242" s="77" t="str">
        <f t="shared" si="44"/>
        <v>Acerto</v>
      </c>
      <c r="K242" s="77" t="str">
        <f t="shared" si="45"/>
        <v>VP</v>
      </c>
      <c r="L242" s="59"/>
      <c r="M242" s="59"/>
      <c r="N242" s="59"/>
      <c r="O242" s="59"/>
      <c r="P242" s="59"/>
      <c r="Q242" s="59"/>
      <c r="R242" s="59"/>
      <c r="S242" s="59"/>
      <c r="T242" s="59"/>
      <c r="U242" s="59"/>
      <c r="V242" s="59"/>
      <c r="W242" s="59"/>
      <c r="X242" s="59"/>
      <c r="Y242" s="59"/>
      <c r="Z242" s="59"/>
    </row>
    <row r="243">
      <c r="A243" s="78" t="s">
        <v>2605</v>
      </c>
      <c r="B243" s="79">
        <v>41.0</v>
      </c>
      <c r="C243" s="78" t="str">
        <f>IEEE!J42</f>
        <v>Overview of Business Hyper-automation</v>
      </c>
      <c r="D243" s="78" t="str">
        <f>IEEE!F42</f>
        <v>Inconforme</v>
      </c>
      <c r="E243" s="78" t="str">
        <f t="shared" si="41"/>
        <v>Inconforme</v>
      </c>
      <c r="F243" s="79" t="str">
        <f>IEEE!A42</f>
        <v>Inconforme</v>
      </c>
      <c r="G243" s="79" t="str">
        <f t="shared" si="42"/>
        <v>Acerto</v>
      </c>
      <c r="H243" s="79" t="str">
        <f t="shared" si="43"/>
        <v>VN</v>
      </c>
      <c r="I243" s="79" t="str">
        <f>IEEE!C42</f>
        <v>Inconforme</v>
      </c>
      <c r="J243" s="79" t="str">
        <f t="shared" si="44"/>
        <v>Acerto</v>
      </c>
      <c r="K243" s="79" t="str">
        <f t="shared" si="45"/>
        <v>VN</v>
      </c>
      <c r="L243" s="59"/>
      <c r="M243" s="59"/>
      <c r="N243" s="59"/>
      <c r="O243" s="59"/>
      <c r="P243" s="59"/>
      <c r="Q243" s="59"/>
      <c r="R243" s="59"/>
      <c r="S243" s="59"/>
      <c r="T243" s="59"/>
      <c r="U243" s="59"/>
      <c r="V243" s="59"/>
      <c r="W243" s="59"/>
      <c r="X243" s="59"/>
      <c r="Y243" s="59"/>
      <c r="Z243" s="59"/>
    </row>
    <row r="244">
      <c r="A244" s="76" t="s">
        <v>2605</v>
      </c>
      <c r="B244" s="77">
        <v>42.0</v>
      </c>
      <c r="C244" s="76" t="str">
        <f>IEEE!J43</f>
        <v>Research on Integration Technology of Information Platform for School-enterprise Cooperation in Electric Power Enterprises Based on SOA Architecture</v>
      </c>
      <c r="D244" s="76" t="str">
        <f>IEEE!F43</f>
        <v>Conforme</v>
      </c>
      <c r="E244" s="76" t="str">
        <f t="shared" si="41"/>
        <v>Conforme</v>
      </c>
      <c r="F244" s="77" t="str">
        <f>IEEE!A43</f>
        <v>Conforme</v>
      </c>
      <c r="G244" s="77" t="str">
        <f t="shared" si="42"/>
        <v>Acerto</v>
      </c>
      <c r="H244" s="77" t="str">
        <f t="shared" si="43"/>
        <v>VP</v>
      </c>
      <c r="I244" s="77" t="str">
        <f>IEEE!C43</f>
        <v>Conforme</v>
      </c>
      <c r="J244" s="77" t="str">
        <f t="shared" si="44"/>
        <v>Acerto</v>
      </c>
      <c r="K244" s="77" t="str">
        <f t="shared" si="45"/>
        <v>VP</v>
      </c>
      <c r="L244" s="59"/>
      <c r="M244" s="59"/>
      <c r="N244" s="59"/>
      <c r="O244" s="59"/>
      <c r="P244" s="59"/>
      <c r="Q244" s="59"/>
      <c r="R244" s="59"/>
      <c r="S244" s="59"/>
      <c r="T244" s="59"/>
      <c r="U244" s="59"/>
      <c r="V244" s="59"/>
      <c r="W244" s="59"/>
      <c r="X244" s="59"/>
      <c r="Y244" s="59"/>
      <c r="Z244" s="59"/>
    </row>
    <row r="245">
      <c r="A245" s="78" t="s">
        <v>2605</v>
      </c>
      <c r="B245" s="79">
        <v>43.0</v>
      </c>
      <c r="C245" s="78" t="str">
        <f>IEEE!J44</f>
        <v>Strategic Diagnostics of Business Processes of Enterprises using Information Technologies in the Context of Modern Challenges</v>
      </c>
      <c r="D245" s="78" t="str">
        <f>IEEE!F44</f>
        <v>Inconforme</v>
      </c>
      <c r="E245" s="78" t="str">
        <f t="shared" si="41"/>
        <v>Inconforme</v>
      </c>
      <c r="F245" s="79" t="str">
        <f>IEEE!A44</f>
        <v>Inconforme</v>
      </c>
      <c r="G245" s="79" t="str">
        <f t="shared" si="42"/>
        <v>Acerto</v>
      </c>
      <c r="H245" s="79" t="str">
        <f t="shared" si="43"/>
        <v>VN</v>
      </c>
      <c r="I245" s="79" t="str">
        <f>IEEE!C44</f>
        <v>Inconforme</v>
      </c>
      <c r="J245" s="79" t="str">
        <f t="shared" si="44"/>
        <v>Acerto</v>
      </c>
      <c r="K245" s="79" t="str">
        <f t="shared" si="45"/>
        <v>VN</v>
      </c>
      <c r="L245" s="59"/>
      <c r="M245" s="59"/>
      <c r="N245" s="59"/>
      <c r="O245" s="59"/>
      <c r="P245" s="59"/>
      <c r="Q245" s="59"/>
      <c r="R245" s="59"/>
      <c r="S245" s="59"/>
      <c r="T245" s="59"/>
      <c r="U245" s="59"/>
      <c r="V245" s="59"/>
      <c r="W245" s="59"/>
      <c r="X245" s="59"/>
      <c r="Y245" s="59"/>
      <c r="Z245" s="59"/>
    </row>
    <row r="246">
      <c r="A246" s="76" t="s">
        <v>2605</v>
      </c>
      <c r="B246" s="77">
        <v>44.0</v>
      </c>
      <c r="C246" s="76" t="str">
        <f>IEEE!J45</f>
        <v>The Role of IS/IT Strategies in Driving Business Transformation and Achieving Organizational Objectives: A Systematic Literature Review</v>
      </c>
      <c r="D246" s="76" t="str">
        <f>IEEE!F45</f>
        <v>Inconforme</v>
      </c>
      <c r="E246" s="76" t="str">
        <f t="shared" si="41"/>
        <v>Inconforme</v>
      </c>
      <c r="F246" s="77" t="str">
        <f>IEEE!A45</f>
        <v>Inconforme</v>
      </c>
      <c r="G246" s="77" t="str">
        <f t="shared" si="42"/>
        <v>Acerto</v>
      </c>
      <c r="H246" s="77" t="str">
        <f t="shared" si="43"/>
        <v>VN</v>
      </c>
      <c r="I246" s="77" t="str">
        <f>IEEE!C45</f>
        <v>Inconforme</v>
      </c>
      <c r="J246" s="77" t="str">
        <f t="shared" si="44"/>
        <v>Acerto</v>
      </c>
      <c r="K246" s="77" t="str">
        <f t="shared" si="45"/>
        <v>VN</v>
      </c>
      <c r="L246" s="59"/>
      <c r="M246" s="59"/>
      <c r="N246" s="59"/>
      <c r="O246" s="59"/>
      <c r="P246" s="59"/>
      <c r="Q246" s="59"/>
      <c r="R246" s="59"/>
      <c r="S246" s="59"/>
      <c r="T246" s="59"/>
      <c r="U246" s="59"/>
      <c r="V246" s="59"/>
      <c r="W246" s="59"/>
      <c r="X246" s="59"/>
      <c r="Y246" s="59"/>
      <c r="Z246" s="59"/>
    </row>
    <row r="247">
      <c r="A247" s="78" t="s">
        <v>2605</v>
      </c>
      <c r="B247" s="79">
        <v>45.0</v>
      </c>
      <c r="C247" s="78" t="str">
        <f>IEEE!J46</f>
        <v>Digitalization in the Construction Industry: The Case of Documentation and Invoicing in Tunneling</v>
      </c>
      <c r="D247" s="78" t="str">
        <f>IEEE!F46</f>
        <v>Inconforme</v>
      </c>
      <c r="E247" s="78" t="str">
        <f t="shared" si="41"/>
        <v>Inconforme</v>
      </c>
      <c r="F247" s="79" t="str">
        <f>IEEE!A46</f>
        <v>Inconforme</v>
      </c>
      <c r="G247" s="79" t="str">
        <f t="shared" si="42"/>
        <v>Acerto</v>
      </c>
      <c r="H247" s="79" t="str">
        <f t="shared" si="43"/>
        <v>VN</v>
      </c>
      <c r="I247" s="79" t="str">
        <f>IEEE!C46</f>
        <v>Inconforme</v>
      </c>
      <c r="J247" s="79" t="str">
        <f t="shared" si="44"/>
        <v>Acerto</v>
      </c>
      <c r="K247" s="79" t="str">
        <f t="shared" si="45"/>
        <v>VN</v>
      </c>
      <c r="L247" s="59"/>
      <c r="M247" s="59"/>
      <c r="N247" s="59"/>
      <c r="O247" s="59"/>
      <c r="P247" s="59"/>
      <c r="Q247" s="59"/>
      <c r="R247" s="59"/>
      <c r="S247" s="59"/>
      <c r="T247" s="59"/>
      <c r="U247" s="59"/>
      <c r="V247" s="59"/>
      <c r="W247" s="59"/>
      <c r="X247" s="59"/>
      <c r="Y247" s="59"/>
      <c r="Z247" s="59"/>
    </row>
    <row r="248">
      <c r="A248" s="76" t="s">
        <v>2605</v>
      </c>
      <c r="B248" s="77">
        <v>46.0</v>
      </c>
      <c r="C248" s="76" t="str">
        <f>IEEE!J47</f>
        <v>Design and Implementation of Industrial Internet of Things for Legacy Field Devices: A Case Study</v>
      </c>
      <c r="D248" s="76" t="str">
        <f>IEEE!F47</f>
        <v>Conforme</v>
      </c>
      <c r="E248" s="76" t="str">
        <f t="shared" si="41"/>
        <v>Conforme</v>
      </c>
      <c r="F248" s="77" t="str">
        <f>IEEE!A47</f>
        <v>Conforme</v>
      </c>
      <c r="G248" s="77" t="str">
        <f t="shared" si="42"/>
        <v>Acerto</v>
      </c>
      <c r="H248" s="77" t="str">
        <f t="shared" si="43"/>
        <v>VP</v>
      </c>
      <c r="I248" s="77" t="str">
        <f>IEEE!C47</f>
        <v>Conforme</v>
      </c>
      <c r="J248" s="77" t="str">
        <f t="shared" si="44"/>
        <v>Acerto</v>
      </c>
      <c r="K248" s="77" t="str">
        <f t="shared" si="45"/>
        <v>VP</v>
      </c>
      <c r="L248" s="59"/>
      <c r="M248" s="59"/>
      <c r="N248" s="59"/>
      <c r="O248" s="59"/>
      <c r="P248" s="59"/>
      <c r="Q248" s="59"/>
      <c r="R248" s="59"/>
      <c r="S248" s="59"/>
      <c r="T248" s="59"/>
      <c r="U248" s="59"/>
      <c r="V248" s="59"/>
      <c r="W248" s="59"/>
      <c r="X248" s="59"/>
      <c r="Y248" s="59"/>
      <c r="Z248" s="59"/>
    </row>
    <row r="249">
      <c r="A249" s="78" t="s">
        <v>2605</v>
      </c>
      <c r="B249" s="79">
        <v>47.0</v>
      </c>
      <c r="C249" s="78" t="str">
        <f>IEEE!J48</f>
        <v>E-Health Monitoring System Application using OLED and Pulse Sensor</v>
      </c>
      <c r="D249" s="78" t="str">
        <f>IEEE!F48</f>
        <v>Inconforme</v>
      </c>
      <c r="E249" s="78" t="str">
        <f t="shared" si="41"/>
        <v>Inconforme</v>
      </c>
      <c r="F249" s="79" t="str">
        <f>IEEE!A48</f>
        <v>Inconforme</v>
      </c>
      <c r="G249" s="79" t="str">
        <f t="shared" si="42"/>
        <v>Acerto</v>
      </c>
      <c r="H249" s="79" t="str">
        <f t="shared" si="43"/>
        <v>VN</v>
      </c>
      <c r="I249" s="79" t="str">
        <f>IEEE!C48</f>
        <v>Inconforme</v>
      </c>
      <c r="J249" s="79" t="str">
        <f t="shared" si="44"/>
        <v>Acerto</v>
      </c>
      <c r="K249" s="79" t="str">
        <f t="shared" si="45"/>
        <v>VN</v>
      </c>
      <c r="L249" s="59"/>
      <c r="M249" s="59"/>
      <c r="N249" s="59"/>
      <c r="O249" s="59"/>
      <c r="P249" s="59"/>
      <c r="Q249" s="59"/>
      <c r="R249" s="59"/>
      <c r="S249" s="59"/>
      <c r="T249" s="59"/>
      <c r="U249" s="59"/>
      <c r="V249" s="59"/>
      <c r="W249" s="59"/>
      <c r="X249" s="59"/>
      <c r="Y249" s="59"/>
      <c r="Z249" s="59"/>
    </row>
    <row r="250">
      <c r="A250" s="76" t="s">
        <v>2605</v>
      </c>
      <c r="B250" s="77">
        <v>48.0</v>
      </c>
      <c r="C250" s="76" t="str">
        <f>IEEE!J49</f>
        <v>Case study of digital innovation process improvement, using BPMN, case-based reasoning, and text mining</v>
      </c>
      <c r="D250" s="76" t="str">
        <f>IEEE!F49</f>
        <v>Conforme</v>
      </c>
      <c r="E250" s="76" t="str">
        <f t="shared" si="41"/>
        <v>Conforme</v>
      </c>
      <c r="F250" s="77" t="str">
        <f>IEEE!A49</f>
        <v>Inconforme</v>
      </c>
      <c r="G250" s="77" t="str">
        <f t="shared" si="42"/>
        <v>Divergência</v>
      </c>
      <c r="H250" s="77" t="str">
        <f t="shared" si="43"/>
        <v>FN</v>
      </c>
      <c r="I250" s="77" t="str">
        <f>IEEE!C49</f>
        <v>Inconforme</v>
      </c>
      <c r="J250" s="77" t="str">
        <f t="shared" si="44"/>
        <v>Divergência</v>
      </c>
      <c r="K250" s="77" t="str">
        <f t="shared" si="45"/>
        <v>FN</v>
      </c>
      <c r="L250" s="59"/>
      <c r="M250" s="59"/>
      <c r="N250" s="59"/>
      <c r="O250" s="59"/>
      <c r="P250" s="59"/>
      <c r="Q250" s="59"/>
      <c r="R250" s="59"/>
      <c r="S250" s="59"/>
      <c r="T250" s="59"/>
      <c r="U250" s="59"/>
      <c r="V250" s="59"/>
      <c r="W250" s="59"/>
      <c r="X250" s="59"/>
      <c r="Y250" s="59"/>
      <c r="Z250" s="59"/>
    </row>
    <row r="251">
      <c r="A251" s="78" t="s">
        <v>2605</v>
      </c>
      <c r="B251" s="79">
        <v>49.0</v>
      </c>
      <c r="C251" s="78" t="str">
        <f>IEEE!J50</f>
        <v>Banking Industry's Transformation with Aid of AI Technology</v>
      </c>
      <c r="D251" s="78" t="str">
        <f>IEEE!F50</f>
        <v>Inconforme</v>
      </c>
      <c r="E251" s="78" t="str">
        <f t="shared" si="41"/>
        <v>Inconforme</v>
      </c>
      <c r="F251" s="79" t="str">
        <f>IEEE!A50</f>
        <v>Inconforme</v>
      </c>
      <c r="G251" s="79" t="str">
        <f t="shared" si="42"/>
        <v>Acerto</v>
      </c>
      <c r="H251" s="79" t="str">
        <f t="shared" si="43"/>
        <v>VN</v>
      </c>
      <c r="I251" s="79" t="str">
        <f>IEEE!C50</f>
        <v>Inconforme</v>
      </c>
      <c r="J251" s="79" t="str">
        <f t="shared" si="44"/>
        <v>Acerto</v>
      </c>
      <c r="K251" s="79" t="str">
        <f t="shared" si="45"/>
        <v>VN</v>
      </c>
      <c r="L251" s="59"/>
      <c r="M251" s="59"/>
      <c r="N251" s="59"/>
      <c r="O251" s="59"/>
      <c r="P251" s="59"/>
      <c r="Q251" s="59"/>
      <c r="R251" s="59"/>
      <c r="S251" s="59"/>
      <c r="T251" s="59"/>
      <c r="U251" s="59"/>
      <c r="V251" s="59"/>
      <c r="W251" s="59"/>
      <c r="X251" s="59"/>
      <c r="Y251" s="59"/>
      <c r="Z251" s="59"/>
    </row>
    <row r="252">
      <c r="A252" s="76" t="s">
        <v>2605</v>
      </c>
      <c r="B252" s="77">
        <v>50.0</v>
      </c>
      <c r="C252" s="76" t="str">
        <f>IEEE!J51</f>
        <v>Emerging Technologies Integration in Cloud Computing, AI, and SAP S/4 HANA Rise Cloud for the Oil and Gas Energy Sector</v>
      </c>
      <c r="D252" s="76" t="str">
        <f>IEEE!F51</f>
        <v>Inconforme</v>
      </c>
      <c r="E252" s="76" t="str">
        <f t="shared" si="41"/>
        <v>Inconforme</v>
      </c>
      <c r="F252" s="77" t="str">
        <f>IEEE!A51</f>
        <v>Inconforme</v>
      </c>
      <c r="G252" s="77" t="str">
        <f t="shared" si="42"/>
        <v>Acerto</v>
      </c>
      <c r="H252" s="77" t="str">
        <f t="shared" si="43"/>
        <v>VN</v>
      </c>
      <c r="I252" s="77" t="str">
        <f>IEEE!C51</f>
        <v>Inconforme</v>
      </c>
      <c r="J252" s="77" t="str">
        <f t="shared" si="44"/>
        <v>Acerto</v>
      </c>
      <c r="K252" s="77" t="str">
        <f t="shared" si="45"/>
        <v>VN</v>
      </c>
      <c r="L252" s="59"/>
      <c r="M252" s="59"/>
      <c r="N252" s="59"/>
      <c r="O252" s="59"/>
      <c r="P252" s="59"/>
      <c r="Q252" s="59"/>
      <c r="R252" s="59"/>
      <c r="S252" s="59"/>
      <c r="T252" s="59"/>
      <c r="U252" s="59"/>
      <c r="V252" s="59"/>
      <c r="W252" s="59"/>
      <c r="X252" s="59"/>
      <c r="Y252" s="59"/>
      <c r="Z252" s="59"/>
    </row>
    <row r="253">
      <c r="A253" s="78" t="s">
        <v>2605</v>
      </c>
      <c r="B253" s="79">
        <v>51.0</v>
      </c>
      <c r="C253" s="78" t="str">
        <f>IEEE!J52</f>
        <v>Contextual Relationships Among the Barriers to Implement Data Analytics in Industrial Automation: An ISM and MICMAC Analysis</v>
      </c>
      <c r="D253" s="78" t="str">
        <f>IEEE!F52</f>
        <v>Inconforme</v>
      </c>
      <c r="E253" s="78" t="str">
        <f t="shared" si="41"/>
        <v>Inconforme</v>
      </c>
      <c r="F253" s="79" t="str">
        <f>IEEE!A52</f>
        <v>Inconforme</v>
      </c>
      <c r="G253" s="79" t="str">
        <f t="shared" si="42"/>
        <v>Acerto</v>
      </c>
      <c r="H253" s="79" t="str">
        <f t="shared" si="43"/>
        <v>VN</v>
      </c>
      <c r="I253" s="79" t="str">
        <f>IEEE!C52</f>
        <v>Inconforme</v>
      </c>
      <c r="J253" s="79" t="str">
        <f t="shared" si="44"/>
        <v>Acerto</v>
      </c>
      <c r="K253" s="79" t="str">
        <f t="shared" si="45"/>
        <v>VN</v>
      </c>
      <c r="L253" s="59"/>
      <c r="M253" s="59"/>
      <c r="N253" s="59"/>
      <c r="O253" s="59"/>
      <c r="P253" s="59"/>
      <c r="Q253" s="59"/>
      <c r="R253" s="59"/>
      <c r="S253" s="59"/>
      <c r="T253" s="59"/>
      <c r="U253" s="59"/>
      <c r="V253" s="59"/>
      <c r="W253" s="59"/>
      <c r="X253" s="59"/>
      <c r="Y253" s="59"/>
      <c r="Z253" s="59"/>
    </row>
    <row r="254">
      <c r="A254" s="76" t="s">
        <v>2605</v>
      </c>
      <c r="B254" s="77">
        <v>52.0</v>
      </c>
      <c r="C254" s="76" t="str">
        <f>IEEE!J53</f>
        <v>The Potential of Low-Code Development in the Manufacturing Industry</v>
      </c>
      <c r="D254" s="76" t="str">
        <f>IEEE!F53</f>
        <v>Inconforme</v>
      </c>
      <c r="E254" s="76" t="str">
        <f t="shared" si="41"/>
        <v>Inconforme</v>
      </c>
      <c r="F254" s="77" t="str">
        <f>IEEE!A53</f>
        <v>Inconforme</v>
      </c>
      <c r="G254" s="77" t="str">
        <f t="shared" si="42"/>
        <v>Acerto</v>
      </c>
      <c r="H254" s="77" t="str">
        <f t="shared" si="43"/>
        <v>VN</v>
      </c>
      <c r="I254" s="77" t="str">
        <f>IEEE!C53</f>
        <v>Inconforme</v>
      </c>
      <c r="J254" s="77" t="str">
        <f t="shared" si="44"/>
        <v>Acerto</v>
      </c>
      <c r="K254" s="77" t="str">
        <f t="shared" si="45"/>
        <v>VN</v>
      </c>
      <c r="L254" s="59"/>
      <c r="M254" s="59"/>
      <c r="N254" s="59"/>
      <c r="O254" s="59"/>
      <c r="P254" s="59"/>
      <c r="Q254" s="59"/>
      <c r="R254" s="59"/>
      <c r="S254" s="59"/>
      <c r="T254" s="59"/>
      <c r="U254" s="59"/>
      <c r="V254" s="59"/>
      <c r="W254" s="59"/>
      <c r="X254" s="59"/>
      <c r="Y254" s="59"/>
      <c r="Z254" s="59"/>
    </row>
    <row r="255">
      <c r="A255" s="78" t="s">
        <v>2605</v>
      </c>
      <c r="B255" s="79">
        <v>53.0</v>
      </c>
      <c r="C255" s="78" t="str">
        <f>IEEE!J54</f>
        <v>Information Security Challenges in the Digitalisation of the Austrian Food Industry: Assessment of Food Suppliers and Implications</v>
      </c>
      <c r="D255" s="78" t="str">
        <f>IEEE!F54</f>
        <v>Inconforme</v>
      </c>
      <c r="E255" s="78" t="str">
        <f t="shared" si="41"/>
        <v>Inconforme</v>
      </c>
      <c r="F255" s="79" t="str">
        <f>IEEE!A54</f>
        <v>Inconforme</v>
      </c>
      <c r="G255" s="79" t="str">
        <f t="shared" si="42"/>
        <v>Acerto</v>
      </c>
      <c r="H255" s="79" t="str">
        <f t="shared" si="43"/>
        <v>VN</v>
      </c>
      <c r="I255" s="79" t="str">
        <f>IEEE!C54</f>
        <v>Inconforme</v>
      </c>
      <c r="J255" s="79" t="str">
        <f t="shared" si="44"/>
        <v>Acerto</v>
      </c>
      <c r="K255" s="79" t="str">
        <f t="shared" si="45"/>
        <v>VN</v>
      </c>
      <c r="L255" s="59"/>
      <c r="M255" s="59"/>
      <c r="N255" s="59"/>
      <c r="O255" s="59"/>
      <c r="P255" s="59"/>
      <c r="Q255" s="59"/>
      <c r="R255" s="59"/>
      <c r="S255" s="59"/>
      <c r="T255" s="59"/>
      <c r="U255" s="59"/>
      <c r="V255" s="59"/>
      <c r="W255" s="59"/>
      <c r="X255" s="59"/>
      <c r="Y255" s="59"/>
      <c r="Z255" s="59"/>
    </row>
    <row r="256">
      <c r="A256" s="76" t="s">
        <v>2605</v>
      </c>
      <c r="B256" s="77">
        <v>54.0</v>
      </c>
      <c r="C256" s="76" t="str">
        <f>IEEE!J55</f>
        <v>Implementation of RPA for Automated Access Management in Information Systems in a Financial Company</v>
      </c>
      <c r="D256" s="76" t="str">
        <f>IEEE!F55</f>
        <v>Inconforme</v>
      </c>
      <c r="E256" s="76" t="str">
        <f t="shared" si="41"/>
        <v>Inconforme</v>
      </c>
      <c r="F256" s="77" t="str">
        <f>IEEE!A55</f>
        <v>Inconforme</v>
      </c>
      <c r="G256" s="77" t="str">
        <f t="shared" si="42"/>
        <v>Acerto</v>
      </c>
      <c r="H256" s="77" t="str">
        <f t="shared" si="43"/>
        <v>VN</v>
      </c>
      <c r="I256" s="77" t="str">
        <f>IEEE!C55</f>
        <v>Inconforme</v>
      </c>
      <c r="J256" s="77" t="str">
        <f t="shared" si="44"/>
        <v>Acerto</v>
      </c>
      <c r="K256" s="77" t="str">
        <f t="shared" si="45"/>
        <v>VN</v>
      </c>
      <c r="L256" s="59"/>
      <c r="M256" s="59"/>
      <c r="N256" s="59"/>
      <c r="O256" s="59"/>
      <c r="P256" s="59"/>
      <c r="Q256" s="59"/>
      <c r="R256" s="59"/>
      <c r="S256" s="59"/>
      <c r="T256" s="59"/>
      <c r="U256" s="59"/>
      <c r="V256" s="59"/>
      <c r="W256" s="59"/>
      <c r="X256" s="59"/>
      <c r="Y256" s="59"/>
      <c r="Z256" s="59"/>
    </row>
    <row r="257">
      <c r="A257" s="78" t="s">
        <v>2605</v>
      </c>
      <c r="B257" s="79">
        <v>55.0</v>
      </c>
      <c r="C257" s="78" t="str">
        <f>IEEE!J56</f>
        <v>Simulation Tool for Learning Action-Oriented Process Mining</v>
      </c>
      <c r="D257" s="78" t="str">
        <f>IEEE!F56</f>
        <v>Inconforme</v>
      </c>
      <c r="E257" s="78" t="str">
        <f t="shared" si="41"/>
        <v>Inconforme</v>
      </c>
      <c r="F257" s="79" t="str">
        <f>IEEE!A56</f>
        <v>Inconforme</v>
      </c>
      <c r="G257" s="79" t="str">
        <f t="shared" si="42"/>
        <v>Acerto</v>
      </c>
      <c r="H257" s="79" t="str">
        <f t="shared" si="43"/>
        <v>VN</v>
      </c>
      <c r="I257" s="79" t="str">
        <f>IEEE!C56</f>
        <v>Inconforme</v>
      </c>
      <c r="J257" s="79" t="str">
        <f t="shared" si="44"/>
        <v>Acerto</v>
      </c>
      <c r="K257" s="79" t="str">
        <f t="shared" si="45"/>
        <v>VN</v>
      </c>
      <c r="L257" s="59"/>
      <c r="M257" s="59"/>
      <c r="N257" s="59"/>
      <c r="O257" s="59"/>
      <c r="P257" s="59"/>
      <c r="Q257" s="59"/>
      <c r="R257" s="59"/>
      <c r="S257" s="59"/>
      <c r="T257" s="59"/>
      <c r="U257" s="59"/>
      <c r="V257" s="59"/>
      <c r="W257" s="59"/>
      <c r="X257" s="59"/>
      <c r="Y257" s="59"/>
      <c r="Z257" s="59"/>
    </row>
    <row r="258">
      <c r="A258" s="76" t="s">
        <v>2605</v>
      </c>
      <c r="B258" s="77">
        <v>56.0</v>
      </c>
      <c r="C258" s="76" t="str">
        <f>IEEE!J57</f>
        <v>Teaching the Digital Transformation of Business Processes: Design of a Simulation Game of Business Process Change</v>
      </c>
      <c r="D258" s="76" t="str">
        <f>IEEE!F57</f>
        <v>Inconforme</v>
      </c>
      <c r="E258" s="76" t="str">
        <f t="shared" si="41"/>
        <v>Inconforme</v>
      </c>
      <c r="F258" s="77" t="str">
        <f>IEEE!A57</f>
        <v>Inconforme</v>
      </c>
      <c r="G258" s="77" t="str">
        <f t="shared" si="42"/>
        <v>Acerto</v>
      </c>
      <c r="H258" s="77" t="str">
        <f t="shared" si="43"/>
        <v>VN</v>
      </c>
      <c r="I258" s="77" t="str">
        <f>IEEE!C57</f>
        <v>Inconforme</v>
      </c>
      <c r="J258" s="77" t="str">
        <f t="shared" si="44"/>
        <v>Acerto</v>
      </c>
      <c r="K258" s="77" t="str">
        <f t="shared" si="45"/>
        <v>VN</v>
      </c>
      <c r="L258" s="59"/>
      <c r="M258" s="59"/>
      <c r="N258" s="59"/>
      <c r="O258" s="59"/>
      <c r="P258" s="59"/>
      <c r="Q258" s="59"/>
      <c r="R258" s="59"/>
      <c r="S258" s="59"/>
      <c r="T258" s="59"/>
      <c r="U258" s="59"/>
      <c r="V258" s="59"/>
      <c r="W258" s="59"/>
      <c r="X258" s="59"/>
      <c r="Y258" s="59"/>
      <c r="Z258" s="59"/>
    </row>
    <row r="259">
      <c r="A259" s="78" t="s">
        <v>2605</v>
      </c>
      <c r="B259" s="79">
        <v>57.0</v>
      </c>
      <c r="C259" s="78" t="str">
        <f>IEEE!J58</f>
        <v>A Strategic Model and Framework for Intelligent Process Automation</v>
      </c>
      <c r="D259" s="78" t="str">
        <f>IEEE!F58</f>
        <v>Conforme</v>
      </c>
      <c r="E259" s="78" t="str">
        <f t="shared" si="41"/>
        <v>Conforme</v>
      </c>
      <c r="F259" s="79" t="str">
        <f>IEEE!A58</f>
        <v>Inconforme</v>
      </c>
      <c r="G259" s="79" t="str">
        <f t="shared" si="42"/>
        <v>Divergência</v>
      </c>
      <c r="H259" s="79" t="str">
        <f t="shared" si="43"/>
        <v>FN</v>
      </c>
      <c r="I259" s="79" t="str">
        <f>IEEE!C58</f>
        <v>Inconforme</v>
      </c>
      <c r="J259" s="79" t="str">
        <f t="shared" si="44"/>
        <v>Divergência</v>
      </c>
      <c r="K259" s="79" t="str">
        <f t="shared" si="45"/>
        <v>FN</v>
      </c>
      <c r="L259" s="59"/>
      <c r="M259" s="59"/>
      <c r="N259" s="59"/>
      <c r="O259" s="59"/>
      <c r="P259" s="59"/>
      <c r="Q259" s="59"/>
      <c r="R259" s="59"/>
      <c r="S259" s="59"/>
      <c r="T259" s="59"/>
      <c r="U259" s="59"/>
      <c r="V259" s="59"/>
      <c r="W259" s="59"/>
      <c r="X259" s="59"/>
      <c r="Y259" s="59"/>
      <c r="Z259" s="59"/>
    </row>
    <row r="260">
      <c r="A260" s="76" t="s">
        <v>2605</v>
      </c>
      <c r="B260" s="77">
        <v>58.0</v>
      </c>
      <c r="C260" s="76" t="str">
        <f>IEEE!J59</f>
        <v>Exploring Barriers to Implementing Industry 4.0 in Engineering Management: A Theoretical Investigation</v>
      </c>
      <c r="D260" s="76" t="str">
        <f>IEEE!F59</f>
        <v>Inconforme</v>
      </c>
      <c r="E260" s="76" t="str">
        <f t="shared" si="41"/>
        <v>Inconforme</v>
      </c>
      <c r="F260" s="77" t="str">
        <f>IEEE!A59</f>
        <v>Inconforme</v>
      </c>
      <c r="G260" s="77" t="str">
        <f t="shared" si="42"/>
        <v>Acerto</v>
      </c>
      <c r="H260" s="77" t="str">
        <f t="shared" si="43"/>
        <v>VN</v>
      </c>
      <c r="I260" s="77" t="str">
        <f>IEEE!C59</f>
        <v>Inconforme</v>
      </c>
      <c r="J260" s="77" t="str">
        <f t="shared" si="44"/>
        <v>Acerto</v>
      </c>
      <c r="K260" s="77" t="str">
        <f t="shared" si="45"/>
        <v>VN</v>
      </c>
      <c r="L260" s="59"/>
      <c r="M260" s="59"/>
      <c r="N260" s="59"/>
      <c r="O260" s="59"/>
      <c r="P260" s="59"/>
      <c r="Q260" s="59"/>
      <c r="R260" s="59"/>
      <c r="S260" s="59"/>
      <c r="T260" s="59"/>
      <c r="U260" s="59"/>
      <c r="V260" s="59"/>
      <c r="W260" s="59"/>
      <c r="X260" s="59"/>
      <c r="Y260" s="59"/>
      <c r="Z260" s="59"/>
    </row>
    <row r="261">
      <c r="A261" s="78" t="s">
        <v>2605</v>
      </c>
      <c r="B261" s="79">
        <v>59.0</v>
      </c>
      <c r="C261" s="78" t="str">
        <f>IEEE!J60</f>
        <v>Innovative services and processes in university environment, processes of education supported by SMART technologies</v>
      </c>
      <c r="D261" s="78" t="str">
        <f>IEEE!F60</f>
        <v>Inconforme</v>
      </c>
      <c r="E261" s="78" t="str">
        <f t="shared" si="41"/>
        <v>Inconforme</v>
      </c>
      <c r="F261" s="79" t="str">
        <f>IEEE!A60</f>
        <v>Inconforme</v>
      </c>
      <c r="G261" s="79" t="str">
        <f t="shared" si="42"/>
        <v>Acerto</v>
      </c>
      <c r="H261" s="79" t="str">
        <f t="shared" si="43"/>
        <v>VN</v>
      </c>
      <c r="I261" s="79" t="str">
        <f>IEEE!C60</f>
        <v>Inconforme</v>
      </c>
      <c r="J261" s="79" t="str">
        <f t="shared" si="44"/>
        <v>Acerto</v>
      </c>
      <c r="K261" s="79" t="str">
        <f t="shared" si="45"/>
        <v>VN</v>
      </c>
      <c r="L261" s="59"/>
      <c r="M261" s="59"/>
      <c r="N261" s="59"/>
      <c r="O261" s="59"/>
      <c r="P261" s="59"/>
      <c r="Q261" s="59"/>
      <c r="R261" s="59"/>
      <c r="S261" s="59"/>
      <c r="T261" s="59"/>
      <c r="U261" s="59"/>
      <c r="V261" s="59"/>
      <c r="W261" s="59"/>
      <c r="X261" s="59"/>
      <c r="Y261" s="59"/>
      <c r="Z261" s="59"/>
    </row>
    <row r="262">
      <c r="A262" s="76" t="s">
        <v>2605</v>
      </c>
      <c r="B262" s="77">
        <v>60.0</v>
      </c>
      <c r="C262" s="76" t="str">
        <f>IEEE!J61</f>
        <v>The Impact of COVID-19 on Digital Enterprise Management</v>
      </c>
      <c r="D262" s="76" t="str">
        <f>IEEE!F61</f>
        <v>Conforme</v>
      </c>
      <c r="E262" s="76" t="str">
        <f t="shared" si="41"/>
        <v>Conforme</v>
      </c>
      <c r="F262" s="77" t="str">
        <f>IEEE!A61</f>
        <v>Conforme</v>
      </c>
      <c r="G262" s="77" t="str">
        <f t="shared" si="42"/>
        <v>Acerto</v>
      </c>
      <c r="H262" s="77" t="str">
        <f t="shared" si="43"/>
        <v>VP</v>
      </c>
      <c r="I262" s="77" t="str">
        <f>IEEE!C61</f>
        <v>Conforme</v>
      </c>
      <c r="J262" s="77" t="str">
        <f t="shared" si="44"/>
        <v>Acerto</v>
      </c>
      <c r="K262" s="77" t="str">
        <f t="shared" si="45"/>
        <v>VP</v>
      </c>
      <c r="L262" s="59"/>
      <c r="M262" s="59"/>
      <c r="N262" s="59"/>
      <c r="O262" s="59"/>
      <c r="P262" s="59"/>
      <c r="Q262" s="59"/>
      <c r="R262" s="59"/>
      <c r="S262" s="59"/>
      <c r="T262" s="59"/>
      <c r="U262" s="59"/>
      <c r="V262" s="59"/>
      <c r="W262" s="59"/>
      <c r="X262" s="59"/>
      <c r="Y262" s="59"/>
      <c r="Z262" s="59"/>
    </row>
    <row r="263">
      <c r="A263" s="78" t="s">
        <v>2605</v>
      </c>
      <c r="B263" s="79">
        <v>61.0</v>
      </c>
      <c r="C263" s="78" t="str">
        <f>IEEE!J62</f>
        <v>CPOT: Toolkit to Optimize Processes and Increase Efficiency</v>
      </c>
      <c r="D263" s="78" t="str">
        <f>IEEE!F62</f>
        <v>Inconforme</v>
      </c>
      <c r="E263" s="78" t="str">
        <f t="shared" si="41"/>
        <v>Inconforme</v>
      </c>
      <c r="F263" s="79" t="str">
        <f>IEEE!A62</f>
        <v>Inconforme</v>
      </c>
      <c r="G263" s="79" t="str">
        <f t="shared" si="42"/>
        <v>Acerto</v>
      </c>
      <c r="H263" s="79" t="str">
        <f t="shared" si="43"/>
        <v>VN</v>
      </c>
      <c r="I263" s="79" t="str">
        <f>IEEE!C62</f>
        <v>Inconforme</v>
      </c>
      <c r="J263" s="79" t="str">
        <f t="shared" si="44"/>
        <v>Acerto</v>
      </c>
      <c r="K263" s="79" t="str">
        <f t="shared" si="45"/>
        <v>VN</v>
      </c>
      <c r="L263" s="59"/>
      <c r="M263" s="59"/>
      <c r="N263" s="59"/>
      <c r="O263" s="59"/>
      <c r="P263" s="59"/>
      <c r="Q263" s="59"/>
      <c r="R263" s="59"/>
      <c r="S263" s="59"/>
      <c r="T263" s="59"/>
      <c r="U263" s="59"/>
      <c r="V263" s="59"/>
      <c r="W263" s="59"/>
      <c r="X263" s="59"/>
      <c r="Y263" s="59"/>
      <c r="Z263" s="59"/>
    </row>
    <row r="264">
      <c r="A264" s="76" t="s">
        <v>2605</v>
      </c>
      <c r="B264" s="77">
        <v>62.0</v>
      </c>
      <c r="C264" s="76" t="str">
        <f>IEEE!J63</f>
        <v>A Maturity Model Proposal with Readiness Level Assessment for Organizational Processes Improvement</v>
      </c>
      <c r="D264" s="76" t="str">
        <f>IEEE!F63</f>
        <v>Inconforme</v>
      </c>
      <c r="E264" s="76" t="str">
        <f t="shared" si="41"/>
        <v>Inconforme</v>
      </c>
      <c r="F264" s="77" t="str">
        <f>IEEE!A63</f>
        <v>Inconforme</v>
      </c>
      <c r="G264" s="77" t="str">
        <f t="shared" si="42"/>
        <v>Acerto</v>
      </c>
      <c r="H264" s="77" t="str">
        <f t="shared" si="43"/>
        <v>VN</v>
      </c>
      <c r="I264" s="77" t="str">
        <f>IEEE!C63</f>
        <v>Inconforme</v>
      </c>
      <c r="J264" s="77" t="str">
        <f t="shared" si="44"/>
        <v>Acerto</v>
      </c>
      <c r="K264" s="77" t="str">
        <f t="shared" si="45"/>
        <v>VN</v>
      </c>
      <c r="L264" s="59"/>
      <c r="M264" s="59"/>
      <c r="N264" s="59"/>
      <c r="O264" s="59"/>
      <c r="P264" s="59"/>
      <c r="Q264" s="59"/>
      <c r="R264" s="59"/>
      <c r="S264" s="59"/>
      <c r="T264" s="59"/>
      <c r="U264" s="59"/>
      <c r="V264" s="59"/>
      <c r="W264" s="59"/>
      <c r="X264" s="59"/>
      <c r="Y264" s="59"/>
      <c r="Z264" s="59"/>
    </row>
    <row r="265">
      <c r="A265" s="78" t="s">
        <v>2605</v>
      </c>
      <c r="B265" s="79">
        <v>63.0</v>
      </c>
      <c r="C265" s="78" t="str">
        <f>IEEE!J64</f>
        <v>Digital Twin for Automated Industrial Optimization: Intelligent Machine Selection via Process Modelling</v>
      </c>
      <c r="D265" s="78" t="str">
        <f>IEEE!F64</f>
        <v>Inconforme</v>
      </c>
      <c r="E265" s="78" t="str">
        <f t="shared" si="41"/>
        <v>Inconforme</v>
      </c>
      <c r="F265" s="79" t="str">
        <f>IEEE!A64</f>
        <v>Inconforme</v>
      </c>
      <c r="G265" s="79" t="str">
        <f t="shared" si="42"/>
        <v>Acerto</v>
      </c>
      <c r="H265" s="79" t="str">
        <f t="shared" si="43"/>
        <v>VN</v>
      </c>
      <c r="I265" s="79" t="str">
        <f>IEEE!C64</f>
        <v>Inconforme</v>
      </c>
      <c r="J265" s="79" t="str">
        <f t="shared" si="44"/>
        <v>Acerto</v>
      </c>
      <c r="K265" s="79" t="str">
        <f t="shared" si="45"/>
        <v>VN</v>
      </c>
      <c r="L265" s="59"/>
      <c r="M265" s="59"/>
      <c r="N265" s="59"/>
      <c r="O265" s="59"/>
      <c r="P265" s="59"/>
      <c r="Q265" s="59"/>
      <c r="R265" s="59"/>
      <c r="S265" s="59"/>
      <c r="T265" s="59"/>
      <c r="U265" s="59"/>
      <c r="V265" s="59"/>
      <c r="W265" s="59"/>
      <c r="X265" s="59"/>
      <c r="Y265" s="59"/>
      <c r="Z265" s="59"/>
    </row>
    <row r="266">
      <c r="A266" s="76" t="s">
        <v>2605</v>
      </c>
      <c r="B266" s="77">
        <v>64.0</v>
      </c>
      <c r="C266" s="76" t="str">
        <f>IEEE!J65</f>
        <v>Mathematical Justification for the Development of a Web Platform for Beauty Salon Operations</v>
      </c>
      <c r="D266" s="76" t="str">
        <f>IEEE!F65</f>
        <v>Inconforme</v>
      </c>
      <c r="E266" s="76" t="str">
        <f t="shared" si="41"/>
        <v>Inconforme</v>
      </c>
      <c r="F266" s="77" t="str">
        <f>IEEE!A65</f>
        <v>Inconforme</v>
      </c>
      <c r="G266" s="77" t="str">
        <f t="shared" si="42"/>
        <v>Acerto</v>
      </c>
      <c r="H266" s="77" t="str">
        <f t="shared" si="43"/>
        <v>VN</v>
      </c>
      <c r="I266" s="77" t="str">
        <f>IEEE!C65</f>
        <v>Inconforme</v>
      </c>
      <c r="J266" s="77" t="str">
        <f t="shared" si="44"/>
        <v>Acerto</v>
      </c>
      <c r="K266" s="77" t="str">
        <f t="shared" si="45"/>
        <v>VN</v>
      </c>
      <c r="L266" s="59"/>
      <c r="M266" s="59"/>
      <c r="N266" s="59"/>
      <c r="O266" s="59"/>
      <c r="P266" s="59"/>
      <c r="Q266" s="59"/>
      <c r="R266" s="59"/>
      <c r="S266" s="59"/>
      <c r="T266" s="59"/>
      <c r="U266" s="59"/>
      <c r="V266" s="59"/>
      <c r="W266" s="59"/>
      <c r="X266" s="59"/>
      <c r="Y266" s="59"/>
      <c r="Z266" s="59"/>
    </row>
    <row r="267">
      <c r="A267" s="78" t="s">
        <v>2605</v>
      </c>
      <c r="B267" s="79">
        <v>65.0</v>
      </c>
      <c r="C267" s="78" t="str">
        <f>IEEE!J66</f>
        <v>Trust Mining: Analyzing Trust in Collaborative Business Processes</v>
      </c>
      <c r="D267" s="78" t="str">
        <f>IEEE!F66</f>
        <v>Conforme</v>
      </c>
      <c r="E267" s="78" t="str">
        <f t="shared" si="41"/>
        <v>Conforme</v>
      </c>
      <c r="F267" s="79" t="str">
        <f>IEEE!A66</f>
        <v>Inconforme</v>
      </c>
      <c r="G267" s="79" t="str">
        <f t="shared" si="42"/>
        <v>Divergência</v>
      </c>
      <c r="H267" s="79" t="str">
        <f t="shared" si="43"/>
        <v>FN</v>
      </c>
      <c r="I267" s="79" t="str">
        <f>IEEE!C66</f>
        <v>Inconforme</v>
      </c>
      <c r="J267" s="79" t="str">
        <f t="shared" si="44"/>
        <v>Divergência</v>
      </c>
      <c r="K267" s="79" t="str">
        <f t="shared" si="45"/>
        <v>FN</v>
      </c>
      <c r="L267" s="59"/>
      <c r="M267" s="59"/>
      <c r="N267" s="59"/>
      <c r="O267" s="59"/>
      <c r="P267" s="59"/>
      <c r="Q267" s="59"/>
      <c r="R267" s="59"/>
      <c r="S267" s="59"/>
      <c r="T267" s="59"/>
      <c r="U267" s="59"/>
      <c r="V267" s="59"/>
      <c r="W267" s="59"/>
      <c r="X267" s="59"/>
      <c r="Y267" s="59"/>
      <c r="Z267" s="59"/>
    </row>
    <row r="268">
      <c r="A268" s="76" t="s">
        <v>2605</v>
      </c>
      <c r="B268" s="77">
        <v>66.0</v>
      </c>
      <c r="C268" s="76" t="str">
        <f>IEEE!J67</f>
        <v>Using Fractal Enterprise Model in Technology-Driven Organisational Change Projects: A Case of a Water Utility Company</v>
      </c>
      <c r="D268" s="76" t="str">
        <f>IEEE!F67</f>
        <v>Inconforme</v>
      </c>
      <c r="E268" s="76" t="str">
        <f t="shared" si="41"/>
        <v>Inconforme</v>
      </c>
      <c r="F268" s="77" t="str">
        <f>IEEE!A67</f>
        <v>Conforme</v>
      </c>
      <c r="G268" s="77" t="str">
        <f t="shared" si="42"/>
        <v>Divergência</v>
      </c>
      <c r="H268" s="77" t="str">
        <f t="shared" si="43"/>
        <v>FP</v>
      </c>
      <c r="I268" s="77" t="str">
        <f>IEEE!C67</f>
        <v>Inconforme</v>
      </c>
      <c r="J268" s="77" t="str">
        <f t="shared" si="44"/>
        <v>Acerto</v>
      </c>
      <c r="K268" s="77" t="str">
        <f t="shared" si="45"/>
        <v>VN</v>
      </c>
      <c r="L268" s="59"/>
      <c r="M268" s="59"/>
      <c r="N268" s="59"/>
      <c r="O268" s="59"/>
      <c r="P268" s="59"/>
      <c r="Q268" s="59"/>
      <c r="R268" s="59"/>
      <c r="S268" s="59"/>
      <c r="T268" s="59"/>
      <c r="U268" s="59"/>
      <c r="V268" s="59"/>
      <c r="W268" s="59"/>
      <c r="X268" s="59"/>
      <c r="Y268" s="59"/>
      <c r="Z268" s="59"/>
    </row>
    <row r="269">
      <c r="A269" s="78" t="s">
        <v>2605</v>
      </c>
      <c r="B269" s="79">
        <v>67.0</v>
      </c>
      <c r="C269" s="78" t="str">
        <f>IEEE!J68</f>
        <v>Improving Organisational Interoperability for e-Governance: A Semantic Model</v>
      </c>
      <c r="D269" s="78" t="str">
        <f>IEEE!F68</f>
        <v>Inconforme</v>
      </c>
      <c r="E269" s="78" t="str">
        <f t="shared" si="41"/>
        <v>Inconforme</v>
      </c>
      <c r="F269" s="79" t="str">
        <f>IEEE!A68</f>
        <v>Inconforme</v>
      </c>
      <c r="G269" s="79" t="str">
        <f t="shared" si="42"/>
        <v>Acerto</v>
      </c>
      <c r="H269" s="79" t="str">
        <f t="shared" si="43"/>
        <v>VN</v>
      </c>
      <c r="I269" s="79" t="str">
        <f>IEEE!C68</f>
        <v>Inconforme</v>
      </c>
      <c r="J269" s="79" t="str">
        <f t="shared" si="44"/>
        <v>Acerto</v>
      </c>
      <c r="K269" s="79" t="str">
        <f t="shared" si="45"/>
        <v>VN</v>
      </c>
      <c r="L269" s="59"/>
      <c r="M269" s="59"/>
      <c r="N269" s="59"/>
      <c r="O269" s="59"/>
      <c r="P269" s="59"/>
      <c r="Q269" s="59"/>
      <c r="R269" s="59"/>
      <c r="S269" s="59"/>
      <c r="T269" s="59"/>
      <c r="U269" s="59"/>
      <c r="V269" s="59"/>
      <c r="W269" s="59"/>
      <c r="X269" s="59"/>
      <c r="Y269" s="59"/>
      <c r="Z269" s="59"/>
    </row>
    <row r="270">
      <c r="A270" s="76" t="s">
        <v>2605</v>
      </c>
      <c r="B270" s="77">
        <v>68.0</v>
      </c>
      <c r="C270" s="76" t="str">
        <f>IEEE!J69</f>
        <v>Designing a Process-Oriented Digital Twin for Industrial Testing Laboratories</v>
      </c>
      <c r="D270" s="76" t="str">
        <f>IEEE!F69</f>
        <v>Inconforme</v>
      </c>
      <c r="E270" s="76" t="str">
        <f t="shared" si="41"/>
        <v>Inconforme</v>
      </c>
      <c r="F270" s="77" t="str">
        <f>IEEE!A69</f>
        <v>Inconforme</v>
      </c>
      <c r="G270" s="77" t="str">
        <f t="shared" si="42"/>
        <v>Acerto</v>
      </c>
      <c r="H270" s="77" t="str">
        <f t="shared" si="43"/>
        <v>VN</v>
      </c>
      <c r="I270" s="77" t="str">
        <f>IEEE!C69</f>
        <v>Inconforme</v>
      </c>
      <c r="J270" s="77" t="str">
        <f t="shared" si="44"/>
        <v>Acerto</v>
      </c>
      <c r="K270" s="77" t="str">
        <f t="shared" si="45"/>
        <v>VN</v>
      </c>
      <c r="L270" s="59"/>
      <c r="M270" s="59"/>
      <c r="N270" s="59"/>
      <c r="O270" s="59"/>
      <c r="P270" s="59"/>
      <c r="Q270" s="59"/>
      <c r="R270" s="59"/>
      <c r="S270" s="59"/>
      <c r="T270" s="59"/>
      <c r="U270" s="59"/>
      <c r="V270" s="59"/>
      <c r="W270" s="59"/>
      <c r="X270" s="59"/>
      <c r="Y270" s="59"/>
      <c r="Z270" s="59"/>
    </row>
    <row r="271">
      <c r="A271" s="78" t="s">
        <v>2605</v>
      </c>
      <c r="B271" s="79">
        <v>69.0</v>
      </c>
      <c r="C271" s="78" t="str">
        <f>IEEE!J70</f>
        <v>Optimizing Pega Healthcare Solutions with Hyperscalers: A Scalable Cloud-First Approach to Digital Transformation</v>
      </c>
      <c r="D271" s="78" t="str">
        <f>IEEE!F70</f>
        <v>Inconforme</v>
      </c>
      <c r="E271" s="78" t="str">
        <f t="shared" si="41"/>
        <v>Inconforme</v>
      </c>
      <c r="F271" s="79" t="str">
        <f>IEEE!A70</f>
        <v>Inconforme</v>
      </c>
      <c r="G271" s="79" t="str">
        <f t="shared" si="42"/>
        <v>Acerto</v>
      </c>
      <c r="H271" s="79" t="str">
        <f t="shared" si="43"/>
        <v>VN</v>
      </c>
      <c r="I271" s="79" t="str">
        <f>IEEE!C70</f>
        <v>Inconforme</v>
      </c>
      <c r="J271" s="79" t="str">
        <f t="shared" si="44"/>
        <v>Acerto</v>
      </c>
      <c r="K271" s="79" t="str">
        <f t="shared" si="45"/>
        <v>VN</v>
      </c>
      <c r="L271" s="59"/>
      <c r="M271" s="59"/>
      <c r="N271" s="59"/>
      <c r="O271" s="59"/>
      <c r="P271" s="59"/>
      <c r="Q271" s="59"/>
      <c r="R271" s="59"/>
      <c r="S271" s="59"/>
      <c r="T271" s="59"/>
      <c r="U271" s="59"/>
      <c r="V271" s="59"/>
      <c r="W271" s="59"/>
      <c r="X271" s="59"/>
      <c r="Y271" s="59"/>
      <c r="Z271" s="59"/>
    </row>
    <row r="272">
      <c r="A272" s="76" t="s">
        <v>2605</v>
      </c>
      <c r="B272" s="77">
        <v>70.0</v>
      </c>
      <c r="C272" s="76" t="str">
        <f>IEEE!J71</f>
        <v>Challenges and Strategies for Interoperability as a Basis for Sustainable Health Policies: A Systematic Review</v>
      </c>
      <c r="D272" s="76" t="str">
        <f>IEEE!F71</f>
        <v>Inconforme</v>
      </c>
      <c r="E272" s="76" t="str">
        <f t="shared" si="41"/>
        <v>Inconforme</v>
      </c>
      <c r="F272" s="77" t="str">
        <f>IEEE!A71</f>
        <v>Inconforme</v>
      </c>
      <c r="G272" s="77" t="str">
        <f t="shared" si="42"/>
        <v>Acerto</v>
      </c>
      <c r="H272" s="77" t="str">
        <f t="shared" si="43"/>
        <v>VN</v>
      </c>
      <c r="I272" s="77" t="str">
        <f>IEEE!C71</f>
        <v>Inconforme</v>
      </c>
      <c r="J272" s="77" t="str">
        <f t="shared" si="44"/>
        <v>Acerto</v>
      </c>
      <c r="K272" s="77" t="str">
        <f t="shared" si="45"/>
        <v>VN</v>
      </c>
      <c r="L272" s="59"/>
      <c r="M272" s="59"/>
      <c r="N272" s="59"/>
      <c r="O272" s="59"/>
      <c r="P272" s="59"/>
      <c r="Q272" s="59"/>
      <c r="R272" s="59"/>
      <c r="S272" s="59"/>
      <c r="T272" s="59"/>
      <c r="U272" s="59"/>
      <c r="V272" s="59"/>
      <c r="W272" s="59"/>
      <c r="X272" s="59"/>
      <c r="Y272" s="59"/>
      <c r="Z272" s="59"/>
    </row>
    <row r="273">
      <c r="A273" s="78" t="s">
        <v>2605</v>
      </c>
      <c r="B273" s="79">
        <v>71.0</v>
      </c>
      <c r="C273" s="78" t="str">
        <f>IEEE!J72</f>
        <v>Optimizing Press Release Distribution: A Phased Automation Approach Using GQM for Enhanced Efficiency and Scalability in Dubai</v>
      </c>
      <c r="D273" s="78" t="str">
        <f>IEEE!F72</f>
        <v>Inconforme</v>
      </c>
      <c r="E273" s="78" t="str">
        <f t="shared" si="41"/>
        <v>Inconforme</v>
      </c>
      <c r="F273" s="79" t="str">
        <f>IEEE!A72</f>
        <v>Inconforme</v>
      </c>
      <c r="G273" s="79" t="str">
        <f t="shared" si="42"/>
        <v>Acerto</v>
      </c>
      <c r="H273" s="79" t="str">
        <f t="shared" si="43"/>
        <v>VN</v>
      </c>
      <c r="I273" s="79" t="str">
        <f>IEEE!C72</f>
        <v>Inconforme</v>
      </c>
      <c r="J273" s="79" t="str">
        <f t="shared" si="44"/>
        <v>Acerto</v>
      </c>
      <c r="K273" s="79" t="str">
        <f t="shared" si="45"/>
        <v>VN</v>
      </c>
      <c r="L273" s="59"/>
      <c r="M273" s="59"/>
      <c r="N273" s="59"/>
      <c r="O273" s="59"/>
      <c r="P273" s="59"/>
      <c r="Q273" s="59"/>
      <c r="R273" s="59"/>
      <c r="S273" s="59"/>
      <c r="T273" s="59"/>
      <c r="U273" s="59"/>
      <c r="V273" s="59"/>
      <c r="W273" s="59"/>
      <c r="X273" s="59"/>
      <c r="Y273" s="59"/>
      <c r="Z273" s="59"/>
    </row>
    <row r="274">
      <c r="A274" s="76" t="s">
        <v>2605</v>
      </c>
      <c r="B274" s="77">
        <v>72.0</v>
      </c>
      <c r="C274" s="76" t="str">
        <f>IEEE!J73</f>
        <v>Process Management in Healthcare: Bibliometric Study</v>
      </c>
      <c r="D274" s="76" t="str">
        <f>IEEE!F73</f>
        <v>Inconforme</v>
      </c>
      <c r="E274" s="76" t="str">
        <f t="shared" si="41"/>
        <v>Inconforme</v>
      </c>
      <c r="F274" s="77" t="str">
        <f>IEEE!A73</f>
        <v>Inconforme</v>
      </c>
      <c r="G274" s="77" t="str">
        <f t="shared" si="42"/>
        <v>Acerto</v>
      </c>
      <c r="H274" s="77" t="str">
        <f t="shared" si="43"/>
        <v>VN</v>
      </c>
      <c r="I274" s="77" t="str">
        <f>IEEE!C73</f>
        <v>Inconforme</v>
      </c>
      <c r="J274" s="77" t="str">
        <f t="shared" si="44"/>
        <v>Acerto</v>
      </c>
      <c r="K274" s="77" t="str">
        <f t="shared" si="45"/>
        <v>VN</v>
      </c>
      <c r="L274" s="59"/>
      <c r="M274" s="59"/>
      <c r="N274" s="59"/>
      <c r="O274" s="59"/>
      <c r="P274" s="59"/>
      <c r="Q274" s="59"/>
      <c r="R274" s="59"/>
      <c r="S274" s="59"/>
      <c r="T274" s="59"/>
      <c r="U274" s="59"/>
      <c r="V274" s="59"/>
      <c r="W274" s="59"/>
      <c r="X274" s="59"/>
      <c r="Y274" s="59"/>
      <c r="Z274" s="59"/>
    </row>
    <row r="275">
      <c r="A275" s="78" t="s">
        <v>2605</v>
      </c>
      <c r="B275" s="79">
        <v>73.0</v>
      </c>
      <c r="C275" s="78" t="str">
        <f>IEEE!J74</f>
        <v>How Does Value Cocreation Within Digital Platform Affect the Business Processes Digitization of Participating Enterprises? The Chained Mediating Role of Resource Patchwork and Digital Platform Capability</v>
      </c>
      <c r="D275" s="78" t="str">
        <f>IEEE!F74</f>
        <v>Inconforme</v>
      </c>
      <c r="E275" s="78" t="str">
        <f t="shared" si="41"/>
        <v>Inconforme</v>
      </c>
      <c r="F275" s="79" t="str">
        <f>IEEE!A74</f>
        <v>Inconforme</v>
      </c>
      <c r="G275" s="79" t="str">
        <f t="shared" si="42"/>
        <v>Acerto</v>
      </c>
      <c r="H275" s="79" t="str">
        <f t="shared" si="43"/>
        <v>VN</v>
      </c>
      <c r="I275" s="79" t="str">
        <f>IEEE!C74</f>
        <v>Inconforme</v>
      </c>
      <c r="J275" s="79" t="str">
        <f t="shared" si="44"/>
        <v>Acerto</v>
      </c>
      <c r="K275" s="79" t="str">
        <f t="shared" si="45"/>
        <v>VN</v>
      </c>
      <c r="L275" s="59"/>
      <c r="M275" s="59"/>
      <c r="N275" s="59"/>
      <c r="O275" s="59"/>
      <c r="P275" s="59"/>
      <c r="Q275" s="59"/>
      <c r="R275" s="59"/>
      <c r="S275" s="59"/>
      <c r="T275" s="59"/>
      <c r="U275" s="59"/>
      <c r="V275" s="59"/>
      <c r="W275" s="59"/>
      <c r="X275" s="59"/>
      <c r="Y275" s="59"/>
      <c r="Z275" s="59"/>
    </row>
    <row r="276">
      <c r="A276" s="76" t="s">
        <v>2605</v>
      </c>
      <c r="B276" s="77">
        <v>74.0</v>
      </c>
      <c r="C276" s="76" t="str">
        <f>IEEE!J75</f>
        <v>Time-driven Activity-based Costing Using Process Data Mining</v>
      </c>
      <c r="D276" s="76" t="str">
        <f>IEEE!F75</f>
        <v>Inconforme</v>
      </c>
      <c r="E276" s="76" t="str">
        <f t="shared" si="41"/>
        <v>Inconforme</v>
      </c>
      <c r="F276" s="77" t="str">
        <f>IEEE!A75</f>
        <v>Inconforme</v>
      </c>
      <c r="G276" s="77" t="str">
        <f t="shared" si="42"/>
        <v>Acerto</v>
      </c>
      <c r="H276" s="77" t="str">
        <f t="shared" si="43"/>
        <v>VN</v>
      </c>
      <c r="I276" s="77" t="str">
        <f>IEEE!C75</f>
        <v>Inconforme</v>
      </c>
      <c r="J276" s="77" t="str">
        <f t="shared" si="44"/>
        <v>Acerto</v>
      </c>
      <c r="K276" s="77" t="str">
        <f t="shared" si="45"/>
        <v>VN</v>
      </c>
      <c r="L276" s="59"/>
      <c r="M276" s="59"/>
      <c r="N276" s="59"/>
      <c r="O276" s="59"/>
      <c r="P276" s="59"/>
      <c r="Q276" s="59"/>
      <c r="R276" s="59"/>
      <c r="S276" s="59"/>
      <c r="T276" s="59"/>
      <c r="U276" s="59"/>
      <c r="V276" s="59"/>
      <c r="W276" s="59"/>
      <c r="X276" s="59"/>
      <c r="Y276" s="59"/>
      <c r="Z276" s="59"/>
    </row>
    <row r="277">
      <c r="A277" s="78" t="s">
        <v>2605</v>
      </c>
      <c r="B277" s="79">
        <v>75.0</v>
      </c>
      <c r="C277" s="78" t="str">
        <f>IEEE!J76</f>
        <v>Conceptualization and Configuration of a Generic SCM 4.0 Business Process Model Using BPMN Based on SCOR</v>
      </c>
      <c r="D277" s="78" t="str">
        <f>IEEE!F76</f>
        <v>Conforme</v>
      </c>
      <c r="E277" s="78" t="str">
        <f t="shared" si="41"/>
        <v>Conforme</v>
      </c>
      <c r="F277" s="79" t="str">
        <f>IEEE!A76</f>
        <v>Inconforme</v>
      </c>
      <c r="G277" s="79" t="str">
        <f t="shared" si="42"/>
        <v>Divergência</v>
      </c>
      <c r="H277" s="79" t="str">
        <f t="shared" si="43"/>
        <v>FN</v>
      </c>
      <c r="I277" s="79" t="str">
        <f>IEEE!C76</f>
        <v>Inconforme</v>
      </c>
      <c r="J277" s="79" t="str">
        <f t="shared" si="44"/>
        <v>Divergência</v>
      </c>
      <c r="K277" s="79" t="str">
        <f t="shared" si="45"/>
        <v>FN</v>
      </c>
      <c r="L277" s="59"/>
      <c r="M277" s="59"/>
      <c r="N277" s="59"/>
      <c r="O277" s="59"/>
      <c r="P277" s="59"/>
      <c r="Q277" s="59"/>
      <c r="R277" s="59"/>
      <c r="S277" s="59"/>
      <c r="T277" s="59"/>
      <c r="U277" s="59"/>
      <c r="V277" s="59"/>
      <c r="W277" s="59"/>
      <c r="X277" s="59"/>
      <c r="Y277" s="59"/>
      <c r="Z277" s="59"/>
    </row>
    <row r="278">
      <c r="A278" s="76" t="s">
        <v>2605</v>
      </c>
      <c r="B278" s="77">
        <v>76.0</v>
      </c>
      <c r="C278" s="76" t="str">
        <f>IEEE!J77</f>
        <v>Structured Extraction and BPMN Generation From Chinese Procedural Texts via Hybrid Attention-Based Domain Language Models</v>
      </c>
      <c r="D278" s="76" t="str">
        <f>IEEE!F77</f>
        <v>Conforme</v>
      </c>
      <c r="E278" s="76" t="str">
        <f t="shared" si="41"/>
        <v>Conforme</v>
      </c>
      <c r="F278" s="77" t="str">
        <f>IEEE!A77</f>
        <v>Inconforme</v>
      </c>
      <c r="G278" s="77" t="str">
        <f t="shared" si="42"/>
        <v>Divergência</v>
      </c>
      <c r="H278" s="77" t="str">
        <f t="shared" si="43"/>
        <v>FN</v>
      </c>
      <c r="I278" s="77" t="str">
        <f>IEEE!C77</f>
        <v>Conforme</v>
      </c>
      <c r="J278" s="77" t="str">
        <f t="shared" si="44"/>
        <v>Acerto</v>
      </c>
      <c r="K278" s="77" t="str">
        <f t="shared" si="45"/>
        <v>VP</v>
      </c>
      <c r="L278" s="59"/>
      <c r="M278" s="59"/>
      <c r="N278" s="59"/>
      <c r="O278" s="59"/>
      <c r="P278" s="59"/>
      <c r="Q278" s="59"/>
      <c r="R278" s="59"/>
      <c r="S278" s="59"/>
      <c r="T278" s="59"/>
      <c r="U278" s="59"/>
      <c r="V278" s="59"/>
      <c r="W278" s="59"/>
      <c r="X278" s="59"/>
      <c r="Y278" s="59"/>
      <c r="Z278" s="59"/>
    </row>
    <row r="279">
      <c r="A279" s="78" t="s">
        <v>2605</v>
      </c>
      <c r="B279" s="79">
        <v>77.0</v>
      </c>
      <c r="C279" s="78" t="str">
        <f>IEEE!J78</f>
        <v>Improvement and Implementation of Sustainable Key Performance Indicators in Supply Chain Management: The Case of a Furniture Firm</v>
      </c>
      <c r="D279" s="78" t="str">
        <f>IEEE!F78</f>
        <v>Inconforme</v>
      </c>
      <c r="E279" s="78" t="str">
        <f t="shared" si="41"/>
        <v>Inconforme</v>
      </c>
      <c r="F279" s="79" t="str">
        <f>IEEE!A78</f>
        <v>Inconforme</v>
      </c>
      <c r="G279" s="79" t="str">
        <f t="shared" si="42"/>
        <v>Acerto</v>
      </c>
      <c r="H279" s="79" t="str">
        <f t="shared" si="43"/>
        <v>VN</v>
      </c>
      <c r="I279" s="79" t="str">
        <f>IEEE!C78</f>
        <v>Inconforme</v>
      </c>
      <c r="J279" s="79" t="str">
        <f t="shared" si="44"/>
        <v>Acerto</v>
      </c>
      <c r="K279" s="79" t="str">
        <f t="shared" si="45"/>
        <v>VN</v>
      </c>
      <c r="L279" s="59"/>
      <c r="M279" s="59"/>
      <c r="N279" s="59"/>
      <c r="O279" s="59"/>
      <c r="P279" s="59"/>
      <c r="Q279" s="59"/>
      <c r="R279" s="59"/>
      <c r="S279" s="59"/>
      <c r="T279" s="59"/>
      <c r="U279" s="59"/>
      <c r="V279" s="59"/>
      <c r="W279" s="59"/>
      <c r="X279" s="59"/>
      <c r="Y279" s="59"/>
      <c r="Z279" s="59"/>
    </row>
    <row r="280">
      <c r="A280" s="76" t="s">
        <v>2606</v>
      </c>
      <c r="B280" s="77">
        <v>1.0</v>
      </c>
      <c r="C280" s="76" t="str">
        <f>SD!J2</f>
        <v>A comparative study on the crack development in rock-like specimens containing unfilled and filled flaws</v>
      </c>
      <c r="D280" s="76" t="str">
        <f>SD!F2</f>
        <v>Inconforme</v>
      </c>
      <c r="E280" s="76" t="str">
        <f t="shared" si="41"/>
        <v>Inconforme</v>
      </c>
      <c r="F280" s="77" t="str">
        <f>SD!A2</f>
        <v>Inconforme</v>
      </c>
      <c r="G280" s="77" t="str">
        <f t="shared" si="42"/>
        <v>Acerto</v>
      </c>
      <c r="H280" s="77" t="str">
        <f t="shared" si="43"/>
        <v>VN</v>
      </c>
      <c r="I280" s="77" t="str">
        <f>SD!C2</f>
        <v>Inconforme</v>
      </c>
      <c r="J280" s="77" t="str">
        <f t="shared" si="44"/>
        <v>Acerto</v>
      </c>
      <c r="K280" s="77" t="str">
        <f t="shared" si="45"/>
        <v>VN</v>
      </c>
      <c r="L280" s="59"/>
      <c r="M280" s="59"/>
      <c r="N280" s="59"/>
      <c r="O280" s="59"/>
      <c r="P280" s="59"/>
      <c r="Q280" s="59"/>
      <c r="R280" s="59"/>
      <c r="S280" s="59"/>
      <c r="T280" s="59"/>
      <c r="U280" s="59"/>
      <c r="V280" s="59"/>
      <c r="W280" s="59"/>
      <c r="X280" s="59"/>
      <c r="Y280" s="59"/>
      <c r="Z280" s="59"/>
    </row>
    <row r="281">
      <c r="A281" s="78" t="s">
        <v>2606</v>
      </c>
      <c r="B281" s="79">
        <v>2.0</v>
      </c>
      <c r="C281" s="78" t="str">
        <f>SD!J3</f>
        <v>A knowledge-intensive adaptive business process management framework</v>
      </c>
      <c r="D281" s="78" t="str">
        <f>SD!F3</f>
        <v>Conforme</v>
      </c>
      <c r="E281" s="78" t="str">
        <f t="shared" si="41"/>
        <v>Conforme</v>
      </c>
      <c r="F281" s="79" t="str">
        <f>SD!A3</f>
        <v>Conforme</v>
      </c>
      <c r="G281" s="79" t="str">
        <f t="shared" si="42"/>
        <v>Acerto</v>
      </c>
      <c r="H281" s="79" t="str">
        <f t="shared" si="43"/>
        <v>VP</v>
      </c>
      <c r="I281" s="79" t="str">
        <f>SD!C3</f>
        <v>Conforme</v>
      </c>
      <c r="J281" s="79" t="str">
        <f t="shared" si="44"/>
        <v>Acerto</v>
      </c>
      <c r="K281" s="79" t="str">
        <f t="shared" si="45"/>
        <v>VP</v>
      </c>
      <c r="L281" s="59"/>
      <c r="M281" s="59"/>
      <c r="N281" s="59"/>
      <c r="O281" s="59"/>
      <c r="P281" s="59"/>
      <c r="Q281" s="59"/>
      <c r="R281" s="59"/>
      <c r="S281" s="59"/>
      <c r="T281" s="59"/>
      <c r="U281" s="59"/>
      <c r="V281" s="59"/>
      <c r="W281" s="59"/>
      <c r="X281" s="59"/>
      <c r="Y281" s="59"/>
      <c r="Z281" s="59"/>
    </row>
    <row r="282">
      <c r="A282" s="76" t="s">
        <v>2606</v>
      </c>
      <c r="B282" s="77">
        <v>3.0</v>
      </c>
      <c r="C282" s="76" t="str">
        <f>SD!J4</f>
        <v>A methodology for compliance of AI systems</v>
      </c>
      <c r="D282" s="76" t="str">
        <f>SD!F4</f>
        <v>Inconforme</v>
      </c>
      <c r="E282" s="76" t="str">
        <f t="shared" si="41"/>
        <v>Inconforme</v>
      </c>
      <c r="F282" s="77" t="str">
        <f>SD!A4</f>
        <v>Inconforme</v>
      </c>
      <c r="G282" s="77" t="str">
        <f t="shared" si="42"/>
        <v>Acerto</v>
      </c>
      <c r="H282" s="77" t="str">
        <f t="shared" si="43"/>
        <v>VN</v>
      </c>
      <c r="I282" s="77" t="str">
        <f>SD!C4</f>
        <v>Inconforme</v>
      </c>
      <c r="J282" s="77" t="str">
        <f t="shared" si="44"/>
        <v>Acerto</v>
      </c>
      <c r="K282" s="77" t="str">
        <f t="shared" si="45"/>
        <v>VN</v>
      </c>
      <c r="L282" s="59"/>
      <c r="M282" s="59"/>
      <c r="N282" s="59"/>
      <c r="O282" s="59"/>
      <c r="P282" s="59"/>
      <c r="Q282" s="59"/>
      <c r="R282" s="59"/>
      <c r="S282" s="59"/>
      <c r="T282" s="59"/>
      <c r="U282" s="59"/>
      <c r="V282" s="59"/>
      <c r="W282" s="59"/>
      <c r="X282" s="59"/>
      <c r="Y282" s="59"/>
      <c r="Z282" s="59"/>
    </row>
    <row r="283">
      <c r="A283" s="78" t="s">
        <v>2606</v>
      </c>
      <c r="B283" s="79">
        <v>4.0</v>
      </c>
      <c r="C283" s="78" t="str">
        <f>SD!J5</f>
        <v>A multidimensional approach to the resource allocation problem (RAP) through the prism of industrial information integration (III)</v>
      </c>
      <c r="D283" s="78" t="str">
        <f>SD!F5</f>
        <v>Conforme</v>
      </c>
      <c r="E283" s="78" t="str">
        <f t="shared" si="41"/>
        <v>Conforme</v>
      </c>
      <c r="F283" s="79" t="str">
        <f>SD!A5</f>
        <v>Conforme</v>
      </c>
      <c r="G283" s="79" t="str">
        <f t="shared" si="42"/>
        <v>Acerto</v>
      </c>
      <c r="H283" s="79" t="str">
        <f t="shared" si="43"/>
        <v>VP</v>
      </c>
      <c r="I283" s="79" t="str">
        <f>SD!C5</f>
        <v>Conforme</v>
      </c>
      <c r="J283" s="79" t="str">
        <f t="shared" si="44"/>
        <v>Acerto</v>
      </c>
      <c r="K283" s="79" t="str">
        <f t="shared" si="45"/>
        <v>VP</v>
      </c>
      <c r="L283" s="59"/>
      <c r="M283" s="59"/>
      <c r="N283" s="59"/>
      <c r="O283" s="59"/>
      <c r="P283" s="59"/>
      <c r="Q283" s="59"/>
      <c r="R283" s="59"/>
      <c r="S283" s="59"/>
      <c r="T283" s="59"/>
      <c r="U283" s="59"/>
      <c r="V283" s="59"/>
      <c r="W283" s="59"/>
      <c r="X283" s="59"/>
      <c r="Y283" s="59"/>
      <c r="Z283" s="59"/>
    </row>
    <row r="284">
      <c r="A284" s="76" t="s">
        <v>2606</v>
      </c>
      <c r="B284" s="77">
        <v>5.0</v>
      </c>
      <c r="C284" s="76" t="str">
        <f>SD!J6</f>
        <v>A non-invasive heart rate and blood pressure monitoring system using piezoelectric and photoplethysmographic sensors</v>
      </c>
      <c r="D284" s="76" t="str">
        <f>SD!F6</f>
        <v>Inconforme</v>
      </c>
      <c r="E284" s="76" t="str">
        <f t="shared" si="41"/>
        <v>Inconforme</v>
      </c>
      <c r="F284" s="77" t="str">
        <f>SD!A6</f>
        <v>Inconforme</v>
      </c>
      <c r="G284" s="77" t="str">
        <f t="shared" si="42"/>
        <v>Acerto</v>
      </c>
      <c r="H284" s="77" t="str">
        <f t="shared" si="43"/>
        <v>VN</v>
      </c>
      <c r="I284" s="77" t="str">
        <f>SD!C6</f>
        <v>Inconforme</v>
      </c>
      <c r="J284" s="77" t="str">
        <f t="shared" si="44"/>
        <v>Acerto</v>
      </c>
      <c r="K284" s="77" t="str">
        <f t="shared" si="45"/>
        <v>VN</v>
      </c>
      <c r="L284" s="59"/>
      <c r="M284" s="59"/>
      <c r="N284" s="59"/>
      <c r="O284" s="59"/>
      <c r="P284" s="59"/>
      <c r="Q284" s="59"/>
      <c r="R284" s="59"/>
      <c r="S284" s="59"/>
      <c r="T284" s="59"/>
      <c r="U284" s="59"/>
      <c r="V284" s="59"/>
      <c r="W284" s="59"/>
      <c r="X284" s="59"/>
      <c r="Y284" s="59"/>
      <c r="Z284" s="59"/>
    </row>
    <row r="285">
      <c r="A285" s="78" t="s">
        <v>2606</v>
      </c>
      <c r="B285" s="79">
        <v>6.0</v>
      </c>
      <c r="C285" s="78" t="str">
        <f>SD!J7</f>
        <v>A quantitative and qualitative study of the link between business process management and digital innovation</v>
      </c>
      <c r="D285" s="78" t="str">
        <f>SD!F7</f>
        <v>Inconforme</v>
      </c>
      <c r="E285" s="78" t="str">
        <f t="shared" si="41"/>
        <v>Inconforme</v>
      </c>
      <c r="F285" s="79" t="str">
        <f>SD!A7</f>
        <v>Conforme</v>
      </c>
      <c r="G285" s="79" t="str">
        <f t="shared" si="42"/>
        <v>Divergência</v>
      </c>
      <c r="H285" s="79" t="str">
        <f t="shared" si="43"/>
        <v>FP</v>
      </c>
      <c r="I285" s="79" t="str">
        <f>SD!C7</f>
        <v>Inconforme</v>
      </c>
      <c r="J285" s="79" t="str">
        <f t="shared" si="44"/>
        <v>Acerto</v>
      </c>
      <c r="K285" s="79" t="str">
        <f t="shared" si="45"/>
        <v>VN</v>
      </c>
      <c r="L285" s="59"/>
      <c r="M285" s="59"/>
      <c r="N285" s="59"/>
      <c r="O285" s="59"/>
      <c r="P285" s="59"/>
      <c r="Q285" s="59"/>
      <c r="R285" s="59"/>
      <c r="S285" s="59"/>
      <c r="T285" s="59"/>
      <c r="U285" s="59"/>
      <c r="V285" s="59"/>
      <c r="W285" s="59"/>
      <c r="X285" s="59"/>
      <c r="Y285" s="59"/>
      <c r="Z285" s="59"/>
    </row>
    <row r="286">
      <c r="A286" s="76" t="s">
        <v>2606</v>
      </c>
      <c r="B286" s="77">
        <v>7.0</v>
      </c>
      <c r="C286" s="76" t="str">
        <f>SD!J8</f>
        <v>Advertising in the digital era: Can AI evoke emotions like humans?</v>
      </c>
      <c r="D286" s="76" t="str">
        <f>SD!F8</f>
        <v>Inconforme</v>
      </c>
      <c r="E286" s="76" t="str">
        <f t="shared" si="41"/>
        <v>Inconforme</v>
      </c>
      <c r="F286" s="77" t="str">
        <f>SD!A8</f>
        <v>Inconforme</v>
      </c>
      <c r="G286" s="77" t="str">
        <f t="shared" si="42"/>
        <v>Acerto</v>
      </c>
      <c r="H286" s="77" t="str">
        <f t="shared" si="43"/>
        <v>VN</v>
      </c>
      <c r="I286" s="77" t="str">
        <f>SD!C8</f>
        <v>Inconforme</v>
      </c>
      <c r="J286" s="77" t="str">
        <f t="shared" si="44"/>
        <v>Acerto</v>
      </c>
      <c r="K286" s="77" t="str">
        <f t="shared" si="45"/>
        <v>VN</v>
      </c>
      <c r="L286" s="59"/>
      <c r="M286" s="59"/>
      <c r="N286" s="59"/>
      <c r="O286" s="59"/>
      <c r="P286" s="59"/>
      <c r="Q286" s="59"/>
      <c r="R286" s="59"/>
      <c r="S286" s="59"/>
      <c r="T286" s="59"/>
      <c r="U286" s="59"/>
      <c r="V286" s="59"/>
      <c r="W286" s="59"/>
      <c r="X286" s="59"/>
      <c r="Y286" s="59"/>
      <c r="Z286" s="59"/>
    </row>
    <row r="287">
      <c r="A287" s="78" t="s">
        <v>2606</v>
      </c>
      <c r="B287" s="79">
        <v>8.0</v>
      </c>
      <c r="C287" s="78" t="str">
        <f>SD!J9</f>
        <v>An approach for analyzing business process execution complexity based on textual data and event log</v>
      </c>
      <c r="D287" s="78" t="str">
        <f>SD!F9</f>
        <v>Conforme</v>
      </c>
      <c r="E287" s="78" t="str">
        <f t="shared" si="41"/>
        <v>Conforme</v>
      </c>
      <c r="F287" s="79" t="str">
        <f>SD!A9</f>
        <v>Conforme</v>
      </c>
      <c r="G287" s="79" t="str">
        <f t="shared" si="42"/>
        <v>Acerto</v>
      </c>
      <c r="H287" s="79" t="str">
        <f t="shared" si="43"/>
        <v>VP</v>
      </c>
      <c r="I287" s="79" t="str">
        <f>SD!C9</f>
        <v>Conforme</v>
      </c>
      <c r="J287" s="79" t="str">
        <f t="shared" si="44"/>
        <v>Acerto</v>
      </c>
      <c r="K287" s="79" t="str">
        <f t="shared" si="45"/>
        <v>VP</v>
      </c>
      <c r="L287" s="59"/>
      <c r="M287" s="59"/>
      <c r="N287" s="59"/>
      <c r="O287" s="59"/>
      <c r="P287" s="59"/>
      <c r="Q287" s="59"/>
      <c r="R287" s="59"/>
      <c r="S287" s="59"/>
      <c r="T287" s="59"/>
      <c r="U287" s="59"/>
      <c r="V287" s="59"/>
      <c r="W287" s="59"/>
      <c r="X287" s="59"/>
      <c r="Y287" s="59"/>
      <c r="Z287" s="59"/>
    </row>
    <row r="288">
      <c r="A288" s="76" t="s">
        <v>2606</v>
      </c>
      <c r="B288" s="77">
        <v>9.0</v>
      </c>
      <c r="C288" s="76" t="str">
        <f>SD!J10</f>
        <v>An Evaluation of the Effect of App-Based Exercise Prescription Using Reinforcement Learning on Satisfaction and Exercise Intensity: Randomized Crossover Trial</v>
      </c>
      <c r="D288" s="76" t="str">
        <f>SD!F10</f>
        <v>Inconforme</v>
      </c>
      <c r="E288" s="76" t="str">
        <f t="shared" si="41"/>
        <v>Inconforme</v>
      </c>
      <c r="F288" s="77" t="str">
        <f>SD!A10</f>
        <v>Inconforme</v>
      </c>
      <c r="G288" s="77" t="str">
        <f t="shared" si="42"/>
        <v>Acerto</v>
      </c>
      <c r="H288" s="77" t="str">
        <f t="shared" si="43"/>
        <v>VN</v>
      </c>
      <c r="I288" s="77" t="str">
        <f>SD!C10</f>
        <v>Inconforme</v>
      </c>
      <c r="J288" s="77" t="str">
        <f t="shared" si="44"/>
        <v>Acerto</v>
      </c>
      <c r="K288" s="77" t="str">
        <f t="shared" si="45"/>
        <v>VN</v>
      </c>
      <c r="L288" s="59"/>
      <c r="M288" s="59"/>
      <c r="N288" s="59"/>
      <c r="O288" s="59"/>
      <c r="P288" s="59"/>
      <c r="Q288" s="59"/>
      <c r="R288" s="59"/>
      <c r="S288" s="59"/>
      <c r="T288" s="59"/>
      <c r="U288" s="59"/>
      <c r="V288" s="59"/>
      <c r="W288" s="59"/>
      <c r="X288" s="59"/>
      <c r="Y288" s="59"/>
      <c r="Z288" s="59"/>
    </row>
    <row r="289">
      <c r="A289" s="78" t="s">
        <v>2606</v>
      </c>
      <c r="B289" s="79">
        <v>10.0</v>
      </c>
      <c r="C289" s="78" t="str">
        <f>SD!J11</f>
        <v>Atrial Fibrillation Detection With an Analog Smartwatch: Prospective Clinical Study and Algorithm Validation</v>
      </c>
      <c r="D289" s="78" t="str">
        <f>SD!F11</f>
        <v>Inconforme</v>
      </c>
      <c r="E289" s="78" t="str">
        <f t="shared" si="41"/>
        <v>Inconforme</v>
      </c>
      <c r="F289" s="79" t="str">
        <f>SD!A11</f>
        <v>Inconforme</v>
      </c>
      <c r="G289" s="79" t="str">
        <f t="shared" si="42"/>
        <v>Acerto</v>
      </c>
      <c r="H289" s="79" t="str">
        <f t="shared" si="43"/>
        <v>VN</v>
      </c>
      <c r="I289" s="79" t="str">
        <f>SD!C11</f>
        <v>Inconforme</v>
      </c>
      <c r="J289" s="79" t="str">
        <f t="shared" si="44"/>
        <v>Acerto</v>
      </c>
      <c r="K289" s="79" t="str">
        <f t="shared" si="45"/>
        <v>VN</v>
      </c>
      <c r="L289" s="59"/>
      <c r="M289" s="59"/>
      <c r="N289" s="59"/>
      <c r="O289" s="59"/>
      <c r="P289" s="59"/>
      <c r="Q289" s="59"/>
      <c r="R289" s="59"/>
      <c r="S289" s="59"/>
      <c r="T289" s="59"/>
      <c r="U289" s="59"/>
      <c r="V289" s="59"/>
      <c r="W289" s="59"/>
      <c r="X289" s="59"/>
      <c r="Y289" s="59"/>
      <c r="Z289" s="59"/>
    </row>
    <row r="290">
      <c r="A290" s="76" t="s">
        <v>2606</v>
      </c>
      <c r="B290" s="77">
        <v>11.0</v>
      </c>
      <c r="C290" s="76" t="str">
        <f>SD!J12</f>
        <v>BPM-systems in the Activity of the Transport Enterprise in Order to Ensure HR Security</v>
      </c>
      <c r="D290" s="76" t="str">
        <f>SD!F12</f>
        <v>Conforme</v>
      </c>
      <c r="E290" s="76" t="str">
        <f t="shared" si="41"/>
        <v>Conforme</v>
      </c>
      <c r="F290" s="77" t="str">
        <f>SD!A12</f>
        <v>Conforme</v>
      </c>
      <c r="G290" s="77" t="str">
        <f t="shared" si="42"/>
        <v>Acerto</v>
      </c>
      <c r="H290" s="77" t="str">
        <f t="shared" si="43"/>
        <v>VP</v>
      </c>
      <c r="I290" s="77" t="str">
        <f>SD!C12</f>
        <v>Conforme</v>
      </c>
      <c r="J290" s="77" t="str">
        <f t="shared" si="44"/>
        <v>Acerto</v>
      </c>
      <c r="K290" s="77" t="str">
        <f t="shared" si="45"/>
        <v>VP</v>
      </c>
      <c r="L290" s="59"/>
      <c r="M290" s="59"/>
      <c r="N290" s="59"/>
      <c r="O290" s="59"/>
      <c r="P290" s="59"/>
      <c r="Q290" s="59"/>
      <c r="R290" s="59"/>
      <c r="S290" s="59"/>
      <c r="T290" s="59"/>
      <c r="U290" s="59"/>
      <c r="V290" s="59"/>
      <c r="W290" s="59"/>
      <c r="X290" s="59"/>
      <c r="Y290" s="59"/>
      <c r="Z290" s="59"/>
    </row>
    <row r="291">
      <c r="A291" s="78" t="s">
        <v>2606</v>
      </c>
      <c r="B291" s="79">
        <v>12.0</v>
      </c>
      <c r="C291" s="78" t="str">
        <f>SD!J13</f>
        <v>Business process management and digitalization – a reciprocal relationship</v>
      </c>
      <c r="D291" s="78" t="str">
        <f>SD!F13</f>
        <v>Conforme</v>
      </c>
      <c r="E291" s="78" t="str">
        <f t="shared" si="41"/>
        <v>Conforme</v>
      </c>
      <c r="F291" s="79" t="str">
        <f>SD!A13</f>
        <v>Conforme</v>
      </c>
      <c r="G291" s="79" t="str">
        <f t="shared" si="42"/>
        <v>Acerto</v>
      </c>
      <c r="H291" s="79" t="str">
        <f t="shared" si="43"/>
        <v>VP</v>
      </c>
      <c r="I291" s="79" t="str">
        <f>SD!C13</f>
        <v>Inconforme</v>
      </c>
      <c r="J291" s="79" t="str">
        <f t="shared" si="44"/>
        <v>Divergência</v>
      </c>
      <c r="K291" s="79" t="str">
        <f t="shared" si="45"/>
        <v>FN</v>
      </c>
      <c r="L291" s="59"/>
      <c r="M291" s="59"/>
      <c r="N291" s="59"/>
      <c r="O291" s="59"/>
      <c r="P291" s="59"/>
      <c r="Q291" s="59"/>
      <c r="R291" s="59"/>
      <c r="S291" s="59"/>
      <c r="T291" s="59"/>
      <c r="U291" s="59"/>
      <c r="V291" s="59"/>
      <c r="W291" s="59"/>
      <c r="X291" s="59"/>
      <c r="Y291" s="59"/>
      <c r="Z291" s="59"/>
    </row>
    <row r="292">
      <c r="A292" s="76" t="s">
        <v>2606</v>
      </c>
      <c r="B292" s="77">
        <v>13.0</v>
      </c>
      <c r="C292" s="76" t="str">
        <f>SD!J14</f>
        <v>Business process management as a continuous enabler for digital innovation – insights from top executives</v>
      </c>
      <c r="D292" s="76" t="str">
        <f>SD!F14</f>
        <v>Inconforme -Artigos duplicados ou similares</v>
      </c>
      <c r="E292" s="76" t="str">
        <f t="shared" si="41"/>
        <v>Conforme</v>
      </c>
      <c r="F292" s="77" t="str">
        <f>SD!A14</f>
        <v>Conforme</v>
      </c>
      <c r="G292" s="77" t="str">
        <f t="shared" si="42"/>
        <v>Acerto</v>
      </c>
      <c r="H292" s="77" t="str">
        <f t="shared" si="43"/>
        <v>VP</v>
      </c>
      <c r="I292" s="77" t="str">
        <f>SD!C14</f>
        <v>Inconforme</v>
      </c>
      <c r="J292" s="77" t="str">
        <f t="shared" si="44"/>
        <v>Divergência</v>
      </c>
      <c r="K292" s="77" t="str">
        <f t="shared" si="45"/>
        <v>FN</v>
      </c>
      <c r="L292" s="59"/>
      <c r="M292" s="59"/>
      <c r="N292" s="59"/>
      <c r="O292" s="59"/>
      <c r="P292" s="59"/>
      <c r="Q292" s="59"/>
      <c r="R292" s="59"/>
      <c r="S292" s="59"/>
      <c r="T292" s="59"/>
      <c r="U292" s="59"/>
      <c r="V292" s="59"/>
      <c r="W292" s="59"/>
      <c r="X292" s="59"/>
      <c r="Y292" s="59"/>
      <c r="Z292" s="59"/>
    </row>
    <row r="293">
      <c r="A293" s="78" t="s">
        <v>2606</v>
      </c>
      <c r="B293" s="79">
        <v>14.0</v>
      </c>
      <c r="C293" s="78" t="str">
        <f>SD!J15</f>
        <v>Circular value creation and business process management for twin transition: The case of an energy company</v>
      </c>
      <c r="D293" s="78" t="str">
        <f>SD!F15</f>
        <v>Conforme</v>
      </c>
      <c r="E293" s="78" t="str">
        <f t="shared" si="41"/>
        <v>Conforme</v>
      </c>
      <c r="F293" s="79" t="str">
        <f>SD!A15</f>
        <v>Conforme</v>
      </c>
      <c r="G293" s="79" t="str">
        <f t="shared" si="42"/>
        <v>Acerto</v>
      </c>
      <c r="H293" s="79" t="str">
        <f t="shared" si="43"/>
        <v>VP</v>
      </c>
      <c r="I293" s="79" t="str">
        <f>SD!C15</f>
        <v>Conforme</v>
      </c>
      <c r="J293" s="79" t="str">
        <f t="shared" si="44"/>
        <v>Acerto</v>
      </c>
      <c r="K293" s="79" t="str">
        <f t="shared" si="45"/>
        <v>VP</v>
      </c>
      <c r="L293" s="59"/>
      <c r="M293" s="59"/>
      <c r="N293" s="59"/>
      <c r="O293" s="59"/>
      <c r="P293" s="59"/>
      <c r="Q293" s="59"/>
      <c r="R293" s="59"/>
      <c r="S293" s="59"/>
      <c r="T293" s="59"/>
      <c r="U293" s="59"/>
      <c r="V293" s="59"/>
      <c r="W293" s="59"/>
      <c r="X293" s="59"/>
      <c r="Y293" s="59"/>
      <c r="Z293" s="59"/>
    </row>
    <row r="294">
      <c r="A294" s="76" t="s">
        <v>2606</v>
      </c>
      <c r="B294" s="77">
        <v>15.0</v>
      </c>
      <c r="C294" s="76" t="str">
        <f>SD!J16</f>
        <v>Data-driven business process management-based development of Industry 4.0 solutions</v>
      </c>
      <c r="D294" s="76" t="str">
        <f>SD!F16</f>
        <v>Conforme</v>
      </c>
      <c r="E294" s="76" t="str">
        <f t="shared" si="41"/>
        <v>Conforme</v>
      </c>
      <c r="F294" s="77" t="str">
        <f>SD!A16</f>
        <v>Conforme</v>
      </c>
      <c r="G294" s="77" t="str">
        <f t="shared" si="42"/>
        <v>Acerto</v>
      </c>
      <c r="H294" s="77" t="str">
        <f t="shared" si="43"/>
        <v>VP</v>
      </c>
      <c r="I294" s="77" t="str">
        <f>SD!C16</f>
        <v>Inconforme</v>
      </c>
      <c r="J294" s="77" t="str">
        <f t="shared" si="44"/>
        <v>Divergência</v>
      </c>
      <c r="K294" s="77" t="str">
        <f t="shared" si="45"/>
        <v>FN</v>
      </c>
      <c r="L294" s="59"/>
      <c r="M294" s="59"/>
      <c r="N294" s="59"/>
      <c r="O294" s="59"/>
      <c r="P294" s="59"/>
      <c r="Q294" s="59"/>
      <c r="R294" s="59"/>
      <c r="S294" s="59"/>
      <c r="T294" s="59"/>
      <c r="U294" s="59"/>
      <c r="V294" s="59"/>
      <c r="W294" s="59"/>
      <c r="X294" s="59"/>
      <c r="Y294" s="59"/>
      <c r="Z294" s="59"/>
    </row>
    <row r="295">
      <c r="A295" s="78" t="s">
        <v>2606</v>
      </c>
      <c r="B295" s="79">
        <v>16.0</v>
      </c>
      <c r="C295" s="78" t="str">
        <f>SD!J17</f>
        <v>Designing resilient health services supported by digital technologies: A study of the blood transfusion process</v>
      </c>
      <c r="D295" s="78" t="str">
        <f>SD!F17</f>
        <v>Inconforme</v>
      </c>
      <c r="E295" s="78" t="str">
        <f t="shared" si="41"/>
        <v>Inconforme</v>
      </c>
      <c r="F295" s="79" t="str">
        <f>SD!A17</f>
        <v>Inconforme</v>
      </c>
      <c r="G295" s="79" t="str">
        <f t="shared" si="42"/>
        <v>Acerto</v>
      </c>
      <c r="H295" s="79" t="str">
        <f t="shared" si="43"/>
        <v>VN</v>
      </c>
      <c r="I295" s="79" t="str">
        <f>SD!C17</f>
        <v>Inconforme</v>
      </c>
      <c r="J295" s="79" t="str">
        <f t="shared" si="44"/>
        <v>Acerto</v>
      </c>
      <c r="K295" s="79" t="str">
        <f t="shared" si="45"/>
        <v>VN</v>
      </c>
      <c r="L295" s="59"/>
      <c r="M295" s="59"/>
      <c r="N295" s="59"/>
      <c r="O295" s="59"/>
      <c r="P295" s="59"/>
      <c r="Q295" s="59"/>
      <c r="R295" s="59"/>
      <c r="S295" s="59"/>
      <c r="T295" s="59"/>
      <c r="U295" s="59"/>
      <c r="V295" s="59"/>
      <c r="W295" s="59"/>
      <c r="X295" s="59"/>
      <c r="Y295" s="59"/>
      <c r="Z295" s="59"/>
    </row>
    <row r="296">
      <c r="A296" s="76" t="s">
        <v>2606</v>
      </c>
      <c r="B296" s="77">
        <v>17.0</v>
      </c>
      <c r="C296" s="76" t="str">
        <f>SD!J18</f>
        <v>Detection of Clenbuterol-Induced Changes in Heart Rate Using At-Home Recorded Smartwatch Data: Randomized Controlled Trial</v>
      </c>
      <c r="D296" s="76" t="str">
        <f>SD!F18</f>
        <v>Inconforme</v>
      </c>
      <c r="E296" s="76" t="str">
        <f t="shared" si="41"/>
        <v>Inconforme</v>
      </c>
      <c r="F296" s="77" t="str">
        <f>SD!A18</f>
        <v>Inconforme</v>
      </c>
      <c r="G296" s="77" t="str">
        <f t="shared" si="42"/>
        <v>Acerto</v>
      </c>
      <c r="H296" s="77" t="str">
        <f t="shared" si="43"/>
        <v>VN</v>
      </c>
      <c r="I296" s="77" t="str">
        <f>SD!C18</f>
        <v>Inconforme</v>
      </c>
      <c r="J296" s="77" t="str">
        <f t="shared" si="44"/>
        <v>Acerto</v>
      </c>
      <c r="K296" s="77" t="str">
        <f t="shared" si="45"/>
        <v>VN</v>
      </c>
      <c r="L296" s="59"/>
      <c r="M296" s="59"/>
      <c r="N296" s="59"/>
      <c r="O296" s="59"/>
      <c r="P296" s="59"/>
      <c r="Q296" s="59"/>
      <c r="R296" s="59"/>
      <c r="S296" s="59"/>
      <c r="T296" s="59"/>
      <c r="U296" s="59"/>
      <c r="V296" s="59"/>
      <c r="W296" s="59"/>
      <c r="X296" s="59"/>
      <c r="Y296" s="59"/>
      <c r="Z296" s="59"/>
    </row>
    <row r="297">
      <c r="A297" s="78" t="s">
        <v>2606</v>
      </c>
      <c r="B297" s="79">
        <v>18.0</v>
      </c>
      <c r="C297" s="78" t="str">
        <f>SD!J19</f>
        <v>Digital innovation and automation of business processes using quick response code: advancing the means-end chain theory</v>
      </c>
      <c r="D297" s="78" t="str">
        <f>SD!F19</f>
        <v>Inconforme</v>
      </c>
      <c r="E297" s="78" t="str">
        <f t="shared" si="41"/>
        <v>Inconforme</v>
      </c>
      <c r="F297" s="79" t="str">
        <f>SD!A19</f>
        <v>Conforme</v>
      </c>
      <c r="G297" s="79" t="str">
        <f t="shared" si="42"/>
        <v>Divergência</v>
      </c>
      <c r="H297" s="79" t="str">
        <f t="shared" si="43"/>
        <v>FP</v>
      </c>
      <c r="I297" s="79" t="str">
        <f>SD!C19</f>
        <v>Inconforme</v>
      </c>
      <c r="J297" s="79" t="str">
        <f t="shared" si="44"/>
        <v>Acerto</v>
      </c>
      <c r="K297" s="79" t="str">
        <f t="shared" si="45"/>
        <v>VN</v>
      </c>
      <c r="L297" s="59"/>
      <c r="M297" s="59"/>
      <c r="N297" s="59"/>
      <c r="O297" s="59"/>
      <c r="P297" s="59"/>
      <c r="Q297" s="59"/>
      <c r="R297" s="59"/>
      <c r="S297" s="59"/>
      <c r="T297" s="59"/>
      <c r="U297" s="59"/>
      <c r="V297" s="59"/>
      <c r="W297" s="59"/>
      <c r="X297" s="59"/>
      <c r="Y297" s="59"/>
      <c r="Z297" s="59"/>
    </row>
    <row r="298">
      <c r="A298" s="76" t="s">
        <v>2606</v>
      </c>
      <c r="B298" s="77">
        <v>19.0</v>
      </c>
      <c r="C298" s="76" t="str">
        <f>SD!J20</f>
        <v>Digital Platform to Continuously Monitor Patients Using a Smartwatch: Preliminary Report</v>
      </c>
      <c r="D298" s="76" t="str">
        <f>SD!F20</f>
        <v>Inconforme</v>
      </c>
      <c r="E298" s="76" t="str">
        <f t="shared" si="41"/>
        <v>Inconforme</v>
      </c>
      <c r="F298" s="77" t="str">
        <f>SD!A20</f>
        <v>Inconforme</v>
      </c>
      <c r="G298" s="77" t="str">
        <f t="shared" si="42"/>
        <v>Acerto</v>
      </c>
      <c r="H298" s="77" t="str">
        <f t="shared" si="43"/>
        <v>VN</v>
      </c>
      <c r="I298" s="77" t="str">
        <f>SD!C20</f>
        <v>Inconforme</v>
      </c>
      <c r="J298" s="77" t="str">
        <f t="shared" si="44"/>
        <v>Acerto</v>
      </c>
      <c r="K298" s="77" t="str">
        <f t="shared" si="45"/>
        <v>VN</v>
      </c>
      <c r="L298" s="59"/>
      <c r="M298" s="59"/>
      <c r="N298" s="59"/>
      <c r="O298" s="59"/>
      <c r="P298" s="59"/>
      <c r="Q298" s="59"/>
      <c r="R298" s="59"/>
      <c r="S298" s="59"/>
      <c r="T298" s="59"/>
      <c r="U298" s="59"/>
      <c r="V298" s="59"/>
      <c r="W298" s="59"/>
      <c r="X298" s="59"/>
      <c r="Y298" s="59"/>
      <c r="Z298" s="59"/>
    </row>
    <row r="299">
      <c r="A299" s="78" t="s">
        <v>2606</v>
      </c>
      <c r="B299" s="79">
        <v>20.0</v>
      </c>
      <c r="C299" s="78" t="str">
        <f>SD!J21</f>
        <v>DT4BPM: A proposed approach for combining Digital Transformation and Business Process Management</v>
      </c>
      <c r="D299" s="78" t="str">
        <f>SD!F21</f>
        <v>Conforme</v>
      </c>
      <c r="E299" s="78" t="str">
        <f t="shared" si="41"/>
        <v>Conforme</v>
      </c>
      <c r="F299" s="79" t="str">
        <f>SD!A21</f>
        <v>Conforme</v>
      </c>
      <c r="G299" s="79" t="str">
        <f t="shared" si="42"/>
        <v>Acerto</v>
      </c>
      <c r="H299" s="79" t="str">
        <f t="shared" si="43"/>
        <v>VP</v>
      </c>
      <c r="I299" s="79" t="str">
        <f>SD!C21</f>
        <v>Inconforme</v>
      </c>
      <c r="J299" s="79" t="str">
        <f t="shared" si="44"/>
        <v>Divergência</v>
      </c>
      <c r="K299" s="79" t="str">
        <f t="shared" si="45"/>
        <v>FN</v>
      </c>
      <c r="L299" s="59"/>
      <c r="M299" s="59"/>
      <c r="N299" s="59"/>
      <c r="O299" s="59"/>
      <c r="P299" s="59"/>
      <c r="Q299" s="59"/>
      <c r="R299" s="59"/>
      <c r="S299" s="59"/>
      <c r="T299" s="59"/>
      <c r="U299" s="59"/>
      <c r="V299" s="59"/>
      <c r="W299" s="59"/>
      <c r="X299" s="59"/>
      <c r="Y299" s="59"/>
      <c r="Z299" s="59"/>
    </row>
    <row r="300">
      <c r="A300" s="76" t="s">
        <v>2606</v>
      </c>
      <c r="B300" s="77">
        <v>21.0</v>
      </c>
      <c r="C300" s="76" t="str">
        <f>SD!J22</f>
        <v>Dynamic market complexity and service value advantage: an empirical investigation of business process management</v>
      </c>
      <c r="D300" s="76" t="str">
        <f>SD!F22</f>
        <v>Inconforme</v>
      </c>
      <c r="E300" s="76" t="str">
        <f t="shared" si="41"/>
        <v>Inconforme</v>
      </c>
      <c r="F300" s="77" t="str">
        <f>SD!A22</f>
        <v>Inconforme</v>
      </c>
      <c r="G300" s="77" t="str">
        <f t="shared" si="42"/>
        <v>Acerto</v>
      </c>
      <c r="H300" s="77" t="str">
        <f t="shared" si="43"/>
        <v>VN</v>
      </c>
      <c r="I300" s="77" t="str">
        <f>SD!C22</f>
        <v>Inconforme</v>
      </c>
      <c r="J300" s="77" t="str">
        <f t="shared" si="44"/>
        <v>Acerto</v>
      </c>
      <c r="K300" s="77" t="str">
        <f t="shared" si="45"/>
        <v>VN</v>
      </c>
      <c r="L300" s="59"/>
      <c r="M300" s="59"/>
      <c r="N300" s="59"/>
      <c r="O300" s="59"/>
      <c r="P300" s="59"/>
      <c r="Q300" s="59"/>
      <c r="R300" s="59"/>
      <c r="S300" s="59"/>
      <c r="T300" s="59"/>
      <c r="U300" s="59"/>
      <c r="V300" s="59"/>
      <c r="W300" s="59"/>
      <c r="X300" s="59"/>
      <c r="Y300" s="59"/>
      <c r="Z300" s="59"/>
    </row>
    <row r="301">
      <c r="A301" s="78" t="s">
        <v>2606</v>
      </c>
      <c r="B301" s="79">
        <v>22.0</v>
      </c>
      <c r="C301" s="78" t="str">
        <f>SD!J23</f>
        <v>Economic evaluation: Impact on costs, time, and productivity of the incorporation of integrative digital pathology (IDP) in the anatomopathological analysis of breast cancer in a national reference public provider in Chile</v>
      </c>
      <c r="D301" s="78" t="str">
        <f>SD!F23</f>
        <v>Inconforme</v>
      </c>
      <c r="E301" s="78" t="str">
        <f t="shared" si="41"/>
        <v>Inconforme</v>
      </c>
      <c r="F301" s="79" t="str">
        <f>SD!A23</f>
        <v>Inconforme</v>
      </c>
      <c r="G301" s="79" t="str">
        <f t="shared" si="42"/>
        <v>Acerto</v>
      </c>
      <c r="H301" s="79" t="str">
        <f t="shared" si="43"/>
        <v>VN</v>
      </c>
      <c r="I301" s="79" t="str">
        <f>SD!C23</f>
        <v>Inconforme</v>
      </c>
      <c r="J301" s="79" t="str">
        <f t="shared" si="44"/>
        <v>Acerto</v>
      </c>
      <c r="K301" s="79" t="str">
        <f t="shared" si="45"/>
        <v>VN</v>
      </c>
      <c r="L301" s="59"/>
      <c r="M301" s="59"/>
      <c r="N301" s="59"/>
      <c r="O301" s="59"/>
      <c r="P301" s="59"/>
      <c r="Q301" s="59"/>
      <c r="R301" s="59"/>
      <c r="S301" s="59"/>
      <c r="T301" s="59"/>
      <c r="U301" s="59"/>
      <c r="V301" s="59"/>
      <c r="W301" s="59"/>
      <c r="X301" s="59"/>
      <c r="Y301" s="59"/>
      <c r="Z301" s="59"/>
    </row>
    <row r="302">
      <c r="A302" s="76" t="s">
        <v>2606</v>
      </c>
      <c r="B302" s="77">
        <v>23.0</v>
      </c>
      <c r="C302" s="76" t="str">
        <f>SD!J24</f>
        <v>Enhancing consumer experience in food delivery through hybrid analytical models</v>
      </c>
      <c r="D302" s="76" t="str">
        <f>SD!F24</f>
        <v>Inconforme</v>
      </c>
      <c r="E302" s="76" t="str">
        <f t="shared" si="41"/>
        <v>Inconforme</v>
      </c>
      <c r="F302" s="77" t="str">
        <f>SD!A24</f>
        <v>Inconforme</v>
      </c>
      <c r="G302" s="77" t="str">
        <f t="shared" si="42"/>
        <v>Acerto</v>
      </c>
      <c r="H302" s="77" t="str">
        <f t="shared" si="43"/>
        <v>VN</v>
      </c>
      <c r="I302" s="77" t="str">
        <f>SD!C24</f>
        <v>Inconforme</v>
      </c>
      <c r="J302" s="77" t="str">
        <f t="shared" si="44"/>
        <v>Acerto</v>
      </c>
      <c r="K302" s="77" t="str">
        <f t="shared" si="45"/>
        <v>VN</v>
      </c>
      <c r="L302" s="59"/>
      <c r="M302" s="59"/>
      <c r="N302" s="59"/>
      <c r="O302" s="59"/>
      <c r="P302" s="59"/>
      <c r="Q302" s="59"/>
      <c r="R302" s="59"/>
      <c r="S302" s="59"/>
      <c r="T302" s="59"/>
      <c r="U302" s="59"/>
      <c r="V302" s="59"/>
      <c r="W302" s="59"/>
      <c r="X302" s="59"/>
      <c r="Y302" s="59"/>
      <c r="Z302" s="59"/>
    </row>
    <row r="303">
      <c r="A303" s="78" t="s">
        <v>2606</v>
      </c>
      <c r="B303" s="79">
        <v>24.0</v>
      </c>
      <c r="C303" s="78" t="str">
        <f>SD!J25</f>
        <v>Evaluating the Economic and Sustainability Impacts of Drones in Viticulture using BPMN-based Simulation</v>
      </c>
      <c r="D303" s="78" t="str">
        <f>SD!F25</f>
        <v>Conforme</v>
      </c>
      <c r="E303" s="78" t="str">
        <f t="shared" si="41"/>
        <v>Conforme</v>
      </c>
      <c r="F303" s="79" t="str">
        <f>SD!A25</f>
        <v>Inconforme</v>
      </c>
      <c r="G303" s="79" t="str">
        <f t="shared" si="42"/>
        <v>Divergência</v>
      </c>
      <c r="H303" s="79" t="str">
        <f t="shared" si="43"/>
        <v>FN</v>
      </c>
      <c r="I303" s="79" t="str">
        <f>SD!C25</f>
        <v>Conforme</v>
      </c>
      <c r="J303" s="79" t="str">
        <f t="shared" si="44"/>
        <v>Acerto</v>
      </c>
      <c r="K303" s="79" t="str">
        <f t="shared" si="45"/>
        <v>VP</v>
      </c>
      <c r="L303" s="59"/>
      <c r="M303" s="59"/>
      <c r="N303" s="59"/>
      <c r="O303" s="59"/>
      <c r="P303" s="59"/>
      <c r="Q303" s="59"/>
      <c r="R303" s="59"/>
      <c r="S303" s="59"/>
      <c r="T303" s="59"/>
      <c r="U303" s="59"/>
      <c r="V303" s="59"/>
      <c r="W303" s="59"/>
      <c r="X303" s="59"/>
      <c r="Y303" s="59"/>
      <c r="Z303" s="59"/>
    </row>
    <row r="304">
      <c r="A304" s="76" t="s">
        <v>2606</v>
      </c>
      <c r="B304" s="77">
        <v>25.0</v>
      </c>
      <c r="C304" s="76" t="str">
        <f>SD!J26</f>
        <v>Experimental and numerical investigations on crack development in 3D printed rock-like specimens with pre-existing flaws</v>
      </c>
      <c r="D304" s="76" t="str">
        <f>SD!F26</f>
        <v>Inconforme</v>
      </c>
      <c r="E304" s="76" t="str">
        <f t="shared" si="41"/>
        <v>Inconforme</v>
      </c>
      <c r="F304" s="77" t="str">
        <f>SD!A26</f>
        <v>Inconforme</v>
      </c>
      <c r="G304" s="77" t="str">
        <f t="shared" si="42"/>
        <v>Acerto</v>
      </c>
      <c r="H304" s="77" t="str">
        <f t="shared" si="43"/>
        <v>VN</v>
      </c>
      <c r="I304" s="77" t="str">
        <f>SD!C26</f>
        <v>Inconforme</v>
      </c>
      <c r="J304" s="77" t="str">
        <f t="shared" si="44"/>
        <v>Acerto</v>
      </c>
      <c r="K304" s="77" t="str">
        <f t="shared" si="45"/>
        <v>VN</v>
      </c>
      <c r="L304" s="59"/>
      <c r="M304" s="59"/>
      <c r="N304" s="59"/>
      <c r="O304" s="59"/>
      <c r="P304" s="59"/>
      <c r="Q304" s="59"/>
      <c r="R304" s="59"/>
      <c r="S304" s="59"/>
      <c r="T304" s="59"/>
      <c r="U304" s="59"/>
      <c r="V304" s="59"/>
      <c r="W304" s="59"/>
      <c r="X304" s="59"/>
      <c r="Y304" s="59"/>
      <c r="Z304" s="59"/>
    </row>
    <row r="305">
      <c r="A305" s="78" t="s">
        <v>2606</v>
      </c>
      <c r="B305" s="79">
        <v>26.0</v>
      </c>
      <c r="C305" s="78" t="str">
        <f>SD!J27</f>
        <v>Exploring IT/IS proactive and knowledge transfer on enterprise digital business transformation (EDBT): a technology-knowledge perspective</v>
      </c>
      <c r="D305" s="78" t="str">
        <f>SD!F27</f>
        <v>Inconforme -Artigos duplicados ou similares</v>
      </c>
      <c r="E305" s="78" t="str">
        <f t="shared" si="41"/>
        <v>Conforme</v>
      </c>
      <c r="F305" s="79" t="str">
        <f>SD!A27</f>
        <v>Conforme</v>
      </c>
      <c r="G305" s="79" t="str">
        <f t="shared" si="42"/>
        <v>Acerto</v>
      </c>
      <c r="H305" s="79" t="str">
        <f t="shared" si="43"/>
        <v>VP</v>
      </c>
      <c r="I305" s="79" t="str">
        <f>SD!C27</f>
        <v>Conforme</v>
      </c>
      <c r="J305" s="79" t="str">
        <f t="shared" si="44"/>
        <v>Acerto</v>
      </c>
      <c r="K305" s="79" t="str">
        <f t="shared" si="45"/>
        <v>VP</v>
      </c>
      <c r="L305" s="59"/>
      <c r="M305" s="59"/>
      <c r="N305" s="59"/>
      <c r="O305" s="59"/>
      <c r="P305" s="59"/>
      <c r="Q305" s="59"/>
      <c r="R305" s="59"/>
      <c r="S305" s="59"/>
      <c r="T305" s="59"/>
      <c r="U305" s="59"/>
      <c r="V305" s="59"/>
      <c r="W305" s="59"/>
      <c r="X305" s="59"/>
      <c r="Y305" s="59"/>
      <c r="Z305" s="59"/>
    </row>
    <row r="306">
      <c r="A306" s="76" t="s">
        <v>2606</v>
      </c>
      <c r="B306" s="77">
        <v>27.0</v>
      </c>
      <c r="C306" s="76" t="str">
        <f>SD!J28</f>
        <v>Graph-based managing and mining of processes and data in the domain of intellectual property</v>
      </c>
      <c r="D306" s="76" t="str">
        <f>SD!F28</f>
        <v>Inconforme</v>
      </c>
      <c r="E306" s="76" t="str">
        <f t="shared" si="41"/>
        <v>Inconforme</v>
      </c>
      <c r="F306" s="77" t="str">
        <f>SD!A28</f>
        <v>Inconforme</v>
      </c>
      <c r="G306" s="77" t="str">
        <f t="shared" si="42"/>
        <v>Acerto</v>
      </c>
      <c r="H306" s="77" t="str">
        <f t="shared" si="43"/>
        <v>VN</v>
      </c>
      <c r="I306" s="77" t="str">
        <f>SD!C28</f>
        <v>Inconforme</v>
      </c>
      <c r="J306" s="77" t="str">
        <f t="shared" si="44"/>
        <v>Acerto</v>
      </c>
      <c r="K306" s="77" t="str">
        <f t="shared" si="45"/>
        <v>VN</v>
      </c>
      <c r="L306" s="59"/>
      <c r="M306" s="59"/>
      <c r="N306" s="59"/>
      <c r="O306" s="59"/>
      <c r="P306" s="59"/>
      <c r="Q306" s="59"/>
      <c r="R306" s="59"/>
      <c r="S306" s="59"/>
      <c r="T306" s="59"/>
      <c r="U306" s="59"/>
      <c r="V306" s="59"/>
      <c r="W306" s="59"/>
      <c r="X306" s="59"/>
      <c r="Y306" s="59"/>
      <c r="Z306" s="59"/>
    </row>
    <row r="307">
      <c r="A307" s="78" t="s">
        <v>2606</v>
      </c>
      <c r="B307" s="79">
        <v>28.0</v>
      </c>
      <c r="C307" s="78" t="str">
        <f>SD!J29</f>
        <v>Graphics based business process harnessing tools, advancing digital maturity of business</v>
      </c>
      <c r="D307" s="78" t="str">
        <f>SD!F29</f>
        <v>Inconforme -Artigos duplicados ou similares</v>
      </c>
      <c r="E307" s="78" t="str">
        <f t="shared" si="41"/>
        <v>Conforme</v>
      </c>
      <c r="F307" s="79" t="str">
        <f>SD!A29</f>
        <v>Inconforme</v>
      </c>
      <c r="G307" s="79" t="str">
        <f t="shared" si="42"/>
        <v>Divergência</v>
      </c>
      <c r="H307" s="79" t="str">
        <f t="shared" si="43"/>
        <v>FN</v>
      </c>
      <c r="I307" s="79" t="str">
        <f>SD!C29</f>
        <v>Inconforme</v>
      </c>
      <c r="J307" s="79" t="str">
        <f t="shared" si="44"/>
        <v>Divergência</v>
      </c>
      <c r="K307" s="79" t="str">
        <f t="shared" si="45"/>
        <v>FN</v>
      </c>
      <c r="L307" s="59"/>
      <c r="M307" s="59"/>
      <c r="N307" s="59"/>
      <c r="O307" s="59"/>
      <c r="P307" s="59"/>
      <c r="Q307" s="59"/>
      <c r="R307" s="59"/>
      <c r="S307" s="59"/>
      <c r="T307" s="59"/>
      <c r="U307" s="59"/>
      <c r="V307" s="59"/>
      <c r="W307" s="59"/>
      <c r="X307" s="59"/>
      <c r="Y307" s="59"/>
      <c r="Z307" s="59"/>
    </row>
    <row r="308">
      <c r="A308" s="76" t="s">
        <v>2606</v>
      </c>
      <c r="B308" s="77">
        <v>29.0</v>
      </c>
      <c r="C308" s="76" t="str">
        <f>SD!J30</f>
        <v>Improving care pathways through BPM and telemedicine: an Italian study</v>
      </c>
      <c r="D308" s="76" t="str">
        <f>SD!F30</f>
        <v>Inconforme -Artigos duplicados ou similares</v>
      </c>
      <c r="E308" s="76" t="str">
        <f t="shared" si="41"/>
        <v>Conforme</v>
      </c>
      <c r="F308" s="77" t="str">
        <f>SD!A30</f>
        <v>Conforme</v>
      </c>
      <c r="G308" s="77" t="str">
        <f t="shared" si="42"/>
        <v>Acerto</v>
      </c>
      <c r="H308" s="77" t="str">
        <f t="shared" si="43"/>
        <v>VP</v>
      </c>
      <c r="I308" s="77" t="str">
        <f>SD!C30</f>
        <v>Conforme</v>
      </c>
      <c r="J308" s="77" t="str">
        <f t="shared" si="44"/>
        <v>Acerto</v>
      </c>
      <c r="K308" s="77" t="str">
        <f t="shared" si="45"/>
        <v>VP</v>
      </c>
      <c r="L308" s="59"/>
      <c r="M308" s="59"/>
      <c r="N308" s="59"/>
      <c r="O308" s="59"/>
      <c r="P308" s="59"/>
      <c r="Q308" s="59"/>
      <c r="R308" s="59"/>
      <c r="S308" s="59"/>
      <c r="T308" s="59"/>
      <c r="U308" s="59"/>
      <c r="V308" s="59"/>
      <c r="W308" s="59"/>
      <c r="X308" s="59"/>
      <c r="Y308" s="59"/>
      <c r="Z308" s="59"/>
    </row>
    <row r="309">
      <c r="A309" s="78" t="s">
        <v>2606</v>
      </c>
      <c r="B309" s="79">
        <v>30.0</v>
      </c>
      <c r="C309" s="78" t="str">
        <f>SD!J31</f>
        <v>In-situ monitoring the effect of acoustic vibration in the form of music on the motility of Escherichia coli</v>
      </c>
      <c r="D309" s="78" t="str">
        <f>SD!F31</f>
        <v>Inconforme</v>
      </c>
      <c r="E309" s="78" t="str">
        <f t="shared" si="41"/>
        <v>Inconforme</v>
      </c>
      <c r="F309" s="79" t="str">
        <f>SD!A31</f>
        <v>Inconforme</v>
      </c>
      <c r="G309" s="79" t="str">
        <f t="shared" si="42"/>
        <v>Acerto</v>
      </c>
      <c r="H309" s="79" t="str">
        <f t="shared" si="43"/>
        <v>VN</v>
      </c>
      <c r="I309" s="79" t="str">
        <f>SD!C31</f>
        <v>Inconforme</v>
      </c>
      <c r="J309" s="79" t="str">
        <f t="shared" si="44"/>
        <v>Acerto</v>
      </c>
      <c r="K309" s="79" t="str">
        <f t="shared" si="45"/>
        <v>VN</v>
      </c>
      <c r="L309" s="59"/>
      <c r="M309" s="59"/>
      <c r="N309" s="59"/>
      <c r="O309" s="59"/>
      <c r="P309" s="59"/>
      <c r="Q309" s="59"/>
      <c r="R309" s="59"/>
      <c r="S309" s="59"/>
      <c r="T309" s="59"/>
      <c r="U309" s="59"/>
      <c r="V309" s="59"/>
      <c r="W309" s="59"/>
      <c r="X309" s="59"/>
      <c r="Y309" s="59"/>
      <c r="Z309" s="59"/>
    </row>
    <row r="310">
      <c r="A310" s="76" t="s">
        <v>2606</v>
      </c>
      <c r="B310" s="77">
        <v>31.0</v>
      </c>
      <c r="C310" s="76" t="str">
        <f>SD!J32</f>
        <v>Industrial digital twins based on enterprise modeling: architecture, methodology, and engineering applications</v>
      </c>
      <c r="D310" s="76" t="str">
        <f>SD!F32</f>
        <v>Inconforme</v>
      </c>
      <c r="E310" s="76" t="str">
        <f t="shared" si="41"/>
        <v>Inconforme</v>
      </c>
      <c r="F310" s="77" t="str">
        <f>SD!A32</f>
        <v>Inconforme</v>
      </c>
      <c r="G310" s="77" t="str">
        <f t="shared" si="42"/>
        <v>Acerto</v>
      </c>
      <c r="H310" s="77" t="str">
        <f t="shared" si="43"/>
        <v>VN</v>
      </c>
      <c r="I310" s="77" t="str">
        <f>SD!C32</f>
        <v>Inconforme</v>
      </c>
      <c r="J310" s="77" t="str">
        <f t="shared" si="44"/>
        <v>Acerto</v>
      </c>
      <c r="K310" s="77" t="str">
        <f t="shared" si="45"/>
        <v>VN</v>
      </c>
      <c r="L310" s="59"/>
      <c r="M310" s="59"/>
      <c r="N310" s="59"/>
      <c r="O310" s="59"/>
      <c r="P310" s="59"/>
      <c r="Q310" s="59"/>
      <c r="R310" s="59"/>
      <c r="S310" s="59"/>
      <c r="T310" s="59"/>
      <c r="U310" s="59"/>
      <c r="V310" s="59"/>
      <c r="W310" s="59"/>
      <c r="X310" s="59"/>
      <c r="Y310" s="59"/>
      <c r="Z310" s="59"/>
    </row>
    <row r="311">
      <c r="A311" s="78" t="s">
        <v>2606</v>
      </c>
      <c r="B311" s="79">
        <v>32.0</v>
      </c>
      <c r="C311" s="78" t="str">
        <f>SD!J33</f>
        <v>Integrating a Multimodal Digital Device for Continuous Perioperative Monitoring in Patients With Lung Cancer Undergoing Thoracic Surgery: Development and Usability Study</v>
      </c>
      <c r="D311" s="78" t="str">
        <f>SD!F33</f>
        <v>Inconforme</v>
      </c>
      <c r="E311" s="78" t="str">
        <f t="shared" si="41"/>
        <v>Inconforme</v>
      </c>
      <c r="F311" s="79" t="str">
        <f>SD!A33</f>
        <v>Inconforme</v>
      </c>
      <c r="G311" s="79" t="str">
        <f t="shared" si="42"/>
        <v>Acerto</v>
      </c>
      <c r="H311" s="79" t="str">
        <f t="shared" si="43"/>
        <v>VN</v>
      </c>
      <c r="I311" s="79" t="str">
        <f>SD!C33</f>
        <v>Inconforme</v>
      </c>
      <c r="J311" s="79" t="str">
        <f t="shared" si="44"/>
        <v>Acerto</v>
      </c>
      <c r="K311" s="79" t="str">
        <f t="shared" si="45"/>
        <v>VN</v>
      </c>
      <c r="L311" s="59"/>
      <c r="M311" s="59"/>
      <c r="N311" s="59"/>
      <c r="O311" s="59"/>
      <c r="P311" s="59"/>
      <c r="Q311" s="59"/>
      <c r="R311" s="59"/>
      <c r="S311" s="59"/>
      <c r="T311" s="59"/>
      <c r="U311" s="59"/>
      <c r="V311" s="59"/>
      <c r="W311" s="59"/>
      <c r="X311" s="59"/>
      <c r="Y311" s="59"/>
      <c r="Z311" s="59"/>
    </row>
    <row r="312">
      <c r="A312" s="76" t="s">
        <v>2606</v>
      </c>
      <c r="B312" s="77">
        <v>33.0</v>
      </c>
      <c r="C312" s="76" t="str">
        <f>SD!J34</f>
        <v>Measurement of respiratory rate with cardiac belt: Metrological characterization</v>
      </c>
      <c r="D312" s="76" t="str">
        <f>SD!F34</f>
        <v>Inconforme</v>
      </c>
      <c r="E312" s="76" t="str">
        <f t="shared" si="41"/>
        <v>Inconforme</v>
      </c>
      <c r="F312" s="77" t="str">
        <f>SD!A34</f>
        <v>Inconforme</v>
      </c>
      <c r="G312" s="77" t="str">
        <f t="shared" si="42"/>
        <v>Acerto</v>
      </c>
      <c r="H312" s="77" t="str">
        <f t="shared" si="43"/>
        <v>VN</v>
      </c>
      <c r="I312" s="77" t="str">
        <f>SD!C34</f>
        <v>Inconforme</v>
      </c>
      <c r="J312" s="77" t="str">
        <f t="shared" si="44"/>
        <v>Acerto</v>
      </c>
      <c r="K312" s="77" t="str">
        <f t="shared" si="45"/>
        <v>VN</v>
      </c>
      <c r="L312" s="59"/>
      <c r="M312" s="59"/>
      <c r="N312" s="59"/>
      <c r="O312" s="59"/>
      <c r="P312" s="59"/>
      <c r="Q312" s="59"/>
      <c r="R312" s="59"/>
      <c r="S312" s="59"/>
      <c r="T312" s="59"/>
      <c r="U312" s="59"/>
      <c r="V312" s="59"/>
      <c r="W312" s="59"/>
      <c r="X312" s="59"/>
      <c r="Y312" s="59"/>
      <c r="Z312" s="59"/>
    </row>
    <row r="313">
      <c r="A313" s="78" t="s">
        <v>2606</v>
      </c>
      <c r="B313" s="79">
        <v>34.0</v>
      </c>
      <c r="C313" s="78" t="str">
        <f>SD!J35</f>
        <v>Neck-focused Remote Photoplethysmography (rPPG): A comparative study using clinical data and the PyVHR framework</v>
      </c>
      <c r="D313" s="78" t="str">
        <f>SD!F35</f>
        <v>Inconforme</v>
      </c>
      <c r="E313" s="78" t="str">
        <f t="shared" si="41"/>
        <v>Inconforme</v>
      </c>
      <c r="F313" s="79" t="str">
        <f>SD!A35</f>
        <v>Inconforme</v>
      </c>
      <c r="G313" s="79" t="str">
        <f t="shared" si="42"/>
        <v>Acerto</v>
      </c>
      <c r="H313" s="79" t="str">
        <f t="shared" si="43"/>
        <v>VN</v>
      </c>
      <c r="I313" s="79" t="str">
        <f>SD!C35</f>
        <v>Inconforme</v>
      </c>
      <c r="J313" s="79" t="str">
        <f t="shared" si="44"/>
        <v>Acerto</v>
      </c>
      <c r="K313" s="79" t="str">
        <f t="shared" si="45"/>
        <v>VN</v>
      </c>
      <c r="L313" s="59"/>
      <c r="M313" s="59"/>
      <c r="N313" s="59"/>
      <c r="O313" s="59"/>
      <c r="P313" s="59"/>
      <c r="Q313" s="59"/>
      <c r="R313" s="59"/>
      <c r="S313" s="59"/>
      <c r="T313" s="59"/>
      <c r="U313" s="59"/>
      <c r="V313" s="59"/>
      <c r="W313" s="59"/>
      <c r="X313" s="59"/>
      <c r="Y313" s="59"/>
      <c r="Z313" s="59"/>
    </row>
    <row r="314">
      <c r="A314" s="76" t="s">
        <v>2606</v>
      </c>
      <c r="B314" s="77">
        <v>35.0</v>
      </c>
      <c r="C314" s="76" t="str">
        <f>SD!J36</f>
        <v>Novel statistical time series data augmentation and machine learning based classification of unobtrusive respiration data for respiration Digital Twin model</v>
      </c>
      <c r="D314" s="76" t="str">
        <f>SD!F36</f>
        <v>Inconforme</v>
      </c>
      <c r="E314" s="76" t="str">
        <f t="shared" si="41"/>
        <v>Inconforme</v>
      </c>
      <c r="F314" s="77" t="str">
        <f>SD!A36</f>
        <v>Inconforme</v>
      </c>
      <c r="G314" s="77" t="str">
        <f t="shared" si="42"/>
        <v>Acerto</v>
      </c>
      <c r="H314" s="77" t="str">
        <f t="shared" si="43"/>
        <v>VN</v>
      </c>
      <c r="I314" s="77" t="str">
        <f>SD!C36</f>
        <v>Inconforme</v>
      </c>
      <c r="J314" s="77" t="str">
        <f t="shared" si="44"/>
        <v>Acerto</v>
      </c>
      <c r="K314" s="77" t="str">
        <f t="shared" si="45"/>
        <v>VN</v>
      </c>
      <c r="L314" s="59"/>
      <c r="M314" s="59"/>
      <c r="N314" s="59"/>
      <c r="O314" s="59"/>
      <c r="P314" s="59"/>
      <c r="Q314" s="59"/>
      <c r="R314" s="59"/>
      <c r="S314" s="59"/>
      <c r="T314" s="59"/>
      <c r="U314" s="59"/>
      <c r="V314" s="59"/>
      <c r="W314" s="59"/>
      <c r="X314" s="59"/>
      <c r="Y314" s="59"/>
      <c r="Z314" s="59"/>
    </row>
    <row r="315">
      <c r="A315" s="78" t="s">
        <v>2606</v>
      </c>
      <c r="B315" s="79">
        <v>36.0</v>
      </c>
      <c r="C315" s="78" t="str">
        <f>SD!J37</f>
        <v>Novel voltage Multiplier/Divider-based active square law detector for heartbeat measurement</v>
      </c>
      <c r="D315" s="78" t="str">
        <f>SD!F37</f>
        <v>Inconforme</v>
      </c>
      <c r="E315" s="78" t="str">
        <f t="shared" si="41"/>
        <v>Inconforme</v>
      </c>
      <c r="F315" s="79" t="str">
        <f>SD!A37</f>
        <v>Inconforme</v>
      </c>
      <c r="G315" s="79" t="str">
        <f t="shared" si="42"/>
        <v>Acerto</v>
      </c>
      <c r="H315" s="79" t="str">
        <f t="shared" si="43"/>
        <v>VN</v>
      </c>
      <c r="I315" s="79" t="str">
        <f>SD!C37</f>
        <v>Inconforme</v>
      </c>
      <c r="J315" s="79" t="str">
        <f t="shared" si="44"/>
        <v>Acerto</v>
      </c>
      <c r="K315" s="79" t="str">
        <f t="shared" si="45"/>
        <v>VN</v>
      </c>
      <c r="L315" s="59"/>
      <c r="M315" s="59"/>
      <c r="N315" s="59"/>
      <c r="O315" s="59"/>
      <c r="P315" s="59"/>
      <c r="Q315" s="59"/>
      <c r="R315" s="59"/>
      <c r="S315" s="59"/>
      <c r="T315" s="59"/>
      <c r="U315" s="59"/>
      <c r="V315" s="59"/>
      <c r="W315" s="59"/>
      <c r="X315" s="59"/>
      <c r="Y315" s="59"/>
      <c r="Z315" s="59"/>
    </row>
    <row r="316">
      <c r="A316" s="76" t="s">
        <v>2606</v>
      </c>
      <c r="B316" s="77">
        <v>37.0</v>
      </c>
      <c r="C316" s="76" t="str">
        <f>SD!J38</f>
        <v>On the composition of the long tail of business processes: Implications from a process mining study</v>
      </c>
      <c r="D316" s="76" t="str">
        <f>SD!F38</f>
        <v>Conforme</v>
      </c>
      <c r="E316" s="76" t="str">
        <f t="shared" si="41"/>
        <v>Conforme</v>
      </c>
      <c r="F316" s="77" t="str">
        <f>SD!A38</f>
        <v>Conforme</v>
      </c>
      <c r="G316" s="77" t="str">
        <f t="shared" si="42"/>
        <v>Acerto</v>
      </c>
      <c r="H316" s="77" t="str">
        <f t="shared" si="43"/>
        <v>VP</v>
      </c>
      <c r="I316" s="77" t="str">
        <f>SD!C38</f>
        <v>Conforme</v>
      </c>
      <c r="J316" s="77" t="str">
        <f t="shared" si="44"/>
        <v>Acerto</v>
      </c>
      <c r="K316" s="77" t="str">
        <f t="shared" si="45"/>
        <v>VP</v>
      </c>
      <c r="L316" s="59"/>
      <c r="M316" s="59"/>
      <c r="N316" s="59"/>
      <c r="O316" s="59"/>
      <c r="P316" s="59"/>
      <c r="Q316" s="59"/>
      <c r="R316" s="59"/>
      <c r="S316" s="59"/>
      <c r="T316" s="59"/>
      <c r="U316" s="59"/>
      <c r="V316" s="59"/>
      <c r="W316" s="59"/>
      <c r="X316" s="59"/>
      <c r="Y316" s="59"/>
      <c r="Z316" s="59"/>
    </row>
    <row r="317">
      <c r="A317" s="78" t="s">
        <v>2606</v>
      </c>
      <c r="B317" s="79">
        <v>38.0</v>
      </c>
      <c r="C317" s="78" t="str">
        <f>SD!J39</f>
        <v>Physiological-model-based neural network for modeling the metabolic–heart rate relationship during physical activities</v>
      </c>
      <c r="D317" s="78" t="str">
        <f>SD!F39</f>
        <v>Inconforme</v>
      </c>
      <c r="E317" s="78" t="str">
        <f t="shared" si="41"/>
        <v>Inconforme</v>
      </c>
      <c r="F317" s="79" t="str">
        <f>SD!A39</f>
        <v>Inconforme</v>
      </c>
      <c r="G317" s="79" t="str">
        <f t="shared" si="42"/>
        <v>Acerto</v>
      </c>
      <c r="H317" s="79" t="str">
        <f t="shared" si="43"/>
        <v>VN</v>
      </c>
      <c r="I317" s="79" t="str">
        <f>SD!C39</f>
        <v>Inconforme</v>
      </c>
      <c r="J317" s="79" t="str">
        <f t="shared" si="44"/>
        <v>Acerto</v>
      </c>
      <c r="K317" s="79" t="str">
        <f t="shared" si="45"/>
        <v>VN</v>
      </c>
      <c r="L317" s="59"/>
      <c r="M317" s="59"/>
      <c r="N317" s="59"/>
      <c r="O317" s="59"/>
      <c r="P317" s="59"/>
      <c r="Q317" s="59"/>
      <c r="R317" s="59"/>
      <c r="S317" s="59"/>
      <c r="T317" s="59"/>
      <c r="U317" s="59"/>
      <c r="V317" s="59"/>
      <c r="W317" s="59"/>
      <c r="X317" s="59"/>
      <c r="Y317" s="59"/>
      <c r="Z317" s="59"/>
    </row>
    <row r="318">
      <c r="A318" s="76" t="s">
        <v>2606</v>
      </c>
      <c r="B318" s="77">
        <v>39.0</v>
      </c>
      <c r="C318" s="76" t="str">
        <f>SD!J40</f>
        <v>Process Discovery in Industrial Valve Maintenance Using NFC Technology: A Scalable Business Process Mapping Approach for SMEs</v>
      </c>
      <c r="D318" s="76" t="str">
        <f>SD!F40</f>
        <v>Conforme</v>
      </c>
      <c r="E318" s="76" t="str">
        <f t="shared" si="41"/>
        <v>Conforme</v>
      </c>
      <c r="F318" s="77" t="str">
        <f>SD!A40</f>
        <v>Inconforme</v>
      </c>
      <c r="G318" s="77" t="str">
        <f t="shared" si="42"/>
        <v>Divergência</v>
      </c>
      <c r="H318" s="77" t="str">
        <f t="shared" si="43"/>
        <v>FN</v>
      </c>
      <c r="I318" s="77" t="str">
        <f>SD!C40</f>
        <v>Inconforme</v>
      </c>
      <c r="J318" s="77" t="str">
        <f t="shared" si="44"/>
        <v>Divergência</v>
      </c>
      <c r="K318" s="77" t="str">
        <f t="shared" si="45"/>
        <v>FN</v>
      </c>
      <c r="L318" s="59"/>
      <c r="M318" s="59"/>
      <c r="N318" s="59"/>
      <c r="O318" s="59"/>
      <c r="P318" s="59"/>
      <c r="Q318" s="59"/>
      <c r="R318" s="59"/>
      <c r="S318" s="59"/>
      <c r="T318" s="59"/>
      <c r="U318" s="59"/>
      <c r="V318" s="59"/>
      <c r="W318" s="59"/>
      <c r="X318" s="59"/>
      <c r="Y318" s="59"/>
      <c r="Z318" s="59"/>
    </row>
    <row r="319">
      <c r="A319" s="78" t="s">
        <v>2606</v>
      </c>
      <c r="B319" s="79">
        <v>40.0</v>
      </c>
      <c r="C319" s="78" t="str">
        <f>SD!J41</f>
        <v>Process fragments discovery from emails: Functional, data and behavioral perspectives discovery</v>
      </c>
      <c r="D319" s="78" t="str">
        <f>SD!F41</f>
        <v>Inconforme</v>
      </c>
      <c r="E319" s="78" t="str">
        <f t="shared" si="41"/>
        <v>Inconforme</v>
      </c>
      <c r="F319" s="79" t="str">
        <f>SD!A41</f>
        <v>Inconforme</v>
      </c>
      <c r="G319" s="79" t="str">
        <f t="shared" si="42"/>
        <v>Acerto</v>
      </c>
      <c r="H319" s="79" t="str">
        <f t="shared" si="43"/>
        <v>VN</v>
      </c>
      <c r="I319" s="79" t="str">
        <f>SD!C41</f>
        <v>Inconforme</v>
      </c>
      <c r="J319" s="79" t="str">
        <f t="shared" si="44"/>
        <v>Acerto</v>
      </c>
      <c r="K319" s="79" t="str">
        <f t="shared" si="45"/>
        <v>VN</v>
      </c>
      <c r="L319" s="59"/>
      <c r="M319" s="59"/>
      <c r="N319" s="59"/>
      <c r="O319" s="59"/>
      <c r="P319" s="59"/>
      <c r="Q319" s="59"/>
      <c r="R319" s="59"/>
      <c r="S319" s="59"/>
      <c r="T319" s="59"/>
      <c r="U319" s="59"/>
      <c r="V319" s="59"/>
      <c r="W319" s="59"/>
      <c r="X319" s="59"/>
      <c r="Y319" s="59"/>
      <c r="Z319" s="59"/>
    </row>
    <row r="320">
      <c r="A320" s="76" t="s">
        <v>2606</v>
      </c>
      <c r="B320" s="77">
        <v>41.0</v>
      </c>
      <c r="C320" s="76" t="str">
        <f>SD!J42</f>
        <v>Process improvement of a paediatric feeding clinic</v>
      </c>
      <c r="D320" s="76" t="str">
        <f>SD!F42</f>
        <v>Inconforme</v>
      </c>
      <c r="E320" s="76" t="str">
        <f t="shared" si="41"/>
        <v>Inconforme</v>
      </c>
      <c r="F320" s="77" t="str">
        <f>SD!A42</f>
        <v>Inconforme</v>
      </c>
      <c r="G320" s="77" t="str">
        <f t="shared" si="42"/>
        <v>Acerto</v>
      </c>
      <c r="H320" s="77" t="str">
        <f t="shared" si="43"/>
        <v>VN</v>
      </c>
      <c r="I320" s="77" t="str">
        <f>SD!C42</f>
        <v>Inconforme</v>
      </c>
      <c r="J320" s="77" t="str">
        <f t="shared" si="44"/>
        <v>Acerto</v>
      </c>
      <c r="K320" s="77" t="str">
        <f t="shared" si="45"/>
        <v>VN</v>
      </c>
      <c r="L320" s="59"/>
      <c r="M320" s="59"/>
      <c r="N320" s="59"/>
      <c r="O320" s="59"/>
      <c r="P320" s="59"/>
      <c r="Q320" s="59"/>
      <c r="R320" s="59"/>
      <c r="S320" s="59"/>
      <c r="T320" s="59"/>
      <c r="U320" s="59"/>
      <c r="V320" s="59"/>
      <c r="W320" s="59"/>
      <c r="X320" s="59"/>
      <c r="Y320" s="59"/>
      <c r="Z320" s="59"/>
    </row>
    <row r="321">
      <c r="A321" s="78" t="s">
        <v>2606</v>
      </c>
      <c r="B321" s="79">
        <v>42.0</v>
      </c>
      <c r="C321" s="78" t="str">
        <f>SD!J43</f>
        <v>Process modeling for smart factories: using science mapping to understand the strategic themes, main challenges and future trends</v>
      </c>
      <c r="D321" s="78" t="str">
        <f>SD!F43</f>
        <v>Inconforme</v>
      </c>
      <c r="E321" s="78" t="str">
        <f t="shared" si="41"/>
        <v>Inconforme</v>
      </c>
      <c r="F321" s="79" t="str">
        <f>SD!A43</f>
        <v>Inconforme</v>
      </c>
      <c r="G321" s="79" t="str">
        <f t="shared" si="42"/>
        <v>Acerto</v>
      </c>
      <c r="H321" s="79" t="str">
        <f t="shared" si="43"/>
        <v>VN</v>
      </c>
      <c r="I321" s="79" t="str">
        <f>SD!C43</f>
        <v>Inconforme</v>
      </c>
      <c r="J321" s="79" t="str">
        <f t="shared" si="44"/>
        <v>Acerto</v>
      </c>
      <c r="K321" s="79" t="str">
        <f t="shared" si="45"/>
        <v>VN</v>
      </c>
      <c r="L321" s="59"/>
      <c r="M321" s="59"/>
      <c r="N321" s="59"/>
      <c r="O321" s="59"/>
      <c r="P321" s="59"/>
      <c r="Q321" s="59"/>
      <c r="R321" s="59"/>
      <c r="S321" s="59"/>
      <c r="T321" s="59"/>
      <c r="U321" s="59"/>
      <c r="V321" s="59"/>
      <c r="W321" s="59"/>
      <c r="X321" s="59"/>
      <c r="Y321" s="59"/>
      <c r="Z321" s="59"/>
    </row>
    <row r="322">
      <c r="A322" s="76" t="s">
        <v>2606</v>
      </c>
      <c r="B322" s="77">
        <v>43.0</v>
      </c>
      <c r="C322" s="76" t="str">
        <f>SD!J44</f>
        <v>Redesigning healthcare service delivery processes through medical chatbot integrations: balancing chatbot features and patients’ individual differences</v>
      </c>
      <c r="D322" s="76" t="str">
        <f>SD!F44</f>
        <v>Inconforme</v>
      </c>
      <c r="E322" s="76" t="str">
        <f t="shared" si="41"/>
        <v>Inconforme</v>
      </c>
      <c r="F322" s="77" t="str">
        <f>SD!A44</f>
        <v>Inconforme</v>
      </c>
      <c r="G322" s="77" t="str">
        <f t="shared" si="42"/>
        <v>Acerto</v>
      </c>
      <c r="H322" s="77" t="str">
        <f t="shared" si="43"/>
        <v>VN</v>
      </c>
      <c r="I322" s="77" t="str">
        <f>SD!C44</f>
        <v>Inconforme</v>
      </c>
      <c r="J322" s="77" t="str">
        <f t="shared" si="44"/>
        <v>Acerto</v>
      </c>
      <c r="K322" s="77" t="str">
        <f t="shared" si="45"/>
        <v>VN</v>
      </c>
      <c r="L322" s="59"/>
      <c r="M322" s="59"/>
      <c r="N322" s="59"/>
      <c r="O322" s="59"/>
      <c r="P322" s="59"/>
      <c r="Q322" s="59"/>
      <c r="R322" s="59"/>
      <c r="S322" s="59"/>
      <c r="T322" s="59"/>
      <c r="U322" s="59"/>
      <c r="V322" s="59"/>
      <c r="W322" s="59"/>
      <c r="X322" s="59"/>
      <c r="Y322" s="59"/>
      <c r="Z322" s="59"/>
    </row>
    <row r="323">
      <c r="A323" s="78" t="s">
        <v>2606</v>
      </c>
      <c r="B323" s="79">
        <v>44.0</v>
      </c>
      <c r="C323" s="78" t="str">
        <f>SD!J45</f>
        <v>Rule-based Decision Support for No-Code Digitalized Processes</v>
      </c>
      <c r="D323" s="78" t="str">
        <f>SD!F45</f>
        <v>Inconforme</v>
      </c>
      <c r="E323" s="78" t="str">
        <f t="shared" si="41"/>
        <v>Inconforme</v>
      </c>
      <c r="F323" s="79" t="str">
        <f>SD!A45</f>
        <v>Inconforme</v>
      </c>
      <c r="G323" s="79" t="str">
        <f t="shared" si="42"/>
        <v>Acerto</v>
      </c>
      <c r="H323" s="79" t="str">
        <f t="shared" si="43"/>
        <v>VN</v>
      </c>
      <c r="I323" s="79" t="str">
        <f>SD!C45</f>
        <v>Inconforme</v>
      </c>
      <c r="J323" s="79" t="str">
        <f t="shared" si="44"/>
        <v>Acerto</v>
      </c>
      <c r="K323" s="79" t="str">
        <f t="shared" si="45"/>
        <v>VN</v>
      </c>
      <c r="L323" s="59"/>
      <c r="M323" s="59"/>
      <c r="N323" s="59"/>
      <c r="O323" s="59"/>
      <c r="P323" s="59"/>
      <c r="Q323" s="59"/>
      <c r="R323" s="59"/>
      <c r="S323" s="59"/>
      <c r="T323" s="59"/>
      <c r="U323" s="59"/>
      <c r="V323" s="59"/>
      <c r="W323" s="59"/>
      <c r="X323" s="59"/>
      <c r="Y323" s="59"/>
      <c r="Z323" s="59"/>
    </row>
    <row r="324">
      <c r="A324" s="76" t="s">
        <v>2606</v>
      </c>
      <c r="B324" s="77">
        <v>45.0</v>
      </c>
      <c r="C324" s="76" t="str">
        <f>SD!J46</f>
        <v>Stakeholder Perspectives on AI in Low-Code BPM for Manufacturing⁎⁎This work was financed by Military University of Technology under research project UGB 701/2024.</v>
      </c>
      <c r="D324" s="76" t="str">
        <f>SD!F46</f>
        <v>Conforme</v>
      </c>
      <c r="E324" s="76" t="str">
        <f t="shared" si="41"/>
        <v>Conforme</v>
      </c>
      <c r="F324" s="77" t="str">
        <f>SD!A46</f>
        <v>Conforme</v>
      </c>
      <c r="G324" s="77" t="str">
        <f t="shared" si="42"/>
        <v>Acerto</v>
      </c>
      <c r="H324" s="77" t="str">
        <f t="shared" si="43"/>
        <v>VP</v>
      </c>
      <c r="I324" s="77" t="str">
        <f>SD!C46</f>
        <v>Inconforme</v>
      </c>
      <c r="J324" s="77" t="str">
        <f t="shared" si="44"/>
        <v>Divergência</v>
      </c>
      <c r="K324" s="77" t="str">
        <f t="shared" si="45"/>
        <v>FN</v>
      </c>
      <c r="L324" s="59"/>
      <c r="M324" s="59"/>
      <c r="N324" s="59"/>
      <c r="O324" s="59"/>
      <c r="P324" s="59"/>
      <c r="Q324" s="59"/>
      <c r="R324" s="59"/>
      <c r="S324" s="59"/>
      <c r="T324" s="59"/>
      <c r="U324" s="59"/>
      <c r="V324" s="59"/>
      <c r="W324" s="59"/>
      <c r="X324" s="59"/>
      <c r="Y324" s="59"/>
      <c r="Z324" s="59"/>
    </row>
    <row r="325">
      <c r="A325" s="78" t="s">
        <v>2606</v>
      </c>
      <c r="B325" s="79">
        <v>46.0</v>
      </c>
      <c r="C325" s="78" t="str">
        <f>SD!J47</f>
        <v>Success factors of process digitalization projects – insights from an exploratory study</v>
      </c>
      <c r="D325" s="78" t="str">
        <f>SD!F47</f>
        <v>Inconforme -Artigos duplicados ou similares</v>
      </c>
      <c r="E325" s="78" t="str">
        <f t="shared" si="41"/>
        <v>Conforme</v>
      </c>
      <c r="F325" s="79" t="str">
        <f>SD!A47</f>
        <v>Inconforme</v>
      </c>
      <c r="G325" s="79" t="str">
        <f t="shared" si="42"/>
        <v>Divergência</v>
      </c>
      <c r="H325" s="79" t="str">
        <f t="shared" si="43"/>
        <v>FN</v>
      </c>
      <c r="I325" s="79" t="str">
        <f>SD!C47</f>
        <v>Inconforme</v>
      </c>
      <c r="J325" s="79" t="str">
        <f t="shared" si="44"/>
        <v>Divergência</v>
      </c>
      <c r="K325" s="79" t="str">
        <f t="shared" si="45"/>
        <v>FN</v>
      </c>
      <c r="L325" s="59"/>
      <c r="M325" s="59"/>
      <c r="N325" s="59"/>
      <c r="O325" s="59"/>
      <c r="P325" s="59"/>
      <c r="Q325" s="59"/>
      <c r="R325" s="59"/>
      <c r="S325" s="59"/>
      <c r="T325" s="59"/>
      <c r="U325" s="59"/>
      <c r="V325" s="59"/>
      <c r="W325" s="59"/>
      <c r="X325" s="59"/>
      <c r="Y325" s="59"/>
      <c r="Z325" s="59"/>
    </row>
    <row r="326">
      <c r="A326" s="76" t="s">
        <v>2606</v>
      </c>
      <c r="B326" s="77">
        <v>47.0</v>
      </c>
      <c r="C326" s="76" t="str">
        <f>SD!J48</f>
        <v>The biggest business process management problems to solve before we die</v>
      </c>
      <c r="D326" s="76" t="str">
        <f>SD!F48</f>
        <v>Inconforme</v>
      </c>
      <c r="E326" s="76" t="str">
        <f t="shared" si="41"/>
        <v>Inconforme</v>
      </c>
      <c r="F326" s="77" t="str">
        <f>SD!A48</f>
        <v>Inconforme</v>
      </c>
      <c r="G326" s="77" t="str">
        <f t="shared" si="42"/>
        <v>Acerto</v>
      </c>
      <c r="H326" s="77" t="str">
        <f t="shared" si="43"/>
        <v>VN</v>
      </c>
      <c r="I326" s="77" t="str">
        <f>SD!C48</f>
        <v>Inconforme</v>
      </c>
      <c r="J326" s="77" t="str">
        <f t="shared" si="44"/>
        <v>Acerto</v>
      </c>
      <c r="K326" s="77" t="str">
        <f t="shared" si="45"/>
        <v>VN</v>
      </c>
      <c r="L326" s="59"/>
      <c r="M326" s="59"/>
      <c r="N326" s="59"/>
      <c r="O326" s="59"/>
      <c r="P326" s="59"/>
      <c r="Q326" s="59"/>
      <c r="R326" s="59"/>
      <c r="S326" s="59"/>
      <c r="T326" s="59"/>
      <c r="U326" s="59"/>
      <c r="V326" s="59"/>
      <c r="W326" s="59"/>
      <c r="X326" s="59"/>
      <c r="Y326" s="59"/>
      <c r="Z326" s="59"/>
    </row>
    <row r="327">
      <c r="A327" s="78" t="s">
        <v>2606</v>
      </c>
      <c r="B327" s="79">
        <v>48.0</v>
      </c>
      <c r="C327" s="78" t="str">
        <f>SD!J49</f>
        <v>The Role of Business Process Management in Digital Innovation and Digital Transformation: A Systematic Literature Review</v>
      </c>
      <c r="D327" s="78" t="str">
        <f>SD!F49</f>
        <v>Inconforme</v>
      </c>
      <c r="E327" s="78" t="str">
        <f t="shared" si="41"/>
        <v>Inconforme</v>
      </c>
      <c r="F327" s="79" t="str">
        <f>SD!A49</f>
        <v>Inconforme</v>
      </c>
      <c r="G327" s="79" t="str">
        <f t="shared" si="42"/>
        <v>Acerto</v>
      </c>
      <c r="H327" s="79" t="str">
        <f t="shared" si="43"/>
        <v>VN</v>
      </c>
      <c r="I327" s="79" t="str">
        <f>SD!C49</f>
        <v>Inconforme</v>
      </c>
      <c r="J327" s="79" t="str">
        <f t="shared" si="44"/>
        <v>Acerto</v>
      </c>
      <c r="K327" s="79" t="str">
        <f t="shared" si="45"/>
        <v>VN</v>
      </c>
      <c r="L327" s="59"/>
      <c r="M327" s="59"/>
      <c r="N327" s="59"/>
      <c r="O327" s="59"/>
      <c r="P327" s="59"/>
      <c r="Q327" s="59"/>
      <c r="R327" s="59"/>
      <c r="S327" s="59"/>
      <c r="T327" s="59"/>
      <c r="U327" s="59"/>
      <c r="V327" s="59"/>
      <c r="W327" s="59"/>
      <c r="X327" s="59"/>
      <c r="Y327" s="59"/>
      <c r="Z327" s="59"/>
    </row>
    <row r="328">
      <c r="A328" s="76" t="s">
        <v>2606</v>
      </c>
      <c r="B328" s="77">
        <v>49.0</v>
      </c>
      <c r="C328" s="76" t="str">
        <f>SD!J50</f>
        <v>The use of business and technology management (BTM) integrated practice in business development initiatives – an ADR cycle</v>
      </c>
      <c r="D328" s="76" t="str">
        <f>SD!F50</f>
        <v>Inconforme</v>
      </c>
      <c r="E328" s="76" t="str">
        <f t="shared" si="41"/>
        <v>Inconforme</v>
      </c>
      <c r="F328" s="77" t="str">
        <f>SD!A50</f>
        <v>Inconforme</v>
      </c>
      <c r="G328" s="77" t="str">
        <f t="shared" si="42"/>
        <v>Acerto</v>
      </c>
      <c r="H328" s="77" t="str">
        <f t="shared" si="43"/>
        <v>VN</v>
      </c>
      <c r="I328" s="77" t="str">
        <f>SD!C50</f>
        <v>Inconforme</v>
      </c>
      <c r="J328" s="77" t="str">
        <f t="shared" si="44"/>
        <v>Acerto</v>
      </c>
      <c r="K328" s="77" t="str">
        <f t="shared" si="45"/>
        <v>VN</v>
      </c>
      <c r="L328" s="59"/>
      <c r="M328" s="59"/>
      <c r="N328" s="59"/>
      <c r="O328" s="59"/>
      <c r="P328" s="59"/>
      <c r="Q328" s="59"/>
      <c r="R328" s="59"/>
      <c r="S328" s="59"/>
      <c r="T328" s="59"/>
      <c r="U328" s="59"/>
      <c r="V328" s="59"/>
      <c r="W328" s="59"/>
      <c r="X328" s="59"/>
      <c r="Y328" s="59"/>
      <c r="Z328" s="59"/>
    </row>
    <row r="329">
      <c r="A329" s="78" t="s">
        <v>2606</v>
      </c>
      <c r="B329" s="79">
        <v>50.0</v>
      </c>
      <c r="C329" s="78" t="str">
        <f>SD!J51</f>
        <v>Towards a method to quantitatively measure toolchain interoperability in the engineering lifecycle: A case study of digital hardware design</v>
      </c>
      <c r="D329" s="78" t="str">
        <f>SD!F51</f>
        <v>Inconforme</v>
      </c>
      <c r="E329" s="78" t="str">
        <f t="shared" si="41"/>
        <v>Inconforme</v>
      </c>
      <c r="F329" s="79" t="str">
        <f>SD!A51</f>
        <v>Inconforme</v>
      </c>
      <c r="G329" s="79" t="str">
        <f t="shared" si="42"/>
        <v>Acerto</v>
      </c>
      <c r="H329" s="79" t="str">
        <f t="shared" si="43"/>
        <v>VN</v>
      </c>
      <c r="I329" s="79" t="str">
        <f>SD!C51</f>
        <v>Inconforme</v>
      </c>
      <c r="J329" s="79" t="str">
        <f t="shared" si="44"/>
        <v>Acerto</v>
      </c>
      <c r="K329" s="79" t="str">
        <f t="shared" si="45"/>
        <v>VN</v>
      </c>
      <c r="L329" s="59"/>
      <c r="M329" s="59"/>
      <c r="N329" s="59"/>
      <c r="O329" s="59"/>
      <c r="P329" s="59"/>
      <c r="Q329" s="59"/>
      <c r="R329" s="59"/>
      <c r="S329" s="59"/>
      <c r="T329" s="59"/>
      <c r="U329" s="59"/>
      <c r="V329" s="59"/>
      <c r="W329" s="59"/>
      <c r="X329" s="59"/>
      <c r="Y329" s="59"/>
      <c r="Z329" s="59"/>
    </row>
    <row r="330">
      <c r="A330" s="76" t="s">
        <v>2606</v>
      </c>
      <c r="B330" s="77">
        <v>51.0</v>
      </c>
      <c r="C330" s="76" t="str">
        <f>SD!J52</f>
        <v>Towards the Path of Process Digitalization:</v>
      </c>
      <c r="D330" s="76" t="str">
        <f>SD!F52</f>
        <v>Inconforme</v>
      </c>
      <c r="E330" s="76" t="str">
        <f t="shared" si="41"/>
        <v>Inconforme</v>
      </c>
      <c r="F330" s="77" t="str">
        <f>SD!A52</f>
        <v>Inconforme</v>
      </c>
      <c r="G330" s="77" t="str">
        <f t="shared" si="42"/>
        <v>Acerto</v>
      </c>
      <c r="H330" s="77" t="str">
        <f t="shared" si="43"/>
        <v>VN</v>
      </c>
      <c r="I330" s="77" t="str">
        <f>SD!C52</f>
        <v>Inconforme</v>
      </c>
      <c r="J330" s="77" t="str">
        <f t="shared" si="44"/>
        <v>Acerto</v>
      </c>
      <c r="K330" s="77" t="str">
        <f t="shared" si="45"/>
        <v>VN</v>
      </c>
      <c r="L330" s="59"/>
      <c r="M330" s="59"/>
      <c r="N330" s="59"/>
      <c r="O330" s="59"/>
      <c r="P330" s="59"/>
      <c r="Q330" s="59"/>
      <c r="R330" s="59"/>
      <c r="S330" s="59"/>
      <c r="T330" s="59"/>
      <c r="U330" s="59"/>
      <c r="V330" s="59"/>
      <c r="W330" s="59"/>
      <c r="X330" s="59"/>
      <c r="Y330" s="59"/>
      <c r="Z330" s="59"/>
    </row>
    <row r="331">
      <c r="A331" s="78" t="s">
        <v>2606</v>
      </c>
      <c r="B331" s="79">
        <v>52.0</v>
      </c>
      <c r="C331" s="78" t="str">
        <f>SD!J53</f>
        <v>Translating transparency into value: an approach to design IoT solutions</v>
      </c>
      <c r="D331" s="78" t="str">
        <f>SD!F53</f>
        <v>Inconforme</v>
      </c>
      <c r="E331" s="78" t="str">
        <f t="shared" si="41"/>
        <v>Inconforme</v>
      </c>
      <c r="F331" s="79" t="str">
        <f>SD!A53</f>
        <v>Inconforme</v>
      </c>
      <c r="G331" s="79" t="str">
        <f t="shared" si="42"/>
        <v>Acerto</v>
      </c>
      <c r="H331" s="79" t="str">
        <f t="shared" si="43"/>
        <v>VN</v>
      </c>
      <c r="I331" s="79" t="str">
        <f>SD!C53</f>
        <v>Inconforme</v>
      </c>
      <c r="J331" s="79" t="str">
        <f t="shared" si="44"/>
        <v>Acerto</v>
      </c>
      <c r="K331" s="79" t="str">
        <f t="shared" si="45"/>
        <v>VN</v>
      </c>
      <c r="L331" s="59"/>
      <c r="M331" s="59"/>
      <c r="N331" s="59"/>
      <c r="O331" s="59"/>
      <c r="P331" s="59"/>
      <c r="Q331" s="59"/>
      <c r="R331" s="59"/>
      <c r="S331" s="59"/>
      <c r="T331" s="59"/>
      <c r="U331" s="59"/>
      <c r="V331" s="59"/>
      <c r="W331" s="59"/>
      <c r="X331" s="59"/>
      <c r="Y331" s="59"/>
      <c r="Z331" s="59"/>
    </row>
    <row r="332">
      <c r="A332" s="76" t="s">
        <v>2606</v>
      </c>
      <c r="B332" s="77">
        <v>53.0</v>
      </c>
      <c r="C332" s="76" t="str">
        <f>SD!J54</f>
        <v>Trends in sensor-based health metrics during and after pregnancy: descriptive data from the apple women's health study</v>
      </c>
      <c r="D332" s="76" t="str">
        <f>SD!F54</f>
        <v>Inconforme</v>
      </c>
      <c r="E332" s="76" t="str">
        <f t="shared" si="41"/>
        <v>Inconforme</v>
      </c>
      <c r="F332" s="77" t="str">
        <f>SD!A54</f>
        <v>Inconforme</v>
      </c>
      <c r="G332" s="77" t="str">
        <f t="shared" si="42"/>
        <v>Acerto</v>
      </c>
      <c r="H332" s="77" t="str">
        <f t="shared" si="43"/>
        <v>VN</v>
      </c>
      <c r="I332" s="77" t="str">
        <f>SD!C54</f>
        <v>Inconforme</v>
      </c>
      <c r="J332" s="77" t="str">
        <f t="shared" si="44"/>
        <v>Acerto</v>
      </c>
      <c r="K332" s="77" t="str">
        <f t="shared" si="45"/>
        <v>VN</v>
      </c>
      <c r="L332" s="59"/>
      <c r="M332" s="59"/>
      <c r="N332" s="59"/>
      <c r="O332" s="59"/>
      <c r="P332" s="59"/>
      <c r="Q332" s="59"/>
      <c r="R332" s="59"/>
      <c r="S332" s="59"/>
      <c r="T332" s="59"/>
      <c r="U332" s="59"/>
      <c r="V332" s="59"/>
      <c r="W332" s="59"/>
      <c r="X332" s="59"/>
      <c r="Y332" s="59"/>
      <c r="Z332" s="59"/>
    </row>
    <row r="333">
      <c r="A333" s="78" t="s">
        <v>2606</v>
      </c>
      <c r="B333" s="79">
        <v>54.0</v>
      </c>
      <c r="C333" s="78" t="str">
        <f>SD!J55</f>
        <v>Unlocking the potential of digital innovations on BPM: a bibliometric and systematic literature review</v>
      </c>
      <c r="D333" s="78" t="str">
        <f>SD!F55</f>
        <v>Inconforme</v>
      </c>
      <c r="E333" s="78" t="str">
        <f t="shared" si="41"/>
        <v>Inconforme</v>
      </c>
      <c r="F333" s="79" t="str">
        <f>SD!A55</f>
        <v>Inconforme</v>
      </c>
      <c r="G333" s="79" t="str">
        <f t="shared" si="42"/>
        <v>Acerto</v>
      </c>
      <c r="H333" s="79" t="str">
        <f t="shared" si="43"/>
        <v>VN</v>
      </c>
      <c r="I333" s="79" t="str">
        <f>SD!C55</f>
        <v>Inconforme</v>
      </c>
      <c r="J333" s="79" t="str">
        <f t="shared" si="44"/>
        <v>Acerto</v>
      </c>
      <c r="K333" s="79" t="str">
        <f t="shared" si="45"/>
        <v>VN</v>
      </c>
      <c r="L333" s="59"/>
      <c r="M333" s="59"/>
      <c r="N333" s="59"/>
      <c r="O333" s="59"/>
      <c r="P333" s="59"/>
      <c r="Q333" s="59"/>
      <c r="R333" s="59"/>
      <c r="S333" s="59"/>
      <c r="T333" s="59"/>
      <c r="U333" s="59"/>
      <c r="V333" s="59"/>
      <c r="W333" s="59"/>
      <c r="X333" s="59"/>
      <c r="Y333" s="59"/>
      <c r="Z333" s="59"/>
    </row>
    <row r="334">
      <c r="A334" s="76" t="s">
        <v>2606</v>
      </c>
      <c r="B334" s="77">
        <v>55.0</v>
      </c>
      <c r="C334" s="76" t="str">
        <f>SD!J56</f>
        <v>Unlocking the promise of process mining: shaping perceptions and impact in the public sector</v>
      </c>
      <c r="D334" s="76" t="str">
        <f>SD!F56</f>
        <v>Inconforme -Artigos duplicados ou similares</v>
      </c>
      <c r="E334" s="76" t="str">
        <f t="shared" si="41"/>
        <v>Conforme</v>
      </c>
      <c r="F334" s="77" t="str">
        <f>SD!A56</f>
        <v>Conforme</v>
      </c>
      <c r="G334" s="77" t="str">
        <f t="shared" si="42"/>
        <v>Acerto</v>
      </c>
      <c r="H334" s="77" t="str">
        <f t="shared" si="43"/>
        <v>VP</v>
      </c>
      <c r="I334" s="77" t="str">
        <f>SD!C56</f>
        <v>Conforme</v>
      </c>
      <c r="J334" s="77" t="str">
        <f t="shared" si="44"/>
        <v>Acerto</v>
      </c>
      <c r="K334" s="77" t="str">
        <f t="shared" si="45"/>
        <v>VP</v>
      </c>
      <c r="L334" s="59"/>
      <c r="M334" s="59"/>
      <c r="N334" s="59"/>
      <c r="O334" s="59"/>
      <c r="P334" s="59"/>
      <c r="Q334" s="59"/>
      <c r="R334" s="59"/>
      <c r="S334" s="59"/>
      <c r="T334" s="59"/>
      <c r="U334" s="59"/>
      <c r="V334" s="59"/>
      <c r="W334" s="59"/>
      <c r="X334" s="59"/>
      <c r="Y334" s="59"/>
      <c r="Z334" s="59"/>
    </row>
    <row r="335">
      <c r="A335" s="78" t="s">
        <v>2606</v>
      </c>
      <c r="B335" s="79">
        <v>56.0</v>
      </c>
      <c r="C335" s="78" t="str">
        <f>SD!J57</f>
        <v>Unraveling the trends in business process management: a comprehensive bibliometric analysis of management and business literature</v>
      </c>
      <c r="D335" s="78" t="str">
        <f>SD!F57</f>
        <v>Inconforme</v>
      </c>
      <c r="E335" s="78" t="str">
        <f t="shared" si="41"/>
        <v>Inconforme</v>
      </c>
      <c r="F335" s="79" t="str">
        <f>SD!A57</f>
        <v>Inconforme</v>
      </c>
      <c r="G335" s="79" t="str">
        <f t="shared" si="42"/>
        <v>Acerto</v>
      </c>
      <c r="H335" s="79" t="str">
        <f t="shared" si="43"/>
        <v>VN</v>
      </c>
      <c r="I335" s="79" t="str">
        <f>SD!C57</f>
        <v>Inconforme</v>
      </c>
      <c r="J335" s="79" t="str">
        <f t="shared" si="44"/>
        <v>Acerto</v>
      </c>
      <c r="K335" s="79" t="str">
        <f t="shared" si="45"/>
        <v>VN</v>
      </c>
      <c r="L335" s="59"/>
      <c r="M335" s="59"/>
      <c r="N335" s="59"/>
      <c r="O335" s="59"/>
      <c r="P335" s="59"/>
      <c r="Q335" s="59"/>
      <c r="R335" s="59"/>
      <c r="S335" s="59"/>
      <c r="T335" s="59"/>
      <c r="U335" s="59"/>
      <c r="V335" s="59"/>
      <c r="W335" s="59"/>
      <c r="X335" s="59"/>
      <c r="Y335" s="59"/>
      <c r="Z335" s="59"/>
    </row>
    <row r="336">
      <c r="A336" s="76" t="s">
        <v>2606</v>
      </c>
      <c r="B336" s="77">
        <v>57.0</v>
      </c>
      <c r="C336" s="76" t="str">
        <f>SD!J58</f>
        <v>Unveiling how business process management capabilities foster dynamic decision-making for effectiveness of sustainable digital transformation</v>
      </c>
      <c r="D336" s="76" t="str">
        <f>SD!F58</f>
        <v>Inconforme -Artigos duplicados ou similares</v>
      </c>
      <c r="E336" s="76" t="str">
        <f t="shared" si="41"/>
        <v>Conforme</v>
      </c>
      <c r="F336" s="77" t="str">
        <f>SD!A58</f>
        <v>Conforme</v>
      </c>
      <c r="G336" s="77" t="str">
        <f t="shared" si="42"/>
        <v>Acerto</v>
      </c>
      <c r="H336" s="77" t="str">
        <f t="shared" si="43"/>
        <v>VP</v>
      </c>
      <c r="I336" s="77" t="str">
        <f>SD!C58</f>
        <v>Inconforme</v>
      </c>
      <c r="J336" s="77" t="str">
        <f t="shared" si="44"/>
        <v>Divergência</v>
      </c>
      <c r="K336" s="77" t="str">
        <f t="shared" si="45"/>
        <v>FN</v>
      </c>
      <c r="L336" s="59"/>
      <c r="M336" s="59"/>
      <c r="N336" s="59"/>
      <c r="O336" s="59"/>
      <c r="P336" s="59"/>
      <c r="Q336" s="59"/>
      <c r="R336" s="59"/>
      <c r="S336" s="59"/>
      <c r="T336" s="59"/>
      <c r="U336" s="59"/>
      <c r="V336" s="59"/>
      <c r="W336" s="59"/>
      <c r="X336" s="59"/>
      <c r="Y336" s="59"/>
      <c r="Z336" s="59"/>
    </row>
    <row r="337">
      <c r="A337" s="78" t="s">
        <v>2606</v>
      </c>
      <c r="B337" s="79">
        <v>58.0</v>
      </c>
      <c r="C337" s="78" t="str">
        <f>SD!J59</f>
        <v>Utilizing the omnipresent: Incorporating digital documents into predictive process monitoring using deep neural networks</v>
      </c>
      <c r="D337" s="78" t="str">
        <f>SD!F59</f>
        <v>Inconforme</v>
      </c>
      <c r="E337" s="78" t="str">
        <f t="shared" si="41"/>
        <v>Inconforme</v>
      </c>
      <c r="F337" s="79" t="str">
        <f>SD!A59</f>
        <v>Inconforme</v>
      </c>
      <c r="G337" s="79" t="str">
        <f t="shared" si="42"/>
        <v>Acerto</v>
      </c>
      <c r="H337" s="79" t="str">
        <f t="shared" si="43"/>
        <v>VN</v>
      </c>
      <c r="I337" s="79" t="str">
        <f>SD!C59</f>
        <v>Inconforme</v>
      </c>
      <c r="J337" s="79" t="str">
        <f t="shared" si="44"/>
        <v>Acerto</v>
      </c>
      <c r="K337" s="79" t="str">
        <f t="shared" si="45"/>
        <v>VN</v>
      </c>
      <c r="L337" s="59"/>
      <c r="M337" s="59"/>
      <c r="N337" s="59"/>
      <c r="O337" s="59"/>
      <c r="P337" s="59"/>
      <c r="Q337" s="59"/>
      <c r="R337" s="59"/>
      <c r="S337" s="59"/>
      <c r="T337" s="59"/>
      <c r="U337" s="59"/>
      <c r="V337" s="59"/>
      <c r="W337" s="59"/>
      <c r="X337" s="59"/>
      <c r="Y337" s="59"/>
      <c r="Z337" s="59"/>
    </row>
    <row r="338">
      <c r="A338" s="76" t="s">
        <v>2606</v>
      </c>
      <c r="B338" s="77">
        <v>59.0</v>
      </c>
      <c r="C338" s="76" t="str">
        <f>SD!J60</f>
        <v>Validity, Accuracy, and Safety Assessment of an Aerobic Interval Training Using an App-Based Prehabilitation Program (PROTEGO MAXIMA Trial) Before Major Surgery: Prospective, Interventional Pilot Study</v>
      </c>
      <c r="D338" s="76" t="str">
        <f>SD!F60</f>
        <v>Inconforme</v>
      </c>
      <c r="E338" s="76" t="str">
        <f t="shared" si="41"/>
        <v>Inconforme</v>
      </c>
      <c r="F338" s="77" t="str">
        <f>SD!A60</f>
        <v>Inconforme</v>
      </c>
      <c r="G338" s="77" t="str">
        <f t="shared" si="42"/>
        <v>Acerto</v>
      </c>
      <c r="H338" s="77" t="str">
        <f t="shared" si="43"/>
        <v>VN</v>
      </c>
      <c r="I338" s="77" t="str">
        <f>SD!C60</f>
        <v>Inconforme</v>
      </c>
      <c r="J338" s="77" t="str">
        <f t="shared" si="44"/>
        <v>Acerto</v>
      </c>
      <c r="K338" s="77" t="str">
        <f t="shared" si="45"/>
        <v>VN</v>
      </c>
      <c r="L338" s="59"/>
      <c r="M338" s="59"/>
      <c r="N338" s="59"/>
      <c r="O338" s="59"/>
      <c r="P338" s="59"/>
      <c r="Q338" s="59"/>
      <c r="R338" s="59"/>
      <c r="S338" s="59"/>
      <c r="T338" s="59"/>
      <c r="U338" s="59"/>
      <c r="V338" s="59"/>
      <c r="W338" s="59"/>
      <c r="X338" s="59"/>
      <c r="Y338" s="59"/>
      <c r="Z338" s="59"/>
    </row>
    <row r="339">
      <c r="A339" s="78" t="s">
        <v>2606</v>
      </c>
      <c r="B339" s="79">
        <v>60.0</v>
      </c>
      <c r="C339" s="78" t="str">
        <f>SD!J61</f>
        <v>VIDE-LEO:</v>
      </c>
      <c r="D339" s="78" t="str">
        <f>SD!F61</f>
        <v>Inconforme</v>
      </c>
      <c r="E339" s="78" t="str">
        <f t="shared" si="41"/>
        <v>Inconforme</v>
      </c>
      <c r="F339" s="79" t="str">
        <f>SD!A61</f>
        <v>Inconforme</v>
      </c>
      <c r="G339" s="79" t="str">
        <f t="shared" si="42"/>
        <v>Acerto</v>
      </c>
      <c r="H339" s="79" t="str">
        <f t="shared" si="43"/>
        <v>VN</v>
      </c>
      <c r="I339" s="79" t="str">
        <f>SD!C61</f>
        <v>Inconforme</v>
      </c>
      <c r="J339" s="79" t="str">
        <f t="shared" si="44"/>
        <v>Acerto</v>
      </c>
      <c r="K339" s="79" t="str">
        <f t="shared" si="45"/>
        <v>VN</v>
      </c>
      <c r="L339" s="59"/>
      <c r="M339" s="59"/>
      <c r="N339" s="59"/>
      <c r="O339" s="59"/>
      <c r="P339" s="59"/>
      <c r="Q339" s="59"/>
      <c r="R339" s="59"/>
      <c r="S339" s="59"/>
      <c r="T339" s="59"/>
      <c r="U339" s="59"/>
      <c r="V339" s="59"/>
      <c r="W339" s="59"/>
      <c r="X339" s="59"/>
      <c r="Y339" s="59"/>
      <c r="Z339" s="59"/>
    </row>
    <row r="340">
      <c r="A340" s="76" t="s">
        <v>2607</v>
      </c>
      <c r="B340" s="77">
        <v>1.0</v>
      </c>
      <c r="C340" s="76" t="str">
        <f>Emerald!J2</f>
        <v>What configurations of big data use facilitate digital supply chain performance? An integrative perspective of SEM-fsQCA</v>
      </c>
      <c r="D340" s="76" t="str">
        <f>Emerald!F2</f>
        <v>Inconforme</v>
      </c>
      <c r="E340" s="76" t="str">
        <f t="shared" si="41"/>
        <v>Inconforme</v>
      </c>
      <c r="F340" s="77" t="str">
        <f>Emerald!A2</f>
        <v>Inconforme</v>
      </c>
      <c r="G340" s="77" t="str">
        <f t="shared" si="42"/>
        <v>Acerto</v>
      </c>
      <c r="H340" s="77" t="str">
        <f t="shared" si="43"/>
        <v>VN</v>
      </c>
      <c r="I340" s="77" t="str">
        <f>Emerald!C2</f>
        <v>Inconforme</v>
      </c>
      <c r="J340" s="77" t="str">
        <f t="shared" si="44"/>
        <v>Acerto</v>
      </c>
      <c r="K340" s="77" t="str">
        <f t="shared" si="45"/>
        <v>VN</v>
      </c>
      <c r="L340" s="59"/>
      <c r="M340" s="59"/>
      <c r="N340" s="59"/>
      <c r="O340" s="59"/>
      <c r="P340" s="59"/>
      <c r="Q340" s="59"/>
      <c r="R340" s="59"/>
      <c r="S340" s="59"/>
      <c r="T340" s="59"/>
      <c r="U340" s="59"/>
      <c r="V340" s="59"/>
      <c r="W340" s="59"/>
      <c r="X340" s="59"/>
      <c r="Y340" s="59"/>
      <c r="Z340" s="59"/>
    </row>
    <row r="341">
      <c r="A341" s="78" t="s">
        <v>2607</v>
      </c>
      <c r="B341" s="79">
        <v>2.0</v>
      </c>
      <c r="C341" s="78" t="str">
        <f>Emerald!J3</f>
        <v>The centrality of cybersecurity: business models, competitive strategies and sustainability practices</v>
      </c>
      <c r="D341" s="78" t="str">
        <f>Emerald!F3</f>
        <v>Conforme</v>
      </c>
      <c r="E341" s="78" t="str">
        <f t="shared" si="41"/>
        <v>Conforme</v>
      </c>
      <c r="F341" s="79" t="str">
        <f>Emerald!A3</f>
        <v>Conforme</v>
      </c>
      <c r="G341" s="79" t="str">
        <f t="shared" si="42"/>
        <v>Acerto</v>
      </c>
      <c r="H341" s="79" t="str">
        <f t="shared" si="43"/>
        <v>VP</v>
      </c>
      <c r="I341" s="79" t="str">
        <f>Emerald!C3</f>
        <v>Conforme</v>
      </c>
      <c r="J341" s="79" t="str">
        <f t="shared" si="44"/>
        <v>Acerto</v>
      </c>
      <c r="K341" s="79" t="str">
        <f t="shared" si="45"/>
        <v>VP</v>
      </c>
      <c r="L341" s="59"/>
      <c r="M341" s="59"/>
      <c r="N341" s="59"/>
      <c r="O341" s="59"/>
      <c r="P341" s="59"/>
      <c r="Q341" s="59"/>
      <c r="R341" s="59"/>
      <c r="S341" s="59"/>
      <c r="T341" s="59"/>
      <c r="U341" s="59"/>
      <c r="V341" s="59"/>
      <c r="W341" s="59"/>
      <c r="X341" s="59"/>
      <c r="Y341" s="59"/>
      <c r="Z341" s="59"/>
    </row>
    <row r="342">
      <c r="A342" s="76" t="s">
        <v>2607</v>
      </c>
      <c r="B342" s="77">
        <v>3.0</v>
      </c>
      <c r="C342" s="76" t="str">
        <f>Emerald!J4</f>
        <v>Enabling women entrepreneurs through digital transformation: a business process technology perspective from emerging economies</v>
      </c>
      <c r="D342" s="76" t="str">
        <f>Emerald!F4</f>
        <v>Conforme</v>
      </c>
      <c r="E342" s="76" t="str">
        <f t="shared" si="41"/>
        <v>Conforme</v>
      </c>
      <c r="F342" s="77" t="str">
        <f>Emerald!A4</f>
        <v>Inconforme</v>
      </c>
      <c r="G342" s="77" t="str">
        <f t="shared" si="42"/>
        <v>Divergência</v>
      </c>
      <c r="H342" s="77" t="str">
        <f t="shared" si="43"/>
        <v>FN</v>
      </c>
      <c r="I342" s="77" t="str">
        <f>Emerald!C4</f>
        <v>Inconforme</v>
      </c>
      <c r="J342" s="77" t="str">
        <f t="shared" si="44"/>
        <v>Divergência</v>
      </c>
      <c r="K342" s="77" t="str">
        <f t="shared" si="45"/>
        <v>FN</v>
      </c>
      <c r="L342" s="59"/>
      <c r="M342" s="59"/>
      <c r="N342" s="59"/>
      <c r="O342" s="59"/>
      <c r="P342" s="59"/>
      <c r="Q342" s="59"/>
      <c r="R342" s="59"/>
      <c r="S342" s="59"/>
      <c r="T342" s="59"/>
      <c r="U342" s="59"/>
      <c r="V342" s="59"/>
      <c r="W342" s="59"/>
      <c r="X342" s="59"/>
      <c r="Y342" s="59"/>
      <c r="Z342" s="59"/>
    </row>
    <row r="343">
      <c r="A343" s="78" t="s">
        <v>2607</v>
      </c>
      <c r="B343" s="79">
        <v>4.0</v>
      </c>
      <c r="C343" s="78" t="str">
        <f>Emerald!J5</f>
        <v>The evolving mandate of project management offices: governance, innovation, and performance, evidence from a longitudinal case study</v>
      </c>
      <c r="D343" s="78" t="str">
        <f>Emerald!F5</f>
        <v>Inconforme</v>
      </c>
      <c r="E343" s="78" t="str">
        <f t="shared" si="41"/>
        <v>Inconforme</v>
      </c>
      <c r="F343" s="79" t="str">
        <f>Emerald!A5</f>
        <v>Inconforme</v>
      </c>
      <c r="G343" s="79" t="str">
        <f t="shared" si="42"/>
        <v>Acerto</v>
      </c>
      <c r="H343" s="79" t="str">
        <f t="shared" si="43"/>
        <v>VN</v>
      </c>
      <c r="I343" s="79" t="str">
        <f>Emerald!C5</f>
        <v>Inconforme</v>
      </c>
      <c r="J343" s="79" t="str">
        <f t="shared" si="44"/>
        <v>Acerto</v>
      </c>
      <c r="K343" s="79" t="str">
        <f t="shared" si="45"/>
        <v>VN</v>
      </c>
      <c r="L343" s="59"/>
      <c r="M343" s="59"/>
      <c r="N343" s="59"/>
      <c r="O343" s="59"/>
      <c r="P343" s="59"/>
      <c r="Q343" s="59"/>
      <c r="R343" s="59"/>
      <c r="S343" s="59"/>
      <c r="T343" s="59"/>
      <c r="U343" s="59"/>
      <c r="V343" s="59"/>
      <c r="W343" s="59"/>
      <c r="X343" s="59"/>
      <c r="Y343" s="59"/>
      <c r="Z343" s="59"/>
    </row>
    <row r="344">
      <c r="A344" s="76" t="s">
        <v>2607</v>
      </c>
      <c r="B344" s="77">
        <v>5.0</v>
      </c>
      <c r="C344" s="76" t="str">
        <f>Emerald!J6</f>
        <v>Exploring blockchain for green logistics: how institutional forces and process innovation shape sustainability in SMEs</v>
      </c>
      <c r="D344" s="76" t="str">
        <f>Emerald!F6</f>
        <v>Inconforme</v>
      </c>
      <c r="E344" s="76" t="str">
        <f t="shared" si="41"/>
        <v>Inconforme</v>
      </c>
      <c r="F344" s="77" t="str">
        <f>Emerald!A6</f>
        <v>Conforme</v>
      </c>
      <c r="G344" s="77" t="str">
        <f t="shared" si="42"/>
        <v>Divergência</v>
      </c>
      <c r="H344" s="77" t="str">
        <f t="shared" si="43"/>
        <v>FP</v>
      </c>
      <c r="I344" s="77" t="str">
        <f>Emerald!C6</f>
        <v>Inconforme</v>
      </c>
      <c r="J344" s="77" t="str">
        <f t="shared" si="44"/>
        <v>Acerto</v>
      </c>
      <c r="K344" s="77" t="str">
        <f t="shared" si="45"/>
        <v>VN</v>
      </c>
      <c r="L344" s="59"/>
      <c r="M344" s="59"/>
      <c r="N344" s="59"/>
      <c r="O344" s="59"/>
      <c r="P344" s="59"/>
      <c r="Q344" s="59"/>
      <c r="R344" s="59"/>
      <c r="S344" s="59"/>
      <c r="T344" s="59"/>
      <c r="U344" s="59"/>
      <c r="V344" s="59"/>
      <c r="W344" s="59"/>
      <c r="X344" s="59"/>
      <c r="Y344" s="59"/>
      <c r="Z344" s="59"/>
    </row>
    <row r="345">
      <c r="A345" s="78" t="s">
        <v>2607</v>
      </c>
      <c r="B345" s="79">
        <v>6.0</v>
      </c>
      <c r="C345" s="78" t="str">
        <f>Emerald!J7</f>
        <v>AI adoption drivers and innovative work behaviours</v>
      </c>
      <c r="D345" s="78" t="str">
        <f>Emerald!F7</f>
        <v>Inconforme</v>
      </c>
      <c r="E345" s="78" t="str">
        <f t="shared" si="41"/>
        <v>Inconforme</v>
      </c>
      <c r="F345" s="79" t="str">
        <f>Emerald!A7</f>
        <v>Inconforme</v>
      </c>
      <c r="G345" s="79" t="str">
        <f t="shared" si="42"/>
        <v>Acerto</v>
      </c>
      <c r="H345" s="79" t="str">
        <f t="shared" si="43"/>
        <v>VN</v>
      </c>
      <c r="I345" s="79" t="str">
        <f>Emerald!C7</f>
        <v>Inconforme</v>
      </c>
      <c r="J345" s="79" t="str">
        <f t="shared" si="44"/>
        <v>Acerto</v>
      </c>
      <c r="K345" s="79" t="str">
        <f t="shared" si="45"/>
        <v>VN</v>
      </c>
      <c r="L345" s="59"/>
      <c r="M345" s="59"/>
      <c r="N345" s="59"/>
      <c r="O345" s="59"/>
      <c r="P345" s="59"/>
      <c r="Q345" s="59"/>
      <c r="R345" s="59"/>
      <c r="S345" s="59"/>
      <c r="T345" s="59"/>
      <c r="U345" s="59"/>
      <c r="V345" s="59"/>
      <c r="W345" s="59"/>
      <c r="X345" s="59"/>
      <c r="Y345" s="59"/>
      <c r="Z345" s="59"/>
    </row>
    <row r="346">
      <c r="A346" s="76" t="s">
        <v>2607</v>
      </c>
      <c r="B346" s="77">
        <v>7.0</v>
      </c>
      <c r="C346" s="76" t="str">
        <f>Emerald!J8</f>
        <v>BPMN DMN decision table generation based on agentic AI for critical applications</v>
      </c>
      <c r="D346" s="76" t="str">
        <f>Emerald!F8</f>
        <v>Conforme</v>
      </c>
      <c r="E346" s="76" t="str">
        <f t="shared" si="41"/>
        <v>Conforme</v>
      </c>
      <c r="F346" s="77" t="str">
        <f>Emerald!A8</f>
        <v>Conforme</v>
      </c>
      <c r="G346" s="77" t="str">
        <f t="shared" si="42"/>
        <v>Acerto</v>
      </c>
      <c r="H346" s="77" t="str">
        <f t="shared" si="43"/>
        <v>VP</v>
      </c>
      <c r="I346" s="77" t="str">
        <f>Emerald!C8</f>
        <v>Inconforme</v>
      </c>
      <c r="J346" s="77" t="str">
        <f t="shared" si="44"/>
        <v>Divergência</v>
      </c>
      <c r="K346" s="77" t="str">
        <f t="shared" si="45"/>
        <v>FN</v>
      </c>
      <c r="L346" s="59"/>
      <c r="M346" s="59"/>
      <c r="N346" s="59"/>
      <c r="O346" s="59"/>
      <c r="P346" s="59"/>
      <c r="Q346" s="59"/>
      <c r="R346" s="59"/>
      <c r="S346" s="59"/>
      <c r="T346" s="59"/>
      <c r="U346" s="59"/>
      <c r="V346" s="59"/>
      <c r="W346" s="59"/>
      <c r="X346" s="59"/>
      <c r="Y346" s="59"/>
      <c r="Z346" s="59"/>
    </row>
    <row r="347">
      <c r="A347" s="78" t="s">
        <v>2607</v>
      </c>
      <c r="B347" s="79">
        <v>8.0</v>
      </c>
      <c r="C347" s="78" t="str">
        <f>Emerald!J9</f>
        <v>Factors influencing process improvement in Chinese multinational corporations: a Delphi study</v>
      </c>
      <c r="D347" s="78" t="str">
        <f>Emerald!F9</f>
        <v>Inconforme</v>
      </c>
      <c r="E347" s="78" t="str">
        <f t="shared" si="41"/>
        <v>Inconforme</v>
      </c>
      <c r="F347" s="79" t="str">
        <f>Emerald!A9</f>
        <v>Inconforme</v>
      </c>
      <c r="G347" s="79" t="str">
        <f t="shared" si="42"/>
        <v>Acerto</v>
      </c>
      <c r="H347" s="79" t="str">
        <f t="shared" si="43"/>
        <v>VN</v>
      </c>
      <c r="I347" s="79" t="str">
        <f>Emerald!C9</f>
        <v>Inconforme</v>
      </c>
      <c r="J347" s="79" t="str">
        <f t="shared" si="44"/>
        <v>Acerto</v>
      </c>
      <c r="K347" s="79" t="str">
        <f t="shared" si="45"/>
        <v>VN</v>
      </c>
      <c r="L347" s="59"/>
      <c r="M347" s="59"/>
      <c r="N347" s="59"/>
      <c r="O347" s="59"/>
      <c r="P347" s="59"/>
      <c r="Q347" s="59"/>
      <c r="R347" s="59"/>
      <c r="S347" s="59"/>
      <c r="T347" s="59"/>
      <c r="U347" s="59"/>
      <c r="V347" s="59"/>
      <c r="W347" s="59"/>
      <c r="X347" s="59"/>
      <c r="Y347" s="59"/>
      <c r="Z347" s="59"/>
    </row>
    <row r="348">
      <c r="A348" s="76" t="s">
        <v>2607</v>
      </c>
      <c r="B348" s="77">
        <v>9.0</v>
      </c>
      <c r="C348" s="76" t="str">
        <f>Emerald!J10</f>
        <v>Building absorptive capacity and ambidexterity for sustainable manufacturing</v>
      </c>
      <c r="D348" s="76" t="str">
        <f>Emerald!F10</f>
        <v>Inconforme</v>
      </c>
      <c r="E348" s="76" t="str">
        <f t="shared" si="41"/>
        <v>Inconforme</v>
      </c>
      <c r="F348" s="77" t="str">
        <f>Emerald!A10</f>
        <v>Inconforme</v>
      </c>
      <c r="G348" s="77" t="str">
        <f t="shared" si="42"/>
        <v>Acerto</v>
      </c>
      <c r="H348" s="77" t="str">
        <f t="shared" si="43"/>
        <v>VN</v>
      </c>
      <c r="I348" s="77" t="str">
        <f>Emerald!C10</f>
        <v>Inconforme</v>
      </c>
      <c r="J348" s="77" t="str">
        <f t="shared" si="44"/>
        <v>Acerto</v>
      </c>
      <c r="K348" s="77" t="str">
        <f t="shared" si="45"/>
        <v>VN</v>
      </c>
      <c r="L348" s="59"/>
      <c r="M348" s="59"/>
      <c r="N348" s="59"/>
      <c r="O348" s="59"/>
      <c r="P348" s="59"/>
      <c r="Q348" s="59"/>
      <c r="R348" s="59"/>
      <c r="S348" s="59"/>
      <c r="T348" s="59"/>
      <c r="U348" s="59"/>
      <c r="V348" s="59"/>
      <c r="W348" s="59"/>
      <c r="X348" s="59"/>
      <c r="Y348" s="59"/>
      <c r="Z348" s="59"/>
    </row>
    <row r="349">
      <c r="A349" s="78" t="s">
        <v>2607</v>
      </c>
      <c r="B349" s="79">
        <v>10.0</v>
      </c>
      <c r="C349" s="78" t="str">
        <f>Emerald!J11</f>
        <v>Digital technologies and sustainability as evolving business processes – an AI-driven scientific mapping perspective</v>
      </c>
      <c r="D349" s="78" t="str">
        <f>Emerald!F11</f>
        <v>Inconforme</v>
      </c>
      <c r="E349" s="78" t="str">
        <f t="shared" si="41"/>
        <v>Inconforme</v>
      </c>
      <c r="F349" s="79" t="str">
        <f>Emerald!A11</f>
        <v>Inconforme</v>
      </c>
      <c r="G349" s="79" t="str">
        <f t="shared" si="42"/>
        <v>Acerto</v>
      </c>
      <c r="H349" s="79" t="str">
        <f t="shared" si="43"/>
        <v>VN</v>
      </c>
      <c r="I349" s="79" t="str">
        <f>Emerald!C11</f>
        <v>Inconforme</v>
      </c>
      <c r="J349" s="79" t="str">
        <f t="shared" si="44"/>
        <v>Acerto</v>
      </c>
      <c r="K349" s="79" t="str">
        <f t="shared" si="45"/>
        <v>VN</v>
      </c>
      <c r="L349" s="59"/>
      <c r="M349" s="59"/>
      <c r="N349" s="59"/>
      <c r="O349" s="59"/>
      <c r="P349" s="59"/>
      <c r="Q349" s="59"/>
      <c r="R349" s="59"/>
      <c r="S349" s="59"/>
      <c r="T349" s="59"/>
      <c r="U349" s="59"/>
      <c r="V349" s="59"/>
      <c r="W349" s="59"/>
      <c r="X349" s="59"/>
      <c r="Y349" s="59"/>
      <c r="Z349" s="59"/>
    </row>
    <row r="350">
      <c r="A350" s="76" t="s">
        <v>2607</v>
      </c>
      <c r="B350" s="77">
        <v>11.0</v>
      </c>
      <c r="C350" s="76" t="str">
        <f>Emerald!J12</f>
        <v>Redefining identity: corporate evolution in the AI era</v>
      </c>
      <c r="D350" s="76" t="str">
        <f>Emerald!F12</f>
        <v>Inconforme</v>
      </c>
      <c r="E350" s="76" t="str">
        <f t="shared" si="41"/>
        <v>Inconforme</v>
      </c>
      <c r="F350" s="77" t="str">
        <f>Emerald!A12</f>
        <v>Inconforme</v>
      </c>
      <c r="G350" s="77" t="str">
        <f t="shared" si="42"/>
        <v>Acerto</v>
      </c>
      <c r="H350" s="77" t="str">
        <f t="shared" si="43"/>
        <v>VN</v>
      </c>
      <c r="I350" s="77" t="str">
        <f>Emerald!C12</f>
        <v>Inconforme</v>
      </c>
      <c r="J350" s="77" t="str">
        <f t="shared" si="44"/>
        <v>Acerto</v>
      </c>
      <c r="K350" s="77" t="str">
        <f t="shared" si="45"/>
        <v>VN</v>
      </c>
      <c r="L350" s="59"/>
      <c r="M350" s="59"/>
      <c r="N350" s="59"/>
      <c r="O350" s="59"/>
      <c r="P350" s="59"/>
      <c r="Q350" s="59"/>
      <c r="R350" s="59"/>
      <c r="S350" s="59"/>
      <c r="T350" s="59"/>
      <c r="U350" s="59"/>
      <c r="V350" s="59"/>
      <c r="W350" s="59"/>
      <c r="X350" s="59"/>
      <c r="Y350" s="59"/>
      <c r="Z350" s="59"/>
    </row>
    <row r="351">
      <c r="A351" s="78" t="s">
        <v>2607</v>
      </c>
      <c r="B351" s="79">
        <v>12.0</v>
      </c>
      <c r="C351" s="78" t="str">
        <f>Emerald!J13</f>
        <v>Emerging themes and trends in smart supply chain management: a comparative textual analysis</v>
      </c>
      <c r="D351" s="78" t="str">
        <f>Emerald!F13</f>
        <v>Inconforme</v>
      </c>
      <c r="E351" s="78" t="str">
        <f t="shared" si="41"/>
        <v>Inconforme</v>
      </c>
      <c r="F351" s="79" t="str">
        <f>Emerald!A13</f>
        <v>Inconforme</v>
      </c>
      <c r="G351" s="79" t="str">
        <f t="shared" si="42"/>
        <v>Acerto</v>
      </c>
      <c r="H351" s="79" t="str">
        <f t="shared" si="43"/>
        <v>VN</v>
      </c>
      <c r="I351" s="79" t="str">
        <f>Emerald!C13</f>
        <v>Inconforme</v>
      </c>
      <c r="J351" s="79" t="str">
        <f t="shared" si="44"/>
        <v>Acerto</v>
      </c>
      <c r="K351" s="79" t="str">
        <f t="shared" si="45"/>
        <v>VN</v>
      </c>
      <c r="L351" s="59"/>
      <c r="M351" s="59"/>
      <c r="N351" s="59"/>
      <c r="O351" s="59"/>
      <c r="P351" s="59"/>
      <c r="Q351" s="59"/>
      <c r="R351" s="59"/>
      <c r="S351" s="59"/>
      <c r="T351" s="59"/>
      <c r="U351" s="59"/>
      <c r="V351" s="59"/>
      <c r="W351" s="59"/>
      <c r="X351" s="59"/>
      <c r="Y351" s="59"/>
      <c r="Z351" s="59"/>
    </row>
    <row r="352">
      <c r="A352" s="76" t="s">
        <v>2607</v>
      </c>
      <c r="B352" s="77">
        <v>13.0</v>
      </c>
      <c r="C352" s="76" t="str">
        <f>Emerald!J14</f>
        <v>Innovation and digital marketing in culinary: examining marketing performance</v>
      </c>
      <c r="D352" s="76" t="str">
        <f>Emerald!F14</f>
        <v>Inconforme</v>
      </c>
      <c r="E352" s="76" t="str">
        <f t="shared" si="41"/>
        <v>Inconforme</v>
      </c>
      <c r="F352" s="77" t="str">
        <f>Emerald!A14</f>
        <v>Inconforme</v>
      </c>
      <c r="G352" s="77" t="str">
        <f t="shared" si="42"/>
        <v>Acerto</v>
      </c>
      <c r="H352" s="77" t="str">
        <f t="shared" si="43"/>
        <v>VN</v>
      </c>
      <c r="I352" s="77" t="str">
        <f>Emerald!C14</f>
        <v>Inconforme</v>
      </c>
      <c r="J352" s="77" t="str">
        <f t="shared" si="44"/>
        <v>Acerto</v>
      </c>
      <c r="K352" s="77" t="str">
        <f t="shared" si="45"/>
        <v>VN</v>
      </c>
      <c r="L352" s="59"/>
      <c r="M352" s="59"/>
      <c r="N352" s="59"/>
      <c r="O352" s="59"/>
      <c r="P352" s="59"/>
      <c r="Q352" s="59"/>
      <c r="R352" s="59"/>
      <c r="S352" s="59"/>
      <c r="T352" s="59"/>
      <c r="U352" s="59"/>
      <c r="V352" s="59"/>
      <c r="W352" s="59"/>
      <c r="X352" s="59"/>
      <c r="Y352" s="59"/>
      <c r="Z352" s="59"/>
    </row>
    <row r="353">
      <c r="A353" s="78" t="s">
        <v>2607</v>
      </c>
      <c r="B353" s="79">
        <v>14.0</v>
      </c>
      <c r="C353" s="78" t="str">
        <f>Emerald!J15</f>
        <v>E-invoicing process reengineering: a case study</v>
      </c>
      <c r="D353" s="78" t="str">
        <f>Emerald!F15</f>
        <v>Inconforme</v>
      </c>
      <c r="E353" s="78" t="str">
        <f t="shared" si="41"/>
        <v>Inconforme</v>
      </c>
      <c r="F353" s="79" t="str">
        <f>Emerald!A15</f>
        <v>Inconforme</v>
      </c>
      <c r="G353" s="79" t="str">
        <f t="shared" si="42"/>
        <v>Acerto</v>
      </c>
      <c r="H353" s="79" t="str">
        <f t="shared" si="43"/>
        <v>VN</v>
      </c>
      <c r="I353" s="79" t="str">
        <f>Emerald!C15</f>
        <v>Inconforme</v>
      </c>
      <c r="J353" s="79" t="str">
        <f t="shared" si="44"/>
        <v>Acerto</v>
      </c>
      <c r="K353" s="79" t="str">
        <f t="shared" si="45"/>
        <v>VN</v>
      </c>
      <c r="L353" s="59"/>
      <c r="M353" s="59"/>
      <c r="N353" s="59"/>
      <c r="O353" s="59"/>
      <c r="P353" s="59"/>
      <c r="Q353" s="59"/>
      <c r="R353" s="59"/>
      <c r="S353" s="59"/>
      <c r="T353" s="59"/>
      <c r="U353" s="59"/>
      <c r="V353" s="59"/>
      <c r="W353" s="59"/>
      <c r="X353" s="59"/>
      <c r="Y353" s="59"/>
      <c r="Z353" s="59"/>
    </row>
    <row r="354">
      <c r="A354" s="76" t="s">
        <v>2607</v>
      </c>
      <c r="B354" s="77">
        <v>15.0</v>
      </c>
      <c r="C354" s="76" t="str">
        <f>Emerald!J16</f>
        <v>Business process management as a continuous enabler for digital innovation – insights from top executives</v>
      </c>
      <c r="D354" s="76" t="str">
        <f>Emerald!F16</f>
        <v>Conforme</v>
      </c>
      <c r="E354" s="76" t="str">
        <f t="shared" si="41"/>
        <v>Conforme</v>
      </c>
      <c r="F354" s="77" t="str">
        <f>Emerald!A16</f>
        <v>Conforme</v>
      </c>
      <c r="G354" s="77" t="str">
        <f t="shared" si="42"/>
        <v>Acerto</v>
      </c>
      <c r="H354" s="77" t="str">
        <f t="shared" si="43"/>
        <v>VP</v>
      </c>
      <c r="I354" s="77" t="str">
        <f>Emerald!C16</f>
        <v>Inconforme</v>
      </c>
      <c r="J354" s="77" t="str">
        <f t="shared" si="44"/>
        <v>Divergência</v>
      </c>
      <c r="K354" s="77" t="str">
        <f t="shared" si="45"/>
        <v>FN</v>
      </c>
      <c r="L354" s="59"/>
      <c r="M354" s="59"/>
      <c r="N354" s="59"/>
      <c r="O354" s="59"/>
      <c r="P354" s="59"/>
      <c r="Q354" s="59"/>
      <c r="R354" s="59"/>
      <c r="S354" s="59"/>
      <c r="T354" s="59"/>
      <c r="U354" s="59"/>
      <c r="V354" s="59"/>
      <c r="W354" s="59"/>
      <c r="X354" s="59"/>
      <c r="Y354" s="59"/>
      <c r="Z354" s="59"/>
    </row>
    <row r="355">
      <c r="A355" s="78" t="s">
        <v>2607</v>
      </c>
      <c r="B355" s="79">
        <v>16.0</v>
      </c>
      <c r="C355" s="78" t="str">
        <f>Emerald!J17</f>
        <v>Indonesian organization digital innovation: the influence of business process management capabilities</v>
      </c>
      <c r="D355" s="78" t="str">
        <f>Emerald!F17</f>
        <v>Conforme</v>
      </c>
      <c r="E355" s="78" t="str">
        <f t="shared" si="41"/>
        <v>Conforme</v>
      </c>
      <c r="F355" s="79" t="str">
        <f>Emerald!A17</f>
        <v>Conforme</v>
      </c>
      <c r="G355" s="79" t="str">
        <f t="shared" si="42"/>
        <v>Acerto</v>
      </c>
      <c r="H355" s="79" t="str">
        <f t="shared" si="43"/>
        <v>VP</v>
      </c>
      <c r="I355" s="79" t="str">
        <f>Emerald!C17</f>
        <v>Conforme</v>
      </c>
      <c r="J355" s="79" t="str">
        <f t="shared" si="44"/>
        <v>Acerto</v>
      </c>
      <c r="K355" s="79" t="str">
        <f t="shared" si="45"/>
        <v>VP</v>
      </c>
      <c r="L355" s="59"/>
      <c r="M355" s="59"/>
      <c r="N355" s="59"/>
      <c r="O355" s="59"/>
      <c r="P355" s="59"/>
      <c r="Q355" s="59"/>
      <c r="R355" s="59"/>
      <c r="S355" s="59"/>
      <c r="T355" s="59"/>
      <c r="U355" s="59"/>
      <c r="V355" s="59"/>
      <c r="W355" s="59"/>
      <c r="X355" s="59"/>
      <c r="Y355" s="59"/>
      <c r="Z355" s="59"/>
    </row>
    <row r="356">
      <c r="A356" s="76" t="s">
        <v>2607</v>
      </c>
      <c r="B356" s="77">
        <v>17.0</v>
      </c>
      <c r="C356" s="76" t="str">
        <f>Emerald!J18</f>
        <v>A conceptual tool to self-assess digital decarbonization readiness</v>
      </c>
      <c r="D356" s="76" t="str">
        <f>Emerald!F18</f>
        <v>Inconforme</v>
      </c>
      <c r="E356" s="76" t="str">
        <f t="shared" si="41"/>
        <v>Inconforme</v>
      </c>
      <c r="F356" s="77" t="str">
        <f>Emerald!A18</f>
        <v>Inconforme</v>
      </c>
      <c r="G356" s="77" t="str">
        <f t="shared" si="42"/>
        <v>Acerto</v>
      </c>
      <c r="H356" s="77" t="str">
        <f t="shared" si="43"/>
        <v>VN</v>
      </c>
      <c r="I356" s="77" t="str">
        <f>Emerald!C18</f>
        <v>Inconforme</v>
      </c>
      <c r="J356" s="77" t="str">
        <f t="shared" si="44"/>
        <v>Acerto</v>
      </c>
      <c r="K356" s="77" t="str">
        <f t="shared" si="45"/>
        <v>VN</v>
      </c>
      <c r="L356" s="59"/>
      <c r="M356" s="59"/>
      <c r="N356" s="59"/>
      <c r="O356" s="59"/>
      <c r="P356" s="59"/>
      <c r="Q356" s="59"/>
      <c r="R356" s="59"/>
      <c r="S356" s="59"/>
      <c r="T356" s="59"/>
      <c r="U356" s="59"/>
      <c r="V356" s="59"/>
      <c r="W356" s="59"/>
      <c r="X356" s="59"/>
      <c r="Y356" s="59"/>
      <c r="Z356" s="59"/>
    </row>
    <row r="357">
      <c r="A357" s="78" t="s">
        <v>2607</v>
      </c>
      <c r="B357" s="79">
        <v>18.0</v>
      </c>
      <c r="C357" s="78" t="str">
        <f>Emerald!J19</f>
        <v>Effect of digitalisation on performance: evidence from dairy cooperatives of South India</v>
      </c>
      <c r="D357" s="78" t="str">
        <f>Emerald!F19</f>
        <v>Inconforme</v>
      </c>
      <c r="E357" s="78" t="str">
        <f t="shared" si="41"/>
        <v>Inconforme</v>
      </c>
      <c r="F357" s="79" t="str">
        <f>Emerald!A19</f>
        <v>Inconforme</v>
      </c>
      <c r="G357" s="79" t="str">
        <f t="shared" si="42"/>
        <v>Acerto</v>
      </c>
      <c r="H357" s="79" t="str">
        <f t="shared" si="43"/>
        <v>VN</v>
      </c>
      <c r="I357" s="79" t="str">
        <f>Emerald!C19</f>
        <v>Inconforme</v>
      </c>
      <c r="J357" s="79" t="str">
        <f t="shared" si="44"/>
        <v>Acerto</v>
      </c>
      <c r="K357" s="79" t="str">
        <f t="shared" si="45"/>
        <v>VN</v>
      </c>
      <c r="L357" s="59"/>
      <c r="M357" s="59"/>
      <c r="N357" s="59"/>
      <c r="O357" s="59"/>
      <c r="P357" s="59"/>
      <c r="Q357" s="59"/>
      <c r="R357" s="59"/>
      <c r="S357" s="59"/>
      <c r="T357" s="59"/>
      <c r="U357" s="59"/>
      <c r="V357" s="59"/>
      <c r="W357" s="59"/>
      <c r="X357" s="59"/>
      <c r="Y357" s="59"/>
      <c r="Z357" s="59"/>
    </row>
    <row r="358">
      <c r="A358" s="76" t="s">
        <v>2607</v>
      </c>
      <c r="B358" s="77">
        <v>19.0</v>
      </c>
      <c r="C358" s="76" t="str">
        <f>Emerald!J20</f>
        <v>Digitalization of accounting processes and performance of small and medium enterprises: mediating role of exploitation and exploration</v>
      </c>
      <c r="D358" s="76" t="str">
        <f>Emerald!F20</f>
        <v>Inconforme</v>
      </c>
      <c r="E358" s="76" t="str">
        <f t="shared" si="41"/>
        <v>Inconforme</v>
      </c>
      <c r="F358" s="77" t="str">
        <f>Emerald!A20</f>
        <v>Inconforme</v>
      </c>
      <c r="G358" s="77" t="str">
        <f t="shared" si="42"/>
        <v>Acerto</v>
      </c>
      <c r="H358" s="77" t="str">
        <f t="shared" si="43"/>
        <v>VN</v>
      </c>
      <c r="I358" s="77" t="str">
        <f>Emerald!C20</f>
        <v>Inconforme</v>
      </c>
      <c r="J358" s="77" t="str">
        <f t="shared" si="44"/>
        <v>Acerto</v>
      </c>
      <c r="K358" s="77" t="str">
        <f t="shared" si="45"/>
        <v>VN</v>
      </c>
      <c r="L358" s="59"/>
      <c r="M358" s="59"/>
      <c r="N358" s="59"/>
      <c r="O358" s="59"/>
      <c r="P358" s="59"/>
      <c r="Q358" s="59"/>
      <c r="R358" s="59"/>
      <c r="S358" s="59"/>
      <c r="T358" s="59"/>
      <c r="U358" s="59"/>
      <c r="V358" s="59"/>
      <c r="W358" s="59"/>
      <c r="X358" s="59"/>
      <c r="Y358" s="59"/>
      <c r="Z358" s="59"/>
    </row>
    <row r="359">
      <c r="A359" s="78" t="s">
        <v>2607</v>
      </c>
      <c r="B359" s="79">
        <v>20.0</v>
      </c>
      <c r="C359" s="78" t="str">
        <f>Emerald!J21</f>
        <v>Investigating the nexus between business process management maturity and digital maturity: an empirical study of organizations in Poland</v>
      </c>
      <c r="D359" s="78" t="str">
        <f>Emerald!F21</f>
        <v>Conforme</v>
      </c>
      <c r="E359" s="78" t="str">
        <f t="shared" si="41"/>
        <v>Conforme</v>
      </c>
      <c r="F359" s="79" t="str">
        <f>Emerald!A21</f>
        <v>Conforme</v>
      </c>
      <c r="G359" s="79" t="str">
        <f t="shared" si="42"/>
        <v>Acerto</v>
      </c>
      <c r="H359" s="79" t="str">
        <f t="shared" si="43"/>
        <v>VP</v>
      </c>
      <c r="I359" s="79" t="str">
        <f>Emerald!C21</f>
        <v>Inconforme</v>
      </c>
      <c r="J359" s="79" t="str">
        <f t="shared" si="44"/>
        <v>Divergência</v>
      </c>
      <c r="K359" s="79" t="str">
        <f t="shared" si="45"/>
        <v>FN</v>
      </c>
      <c r="L359" s="59"/>
      <c r="M359" s="59"/>
      <c r="N359" s="59"/>
      <c r="O359" s="59"/>
      <c r="P359" s="59"/>
      <c r="Q359" s="59"/>
      <c r="R359" s="59"/>
      <c r="S359" s="59"/>
      <c r="T359" s="59"/>
      <c r="U359" s="59"/>
      <c r="V359" s="59"/>
      <c r="W359" s="59"/>
      <c r="X359" s="59"/>
      <c r="Y359" s="59"/>
      <c r="Z359" s="59"/>
    </row>
    <row r="360">
      <c r="A360" s="76" t="s">
        <v>2607</v>
      </c>
      <c r="B360" s="77">
        <v>21.0</v>
      </c>
      <c r="C360" s="76" t="str">
        <f>Emerald!J22</f>
        <v>Unlocking the influence of empowering leadership on digital transformation through innovative work behavior: evidence from the Indian IT sector</v>
      </c>
      <c r="D360" s="76" t="str">
        <f>Emerald!F22</f>
        <v>Inconforme</v>
      </c>
      <c r="E360" s="76" t="str">
        <f t="shared" si="41"/>
        <v>Inconforme</v>
      </c>
      <c r="F360" s="77" t="str">
        <f>Emerald!A22</f>
        <v>Inconforme</v>
      </c>
      <c r="G360" s="77" t="str">
        <f t="shared" si="42"/>
        <v>Acerto</v>
      </c>
      <c r="H360" s="77" t="str">
        <f t="shared" si="43"/>
        <v>VN</v>
      </c>
      <c r="I360" s="77" t="str">
        <f>Emerald!C22</f>
        <v>Inconforme</v>
      </c>
      <c r="J360" s="77" t="str">
        <f t="shared" si="44"/>
        <v>Acerto</v>
      </c>
      <c r="K360" s="77" t="str">
        <f t="shared" si="45"/>
        <v>VN</v>
      </c>
      <c r="L360" s="59"/>
      <c r="M360" s="59"/>
      <c r="N360" s="59"/>
      <c r="O360" s="59"/>
      <c r="P360" s="59"/>
      <c r="Q360" s="59"/>
      <c r="R360" s="59"/>
      <c r="S360" s="59"/>
      <c r="T360" s="59"/>
      <c r="U360" s="59"/>
      <c r="V360" s="59"/>
      <c r="W360" s="59"/>
      <c r="X360" s="59"/>
      <c r="Y360" s="59"/>
      <c r="Z360" s="59"/>
    </row>
    <row r="361">
      <c r="A361" s="78" t="s">
        <v>2607</v>
      </c>
      <c r="B361" s="79">
        <v>22.0</v>
      </c>
      <c r="C361" s="78" t="str">
        <f>Emerald!J23</f>
        <v>Advertising in the digital era: Can AI evoke emotions like humans?</v>
      </c>
      <c r="D361" s="78" t="str">
        <f>Emerald!F23</f>
        <v>Inconforme</v>
      </c>
      <c r="E361" s="78" t="str">
        <f t="shared" si="41"/>
        <v>Inconforme</v>
      </c>
      <c r="F361" s="79" t="str">
        <f>Emerald!A23</f>
        <v>Inconforme</v>
      </c>
      <c r="G361" s="79" t="str">
        <f t="shared" si="42"/>
        <v>Acerto</v>
      </c>
      <c r="H361" s="79" t="str">
        <f t="shared" si="43"/>
        <v>VN</v>
      </c>
      <c r="I361" s="79" t="str">
        <f>Emerald!C23</f>
        <v>Inconforme</v>
      </c>
      <c r="J361" s="79" t="str">
        <f t="shared" si="44"/>
        <v>Acerto</v>
      </c>
      <c r="K361" s="79" t="str">
        <f t="shared" si="45"/>
        <v>VN</v>
      </c>
      <c r="L361" s="59"/>
      <c r="M361" s="59"/>
      <c r="N361" s="59"/>
      <c r="O361" s="59"/>
      <c r="P361" s="59"/>
      <c r="Q361" s="59"/>
      <c r="R361" s="59"/>
      <c r="S361" s="59"/>
      <c r="T361" s="59"/>
      <c r="U361" s="59"/>
      <c r="V361" s="59"/>
      <c r="W361" s="59"/>
      <c r="X361" s="59"/>
      <c r="Y361" s="59"/>
      <c r="Z361" s="59"/>
    </row>
    <row r="362">
      <c r="A362" s="76" t="s">
        <v>2607</v>
      </c>
      <c r="B362" s="77">
        <v>23.0</v>
      </c>
      <c r="C362" s="76" t="str">
        <f>Emerald!J24</f>
        <v>About the interplay between technological resources and institutional factors for realizing digital work: a public sector long-term view</v>
      </c>
      <c r="D362" s="76" t="str">
        <f>Emerald!F24</f>
        <v>Inconforme</v>
      </c>
      <c r="E362" s="76" t="str">
        <f t="shared" si="41"/>
        <v>Inconforme</v>
      </c>
      <c r="F362" s="77" t="str">
        <f>Emerald!A24</f>
        <v>Inconforme</v>
      </c>
      <c r="G362" s="77" t="str">
        <f t="shared" si="42"/>
        <v>Acerto</v>
      </c>
      <c r="H362" s="77" t="str">
        <f t="shared" si="43"/>
        <v>VN</v>
      </c>
      <c r="I362" s="77" t="str">
        <f>Emerald!C24</f>
        <v>Inconforme</v>
      </c>
      <c r="J362" s="77" t="str">
        <f t="shared" si="44"/>
        <v>Acerto</v>
      </c>
      <c r="K362" s="77" t="str">
        <f t="shared" si="45"/>
        <v>VN</v>
      </c>
      <c r="L362" s="59"/>
      <c r="M362" s="59"/>
      <c r="N362" s="59"/>
      <c r="O362" s="59"/>
      <c r="P362" s="59"/>
      <c r="Q362" s="59"/>
      <c r="R362" s="59"/>
      <c r="S362" s="59"/>
      <c r="T362" s="59"/>
      <c r="U362" s="59"/>
      <c r="V362" s="59"/>
      <c r="W362" s="59"/>
      <c r="X362" s="59"/>
      <c r="Y362" s="59"/>
      <c r="Z362" s="59"/>
    </row>
    <row r="363">
      <c r="A363" s="78" t="s">
        <v>2607</v>
      </c>
      <c r="B363" s="79">
        <v>24.0</v>
      </c>
      <c r="C363" s="78" t="str">
        <f>Emerald!J25</f>
        <v>Unveiling how business process management capabilities foster dynamic decision-making for effectiveness of sustainable digital transformation</v>
      </c>
      <c r="D363" s="78" t="str">
        <f>Emerald!F25</f>
        <v>Conforme</v>
      </c>
      <c r="E363" s="78" t="str">
        <f t="shared" si="41"/>
        <v>Conforme</v>
      </c>
      <c r="F363" s="79" t="str">
        <f>Emerald!A25</f>
        <v>Conforme</v>
      </c>
      <c r="G363" s="79" t="str">
        <f t="shared" si="42"/>
        <v>Acerto</v>
      </c>
      <c r="H363" s="79" t="str">
        <f t="shared" si="43"/>
        <v>VP</v>
      </c>
      <c r="I363" s="79" t="str">
        <f>Emerald!C25</f>
        <v>Inconforme</v>
      </c>
      <c r="J363" s="79" t="str">
        <f t="shared" si="44"/>
        <v>Divergência</v>
      </c>
      <c r="K363" s="79" t="str">
        <f t="shared" si="45"/>
        <v>FN</v>
      </c>
      <c r="L363" s="59"/>
      <c r="M363" s="59"/>
      <c r="N363" s="59"/>
      <c r="O363" s="59"/>
      <c r="P363" s="59"/>
      <c r="Q363" s="59"/>
      <c r="R363" s="59"/>
      <c r="S363" s="59"/>
      <c r="T363" s="59"/>
      <c r="U363" s="59"/>
      <c r="V363" s="59"/>
      <c r="W363" s="59"/>
      <c r="X363" s="59"/>
      <c r="Y363" s="59"/>
      <c r="Z363" s="59"/>
    </row>
    <row r="364">
      <c r="A364" s="76" t="s">
        <v>2607</v>
      </c>
      <c r="B364" s="77">
        <v>25.0</v>
      </c>
      <c r="C364" s="76" t="str">
        <f>Emerald!J26</f>
        <v>Design principles for process improvement and innovation systems</v>
      </c>
      <c r="D364" s="76" t="str">
        <f>Emerald!F26</f>
        <v>Conforme</v>
      </c>
      <c r="E364" s="76" t="str">
        <f t="shared" si="41"/>
        <v>Conforme</v>
      </c>
      <c r="F364" s="77" t="str">
        <f>Emerald!A26</f>
        <v>Inconforme</v>
      </c>
      <c r="G364" s="77" t="str">
        <f t="shared" si="42"/>
        <v>Divergência</v>
      </c>
      <c r="H364" s="77" t="str">
        <f t="shared" si="43"/>
        <v>FN</v>
      </c>
      <c r="I364" s="77" t="str">
        <f>Emerald!C26</f>
        <v>Inconforme</v>
      </c>
      <c r="J364" s="77" t="str">
        <f t="shared" si="44"/>
        <v>Divergência</v>
      </c>
      <c r="K364" s="77" t="str">
        <f t="shared" si="45"/>
        <v>FN</v>
      </c>
      <c r="L364" s="59"/>
      <c r="M364" s="59"/>
      <c r="N364" s="59"/>
      <c r="O364" s="59"/>
      <c r="P364" s="59"/>
      <c r="Q364" s="59"/>
      <c r="R364" s="59"/>
      <c r="S364" s="59"/>
      <c r="T364" s="59"/>
      <c r="U364" s="59"/>
      <c r="V364" s="59"/>
      <c r="W364" s="59"/>
      <c r="X364" s="59"/>
      <c r="Y364" s="59"/>
      <c r="Z364" s="59"/>
    </row>
    <row r="365">
      <c r="A365" s="78" t="s">
        <v>2607</v>
      </c>
      <c r="B365" s="79">
        <v>26.0</v>
      </c>
      <c r="C365" s="78" t="str">
        <f>Emerald!J27</f>
        <v>Boosting intellectual capital and digital maturity of SMEs: an investigation of enterprises in an Italian Southern tourist district</v>
      </c>
      <c r="D365" s="78" t="str">
        <f>Emerald!F27</f>
        <v>Inconforme</v>
      </c>
      <c r="E365" s="78" t="str">
        <f t="shared" si="41"/>
        <v>Inconforme</v>
      </c>
      <c r="F365" s="79" t="str">
        <f>Emerald!A27</f>
        <v>Inconforme</v>
      </c>
      <c r="G365" s="79" t="str">
        <f t="shared" si="42"/>
        <v>Acerto</v>
      </c>
      <c r="H365" s="79" t="str">
        <f t="shared" si="43"/>
        <v>VN</v>
      </c>
      <c r="I365" s="79" t="str">
        <f>Emerald!C27</f>
        <v>Inconforme</v>
      </c>
      <c r="J365" s="79" t="str">
        <f t="shared" si="44"/>
        <v>Acerto</v>
      </c>
      <c r="K365" s="79" t="str">
        <f t="shared" si="45"/>
        <v>VN</v>
      </c>
      <c r="L365" s="59"/>
      <c r="M365" s="59"/>
      <c r="N365" s="59"/>
      <c r="O365" s="59"/>
      <c r="P365" s="59"/>
      <c r="Q365" s="59"/>
      <c r="R365" s="59"/>
      <c r="S365" s="59"/>
      <c r="T365" s="59"/>
      <c r="U365" s="59"/>
      <c r="V365" s="59"/>
      <c r="W365" s="59"/>
      <c r="X365" s="59"/>
      <c r="Y365" s="59"/>
      <c r="Z365" s="59"/>
    </row>
    <row r="366">
      <c r="A366" s="76" t="s">
        <v>2607</v>
      </c>
      <c r="B366" s="77">
        <v>27.0</v>
      </c>
      <c r="C366" s="76" t="str">
        <f>Emerald!J28</f>
        <v>Does FinTech adoption impact on sustainability of small businesses: mediating role of financial well-being</v>
      </c>
      <c r="D366" s="76" t="str">
        <f>Emerald!F28</f>
        <v>Inconforme</v>
      </c>
      <c r="E366" s="76" t="str">
        <f t="shared" si="41"/>
        <v>Inconforme</v>
      </c>
      <c r="F366" s="77" t="str">
        <f>Emerald!A28</f>
        <v>Inconforme</v>
      </c>
      <c r="G366" s="77" t="str">
        <f t="shared" si="42"/>
        <v>Acerto</v>
      </c>
      <c r="H366" s="77" t="str">
        <f t="shared" si="43"/>
        <v>VN</v>
      </c>
      <c r="I366" s="77" t="str">
        <f>Emerald!C28</f>
        <v>Inconforme</v>
      </c>
      <c r="J366" s="77" t="str">
        <f t="shared" si="44"/>
        <v>Acerto</v>
      </c>
      <c r="K366" s="77" t="str">
        <f t="shared" si="45"/>
        <v>VN</v>
      </c>
      <c r="L366" s="59"/>
      <c r="M366" s="59"/>
      <c r="N366" s="59"/>
      <c r="O366" s="59"/>
      <c r="P366" s="59"/>
      <c r="Q366" s="59"/>
      <c r="R366" s="59"/>
      <c r="S366" s="59"/>
      <c r="T366" s="59"/>
      <c r="U366" s="59"/>
      <c r="V366" s="59"/>
      <c r="W366" s="59"/>
      <c r="X366" s="59"/>
      <c r="Y366" s="59"/>
      <c r="Z366" s="59"/>
    </row>
    <row r="367">
      <c r="A367" s="78" t="s">
        <v>2607</v>
      </c>
      <c r="B367" s="79">
        <v>28.0</v>
      </c>
      <c r="C367" s="78" t="str">
        <f>Emerald!J29</f>
        <v>Unlocking the potential of digital innovations on BPM: a bibliometric and systematic literature review</v>
      </c>
      <c r="D367" s="78" t="str">
        <f>Emerald!F29</f>
        <v>Inconforme</v>
      </c>
      <c r="E367" s="78" t="str">
        <f t="shared" si="41"/>
        <v>Inconforme</v>
      </c>
      <c r="F367" s="79" t="str">
        <f>Emerald!A29</f>
        <v>Inconforme</v>
      </c>
      <c r="G367" s="79" t="str">
        <f t="shared" si="42"/>
        <v>Acerto</v>
      </c>
      <c r="H367" s="79" t="str">
        <f t="shared" si="43"/>
        <v>VN</v>
      </c>
      <c r="I367" s="79" t="str">
        <f>Emerald!C29</f>
        <v>Inconforme</v>
      </c>
      <c r="J367" s="79" t="str">
        <f t="shared" si="44"/>
        <v>Acerto</v>
      </c>
      <c r="K367" s="79" t="str">
        <f t="shared" si="45"/>
        <v>VN</v>
      </c>
      <c r="L367" s="59"/>
      <c r="M367" s="59"/>
      <c r="N367" s="59"/>
      <c r="O367" s="59"/>
      <c r="P367" s="59"/>
      <c r="Q367" s="59"/>
      <c r="R367" s="59"/>
      <c r="S367" s="59"/>
      <c r="T367" s="59"/>
      <c r="U367" s="59"/>
      <c r="V367" s="59"/>
      <c r="W367" s="59"/>
      <c r="X367" s="59"/>
      <c r="Y367" s="59"/>
      <c r="Z367" s="59"/>
    </row>
    <row r="368">
      <c r="A368" s="76" t="s">
        <v>2607</v>
      </c>
      <c r="B368" s="77">
        <v>29.0</v>
      </c>
      <c r="C368" s="76" t="str">
        <f>Emerald!J30</f>
        <v>Implementation of Quality 4.0 framework in the electronics sector using ANP and QFD methodologies</v>
      </c>
      <c r="D368" s="76" t="str">
        <f>Emerald!F30</f>
        <v>Inconforme</v>
      </c>
      <c r="E368" s="76" t="str">
        <f t="shared" si="41"/>
        <v>Inconforme</v>
      </c>
      <c r="F368" s="77" t="str">
        <f>Emerald!A30</f>
        <v>Inconforme</v>
      </c>
      <c r="G368" s="77" t="str">
        <f t="shared" si="42"/>
        <v>Acerto</v>
      </c>
      <c r="H368" s="77" t="str">
        <f t="shared" si="43"/>
        <v>VN</v>
      </c>
      <c r="I368" s="77" t="str">
        <f>Emerald!C30</f>
        <v>Inconforme</v>
      </c>
      <c r="J368" s="77" t="str">
        <f t="shared" si="44"/>
        <v>Acerto</v>
      </c>
      <c r="K368" s="77" t="str">
        <f t="shared" si="45"/>
        <v>VN</v>
      </c>
      <c r="L368" s="59"/>
      <c r="M368" s="59"/>
      <c r="N368" s="59"/>
      <c r="O368" s="59"/>
      <c r="P368" s="59"/>
      <c r="Q368" s="59"/>
      <c r="R368" s="59"/>
      <c r="S368" s="59"/>
      <c r="T368" s="59"/>
      <c r="U368" s="59"/>
      <c r="V368" s="59"/>
      <c r="W368" s="59"/>
      <c r="X368" s="59"/>
      <c r="Y368" s="59"/>
      <c r="Z368" s="59"/>
    </row>
    <row r="369">
      <c r="A369" s="78" t="s">
        <v>2607</v>
      </c>
      <c r="B369" s="79">
        <v>30.0</v>
      </c>
      <c r="C369" s="78" t="str">
        <f>Emerald!J31</f>
        <v>Business process management and digitalization – a reciprocal relationship</v>
      </c>
      <c r="D369" s="78" t="str">
        <f>Emerald!F31</f>
        <v>Inconforme</v>
      </c>
      <c r="E369" s="78" t="str">
        <f t="shared" si="41"/>
        <v>Inconforme</v>
      </c>
      <c r="F369" s="79" t="str">
        <f>Emerald!A31</f>
        <v>Conforme</v>
      </c>
      <c r="G369" s="79" t="str">
        <f t="shared" si="42"/>
        <v>Divergência</v>
      </c>
      <c r="H369" s="79" t="str">
        <f t="shared" si="43"/>
        <v>FP</v>
      </c>
      <c r="I369" s="79" t="str">
        <f>Emerald!C31</f>
        <v>Inconforme</v>
      </c>
      <c r="J369" s="79" t="str">
        <f t="shared" si="44"/>
        <v>Acerto</v>
      </c>
      <c r="K369" s="79" t="str">
        <f t="shared" si="45"/>
        <v>VN</v>
      </c>
      <c r="L369" s="59"/>
      <c r="M369" s="59"/>
      <c r="N369" s="59"/>
      <c r="O369" s="59"/>
      <c r="P369" s="59"/>
      <c r="Q369" s="59"/>
      <c r="R369" s="59"/>
      <c r="S369" s="59"/>
      <c r="T369" s="59"/>
      <c r="U369" s="59"/>
      <c r="V369" s="59"/>
      <c r="W369" s="59"/>
      <c r="X369" s="59"/>
      <c r="Y369" s="59"/>
      <c r="Z369" s="59"/>
    </row>
    <row r="370">
      <c r="A370" s="76" t="s">
        <v>2607</v>
      </c>
      <c r="B370" s="77">
        <v>31.0</v>
      </c>
      <c r="C370" s="76" t="str">
        <f>Emerald!J32</f>
        <v>Unraveling the trends in business process management: a comprehensive bibliometric analysis of management and business literature</v>
      </c>
      <c r="D370" s="76" t="str">
        <f>Emerald!F32</f>
        <v>Inconforme</v>
      </c>
      <c r="E370" s="76" t="str">
        <f t="shared" si="41"/>
        <v>Inconforme</v>
      </c>
      <c r="F370" s="77" t="str">
        <f>Emerald!A32</f>
        <v>Inconforme</v>
      </c>
      <c r="G370" s="77" t="str">
        <f t="shared" si="42"/>
        <v>Acerto</v>
      </c>
      <c r="H370" s="77" t="str">
        <f t="shared" si="43"/>
        <v>VN</v>
      </c>
      <c r="I370" s="77" t="str">
        <f>Emerald!C32</f>
        <v>Inconforme</v>
      </c>
      <c r="J370" s="77" t="str">
        <f t="shared" si="44"/>
        <v>Acerto</v>
      </c>
      <c r="K370" s="77" t="str">
        <f t="shared" si="45"/>
        <v>VN</v>
      </c>
      <c r="L370" s="59"/>
      <c r="M370" s="59"/>
      <c r="N370" s="59"/>
      <c r="O370" s="59"/>
      <c r="P370" s="59"/>
      <c r="Q370" s="59"/>
      <c r="R370" s="59"/>
      <c r="S370" s="59"/>
      <c r="T370" s="59"/>
      <c r="U370" s="59"/>
      <c r="V370" s="59"/>
      <c r="W370" s="59"/>
      <c r="X370" s="59"/>
      <c r="Y370" s="59"/>
      <c r="Z370" s="59"/>
    </row>
    <row r="371">
      <c r="A371" s="78" t="s">
        <v>2607</v>
      </c>
      <c r="B371" s="79">
        <v>32.0</v>
      </c>
      <c r="C371" s="78" t="str">
        <f>Emerald!J33</f>
        <v>Unlocking the promise of process mining: shaping perceptions and impact in the public sector</v>
      </c>
      <c r="D371" s="78" t="str">
        <f>Emerald!F33</f>
        <v>Conforme</v>
      </c>
      <c r="E371" s="78" t="str">
        <f t="shared" si="41"/>
        <v>Conforme</v>
      </c>
      <c r="F371" s="79" t="str">
        <f>Emerald!A33</f>
        <v>Conforme</v>
      </c>
      <c r="G371" s="79" t="str">
        <f t="shared" si="42"/>
        <v>Acerto</v>
      </c>
      <c r="H371" s="79" t="str">
        <f t="shared" si="43"/>
        <v>VP</v>
      </c>
      <c r="I371" s="79" t="str">
        <f>Emerald!C33</f>
        <v>Conforme</v>
      </c>
      <c r="J371" s="79" t="str">
        <f t="shared" si="44"/>
        <v>Acerto</v>
      </c>
      <c r="K371" s="79" t="str">
        <f t="shared" si="45"/>
        <v>VP</v>
      </c>
      <c r="L371" s="59"/>
      <c r="M371" s="59"/>
      <c r="N371" s="59"/>
      <c r="O371" s="59"/>
      <c r="P371" s="59"/>
      <c r="Q371" s="59"/>
      <c r="R371" s="59"/>
      <c r="S371" s="59"/>
      <c r="T371" s="59"/>
      <c r="U371" s="59"/>
      <c r="V371" s="59"/>
      <c r="W371" s="59"/>
      <c r="X371" s="59"/>
      <c r="Y371" s="59"/>
      <c r="Z371" s="59"/>
    </row>
    <row r="372">
      <c r="A372" s="76" t="s">
        <v>2607</v>
      </c>
      <c r="B372" s="77">
        <v>33.0</v>
      </c>
      <c r="C372" s="76" t="str">
        <f>Emerald!J34</f>
        <v>The use of business and technology management (BTM) integrated practice in business development initiatives – an ADR cycle</v>
      </c>
      <c r="D372" s="76" t="str">
        <f>Emerald!F34</f>
        <v>Inconforme</v>
      </c>
      <c r="E372" s="76" t="str">
        <f t="shared" si="41"/>
        <v>Inconforme</v>
      </c>
      <c r="F372" s="77" t="str">
        <f>Emerald!A34</f>
        <v>Inconforme</v>
      </c>
      <c r="G372" s="77" t="str">
        <f t="shared" si="42"/>
        <v>Acerto</v>
      </c>
      <c r="H372" s="77" t="str">
        <f t="shared" si="43"/>
        <v>VN</v>
      </c>
      <c r="I372" s="77" t="str">
        <f>Emerald!C34</f>
        <v>Inconforme</v>
      </c>
      <c r="J372" s="77" t="str">
        <f t="shared" si="44"/>
        <v>Acerto</v>
      </c>
      <c r="K372" s="77" t="str">
        <f t="shared" si="45"/>
        <v>VN</v>
      </c>
      <c r="L372" s="59"/>
      <c r="M372" s="59"/>
      <c r="N372" s="59"/>
      <c r="O372" s="59"/>
      <c r="P372" s="59"/>
      <c r="Q372" s="59"/>
      <c r="R372" s="59"/>
      <c r="S372" s="59"/>
      <c r="T372" s="59"/>
      <c r="U372" s="59"/>
      <c r="V372" s="59"/>
      <c r="W372" s="59"/>
      <c r="X372" s="59"/>
      <c r="Y372" s="59"/>
      <c r="Z372" s="59"/>
    </row>
    <row r="373">
      <c r="A373" s="78" t="s">
        <v>2607</v>
      </c>
      <c r="B373" s="79">
        <v>34.0</v>
      </c>
      <c r="C373" s="78" t="str">
        <f>Emerald!J35</f>
        <v>The role of knowledge management to improve organizational performance through organizational ambidexterity within the uncertainties</v>
      </c>
      <c r="D373" s="78" t="str">
        <f>Emerald!F35</f>
        <v>Inconforme</v>
      </c>
      <c r="E373" s="78" t="str">
        <f t="shared" si="41"/>
        <v>Inconforme</v>
      </c>
      <c r="F373" s="79" t="str">
        <f>Emerald!A35</f>
        <v>Inconforme</v>
      </c>
      <c r="G373" s="79" t="str">
        <f t="shared" si="42"/>
        <v>Acerto</v>
      </c>
      <c r="H373" s="79" t="str">
        <f t="shared" si="43"/>
        <v>VN</v>
      </c>
      <c r="I373" s="79" t="str">
        <f>Emerald!C35</f>
        <v>Inconforme</v>
      </c>
      <c r="J373" s="79" t="str">
        <f t="shared" si="44"/>
        <v>Acerto</v>
      </c>
      <c r="K373" s="79" t="str">
        <f t="shared" si="45"/>
        <v>VN</v>
      </c>
      <c r="L373" s="59"/>
      <c r="M373" s="59"/>
      <c r="N373" s="59"/>
      <c r="O373" s="59"/>
      <c r="P373" s="59"/>
      <c r="Q373" s="59"/>
      <c r="R373" s="59"/>
      <c r="S373" s="59"/>
      <c r="T373" s="59"/>
      <c r="U373" s="59"/>
      <c r="V373" s="59"/>
      <c r="W373" s="59"/>
      <c r="X373" s="59"/>
      <c r="Y373" s="59"/>
      <c r="Z373" s="59"/>
    </row>
    <row r="374">
      <c r="A374" s="76" t="s">
        <v>2607</v>
      </c>
      <c r="B374" s="77">
        <v>35.0</v>
      </c>
      <c r="C374" s="76" t="str">
        <f>Emerald!J36</f>
        <v>Improving care pathways through BPM and telemedicine: an Italian study</v>
      </c>
      <c r="D374" s="76" t="str">
        <f>Emerald!F36</f>
        <v>Conforme</v>
      </c>
      <c r="E374" s="76" t="str">
        <f t="shared" si="41"/>
        <v>Conforme</v>
      </c>
      <c r="F374" s="77" t="str">
        <f>Emerald!A36</f>
        <v>Conforme</v>
      </c>
      <c r="G374" s="77" t="str">
        <f t="shared" si="42"/>
        <v>Acerto</v>
      </c>
      <c r="H374" s="77" t="str">
        <f t="shared" si="43"/>
        <v>VP</v>
      </c>
      <c r="I374" s="77" t="str">
        <f>Emerald!C36</f>
        <v>Conforme</v>
      </c>
      <c r="J374" s="77" t="str">
        <f t="shared" si="44"/>
        <v>Acerto</v>
      </c>
      <c r="K374" s="77" t="str">
        <f t="shared" si="45"/>
        <v>VP</v>
      </c>
      <c r="L374" s="59"/>
      <c r="M374" s="59"/>
      <c r="N374" s="59"/>
      <c r="O374" s="59"/>
      <c r="P374" s="59"/>
      <c r="Q374" s="59"/>
      <c r="R374" s="59"/>
      <c r="S374" s="59"/>
      <c r="T374" s="59"/>
      <c r="U374" s="59"/>
      <c r="V374" s="59"/>
      <c r="W374" s="59"/>
      <c r="X374" s="59"/>
      <c r="Y374" s="59"/>
      <c r="Z374" s="59"/>
    </row>
    <row r="375">
      <c r="A375" s="78" t="s">
        <v>2607</v>
      </c>
      <c r="B375" s="79">
        <v>36.0</v>
      </c>
      <c r="C375" s="78" t="str">
        <f>Emerald!J37</f>
        <v>Graphics based business process harnessing tools, advancing digital maturity of business</v>
      </c>
      <c r="D375" s="78" t="str">
        <f>Emerald!F37</f>
        <v>Conforme</v>
      </c>
      <c r="E375" s="78" t="str">
        <f t="shared" si="41"/>
        <v>Conforme</v>
      </c>
      <c r="F375" s="79" t="str">
        <f>Emerald!A37</f>
        <v>Inconforme</v>
      </c>
      <c r="G375" s="79" t="str">
        <f t="shared" si="42"/>
        <v>Divergência</v>
      </c>
      <c r="H375" s="79" t="str">
        <f t="shared" si="43"/>
        <v>FN</v>
      </c>
      <c r="I375" s="79" t="str">
        <f>Emerald!C37</f>
        <v>Inconforme</v>
      </c>
      <c r="J375" s="79" t="str">
        <f t="shared" si="44"/>
        <v>Divergência</v>
      </c>
      <c r="K375" s="79" t="str">
        <f t="shared" si="45"/>
        <v>FN</v>
      </c>
      <c r="L375" s="59"/>
      <c r="M375" s="59"/>
      <c r="N375" s="59"/>
      <c r="O375" s="59"/>
      <c r="P375" s="59"/>
      <c r="Q375" s="59"/>
      <c r="R375" s="59"/>
      <c r="S375" s="59"/>
      <c r="T375" s="59"/>
      <c r="U375" s="59"/>
      <c r="V375" s="59"/>
      <c r="W375" s="59"/>
      <c r="X375" s="59"/>
      <c r="Y375" s="59"/>
      <c r="Z375" s="59"/>
    </row>
    <row r="376">
      <c r="A376" s="76" t="s">
        <v>2607</v>
      </c>
      <c r="B376" s="77">
        <v>37.0</v>
      </c>
      <c r="C376" s="76" t="str">
        <f>Emerald!J38</f>
        <v>Creating AI business value through BPM capabilities</v>
      </c>
      <c r="D376" s="76" t="str">
        <f>Emerald!F38</f>
        <v>Conforme</v>
      </c>
      <c r="E376" s="76" t="str">
        <f t="shared" si="41"/>
        <v>Conforme</v>
      </c>
      <c r="F376" s="77" t="str">
        <f>Emerald!A38</f>
        <v>Conforme</v>
      </c>
      <c r="G376" s="77" t="str">
        <f t="shared" si="42"/>
        <v>Acerto</v>
      </c>
      <c r="H376" s="77" t="str">
        <f t="shared" si="43"/>
        <v>VP</v>
      </c>
      <c r="I376" s="77" t="str">
        <f>Emerald!C38</f>
        <v>Inconforme</v>
      </c>
      <c r="J376" s="77" t="str">
        <f t="shared" si="44"/>
        <v>Divergência</v>
      </c>
      <c r="K376" s="77" t="str">
        <f t="shared" si="45"/>
        <v>FN</v>
      </c>
      <c r="L376" s="59"/>
      <c r="M376" s="59"/>
      <c r="N376" s="59"/>
      <c r="O376" s="59"/>
      <c r="P376" s="59"/>
      <c r="Q376" s="59"/>
      <c r="R376" s="59"/>
      <c r="S376" s="59"/>
      <c r="T376" s="59"/>
      <c r="U376" s="59"/>
      <c r="V376" s="59"/>
      <c r="W376" s="59"/>
      <c r="X376" s="59"/>
      <c r="Y376" s="59"/>
      <c r="Z376" s="59"/>
    </row>
    <row r="377">
      <c r="A377" s="78" t="s">
        <v>2607</v>
      </c>
      <c r="B377" s="79">
        <v>38.0</v>
      </c>
      <c r="C377" s="78" t="str">
        <f>Emerald!J39</f>
        <v>Unlocking the relationship between ambidextrous leadership style and HRM practices in knowledge-intensive SMES</v>
      </c>
      <c r="D377" s="78" t="str">
        <f>Emerald!F39</f>
        <v>Inconforme</v>
      </c>
      <c r="E377" s="78" t="str">
        <f t="shared" si="41"/>
        <v>Inconforme</v>
      </c>
      <c r="F377" s="79" t="str">
        <f>Emerald!A39</f>
        <v>Inconforme</v>
      </c>
      <c r="G377" s="79" t="str">
        <f t="shared" si="42"/>
        <v>Acerto</v>
      </c>
      <c r="H377" s="79" t="str">
        <f t="shared" si="43"/>
        <v>VN</v>
      </c>
      <c r="I377" s="79" t="str">
        <f>Emerald!C39</f>
        <v>Inconforme</v>
      </c>
      <c r="J377" s="79" t="str">
        <f t="shared" si="44"/>
        <v>Acerto</v>
      </c>
      <c r="K377" s="79" t="str">
        <f t="shared" si="45"/>
        <v>VN</v>
      </c>
      <c r="L377" s="59"/>
      <c r="M377" s="59"/>
      <c r="N377" s="59"/>
      <c r="O377" s="59"/>
      <c r="P377" s="59"/>
      <c r="Q377" s="59"/>
      <c r="R377" s="59"/>
      <c r="S377" s="59"/>
      <c r="T377" s="59"/>
      <c r="U377" s="59"/>
      <c r="V377" s="59"/>
      <c r="W377" s="59"/>
      <c r="X377" s="59"/>
      <c r="Y377" s="59"/>
      <c r="Z377" s="59"/>
    </row>
    <row r="378">
      <c r="A378" s="76" t="s">
        <v>2607</v>
      </c>
      <c r="B378" s="77">
        <v>39.0</v>
      </c>
      <c r="C378" s="76" t="str">
        <f>Emerald!J40</f>
        <v>Business processes management as a tool to enhance intellectual capital in the digitalization era: the new challenges to face</v>
      </c>
      <c r="D378" s="76" t="str">
        <f>Emerald!F40</f>
        <v>Conforme</v>
      </c>
      <c r="E378" s="76" t="str">
        <f t="shared" si="41"/>
        <v>Conforme</v>
      </c>
      <c r="F378" s="77" t="str">
        <f>Emerald!A40</f>
        <v>Conforme</v>
      </c>
      <c r="G378" s="77" t="str">
        <f t="shared" si="42"/>
        <v>Acerto</v>
      </c>
      <c r="H378" s="77" t="str">
        <f t="shared" si="43"/>
        <v>VP</v>
      </c>
      <c r="I378" s="77" t="str">
        <f>Emerald!C40</f>
        <v>Inconforme</v>
      </c>
      <c r="J378" s="77" t="str">
        <f t="shared" si="44"/>
        <v>Divergência</v>
      </c>
      <c r="K378" s="77" t="str">
        <f t="shared" si="45"/>
        <v>FN</v>
      </c>
      <c r="L378" s="59"/>
      <c r="M378" s="59"/>
      <c r="N378" s="59"/>
      <c r="O378" s="59"/>
      <c r="P378" s="59"/>
      <c r="Q378" s="59"/>
      <c r="R378" s="59"/>
      <c r="S378" s="59"/>
      <c r="T378" s="59"/>
      <c r="U378" s="59"/>
      <c r="V378" s="59"/>
      <c r="W378" s="59"/>
      <c r="X378" s="59"/>
      <c r="Y378" s="59"/>
      <c r="Z378" s="59"/>
    </row>
    <row r="379">
      <c r="A379" s="78" t="s">
        <v>2607</v>
      </c>
      <c r="B379" s="79">
        <v>40.0</v>
      </c>
      <c r="C379" s="78" t="str">
        <f>Emerald!J41</f>
        <v>Robotic process automation and artificial intelligence capabilities driving digital strategy: a resource-based view</v>
      </c>
      <c r="D379" s="78" t="str">
        <f>Emerald!F41</f>
        <v>Inconforme</v>
      </c>
      <c r="E379" s="78" t="str">
        <f t="shared" si="41"/>
        <v>Inconforme</v>
      </c>
      <c r="F379" s="79" t="str">
        <f>Emerald!A41</f>
        <v>Inconforme</v>
      </c>
      <c r="G379" s="79" t="str">
        <f t="shared" si="42"/>
        <v>Acerto</v>
      </c>
      <c r="H379" s="79" t="str">
        <f t="shared" si="43"/>
        <v>VN</v>
      </c>
      <c r="I379" s="79" t="str">
        <f>Emerald!C41</f>
        <v>Inconforme</v>
      </c>
      <c r="J379" s="79" t="str">
        <f t="shared" si="44"/>
        <v>Acerto</v>
      </c>
      <c r="K379" s="79" t="str">
        <f t="shared" si="45"/>
        <v>VN</v>
      </c>
      <c r="L379" s="59"/>
      <c r="M379" s="59"/>
      <c r="N379" s="59"/>
      <c r="O379" s="59"/>
      <c r="P379" s="59"/>
      <c r="Q379" s="59"/>
      <c r="R379" s="59"/>
      <c r="S379" s="59"/>
      <c r="T379" s="59"/>
      <c r="U379" s="59"/>
      <c r="V379" s="59"/>
      <c r="W379" s="59"/>
      <c r="X379" s="59"/>
      <c r="Y379" s="59"/>
      <c r="Z379" s="59"/>
    </row>
    <row r="380">
      <c r="A380" s="76" t="s">
        <v>2607</v>
      </c>
      <c r="B380" s="77">
        <v>41.0</v>
      </c>
      <c r="C380" s="76" t="str">
        <f>Emerald!J42</f>
        <v>Enhancing decision-making of IT demand management with process mining</v>
      </c>
      <c r="D380" s="76" t="str">
        <f>Emerald!F42</f>
        <v>Conforme</v>
      </c>
      <c r="E380" s="76" t="str">
        <f t="shared" si="41"/>
        <v>Conforme</v>
      </c>
      <c r="F380" s="77" t="str">
        <f>Emerald!A42</f>
        <v>Inconforme</v>
      </c>
      <c r="G380" s="77" t="str">
        <f t="shared" si="42"/>
        <v>Divergência</v>
      </c>
      <c r="H380" s="77" t="str">
        <f t="shared" si="43"/>
        <v>FN</v>
      </c>
      <c r="I380" s="77" t="str">
        <f>Emerald!C42</f>
        <v>Inconforme</v>
      </c>
      <c r="J380" s="77" t="str">
        <f t="shared" si="44"/>
        <v>Divergência</v>
      </c>
      <c r="K380" s="77" t="str">
        <f t="shared" si="45"/>
        <v>FN</v>
      </c>
      <c r="L380" s="59"/>
      <c r="M380" s="59"/>
      <c r="N380" s="59"/>
      <c r="O380" s="59"/>
      <c r="P380" s="59"/>
      <c r="Q380" s="59"/>
      <c r="R380" s="59"/>
      <c r="S380" s="59"/>
      <c r="T380" s="59"/>
      <c r="U380" s="59"/>
      <c r="V380" s="59"/>
      <c r="W380" s="59"/>
      <c r="X380" s="59"/>
      <c r="Y380" s="59"/>
      <c r="Z380" s="59"/>
    </row>
    <row r="381">
      <c r="A381" s="78" t="s">
        <v>2607</v>
      </c>
      <c r="B381" s="79">
        <v>42.0</v>
      </c>
      <c r="C381" s="78" t="str">
        <f>Emerald!J43</f>
        <v>Critical success factors for change management in business process management</v>
      </c>
      <c r="D381" s="78" t="str">
        <f>Emerald!F43</f>
        <v>Inconforme</v>
      </c>
      <c r="E381" s="78" t="str">
        <f t="shared" si="41"/>
        <v>Inconforme</v>
      </c>
      <c r="F381" s="79" t="str">
        <f>Emerald!A43</f>
        <v>Inconforme</v>
      </c>
      <c r="G381" s="79" t="str">
        <f t="shared" si="42"/>
        <v>Acerto</v>
      </c>
      <c r="H381" s="79" t="str">
        <f t="shared" si="43"/>
        <v>VN</v>
      </c>
      <c r="I381" s="79" t="str">
        <f>Emerald!C43</f>
        <v>Inconforme</v>
      </c>
      <c r="J381" s="79" t="str">
        <f t="shared" si="44"/>
        <v>Acerto</v>
      </c>
      <c r="K381" s="79" t="str">
        <f t="shared" si="45"/>
        <v>VN</v>
      </c>
      <c r="L381" s="59"/>
      <c r="M381" s="59"/>
      <c r="N381" s="59"/>
      <c r="O381" s="59"/>
      <c r="P381" s="59"/>
      <c r="Q381" s="59"/>
      <c r="R381" s="59"/>
      <c r="S381" s="59"/>
      <c r="T381" s="59"/>
      <c r="U381" s="59"/>
      <c r="V381" s="59"/>
      <c r="W381" s="59"/>
      <c r="X381" s="59"/>
      <c r="Y381" s="59"/>
      <c r="Z381" s="59"/>
    </row>
    <row r="382">
      <c r="A382" s="76" t="s">
        <v>2607</v>
      </c>
      <c r="B382" s="77">
        <v>43.0</v>
      </c>
      <c r="C382" s="76" t="str">
        <f>Emerald!J44</f>
        <v>Business process reengineering for designing a knowledge-enabled customer-centric competitiveness strategy</v>
      </c>
      <c r="D382" s="76" t="str">
        <f>Emerald!F44</f>
        <v>Inconforme</v>
      </c>
      <c r="E382" s="76" t="str">
        <f t="shared" si="41"/>
        <v>Inconforme</v>
      </c>
      <c r="F382" s="77" t="str">
        <f>Emerald!A44</f>
        <v>Inconforme</v>
      </c>
      <c r="G382" s="77" t="str">
        <f t="shared" si="42"/>
        <v>Acerto</v>
      </c>
      <c r="H382" s="77" t="str">
        <f t="shared" si="43"/>
        <v>VN</v>
      </c>
      <c r="I382" s="77" t="str">
        <f>Emerald!C44</f>
        <v>Inconforme</v>
      </c>
      <c r="J382" s="77" t="str">
        <f t="shared" si="44"/>
        <v>Acerto</v>
      </c>
      <c r="K382" s="77" t="str">
        <f t="shared" si="45"/>
        <v>VN</v>
      </c>
      <c r="L382" s="59"/>
      <c r="M382" s="59"/>
      <c r="N382" s="59"/>
      <c r="O382" s="59"/>
      <c r="P382" s="59"/>
      <c r="Q382" s="59"/>
      <c r="R382" s="59"/>
      <c r="S382" s="59"/>
      <c r="T382" s="59"/>
      <c r="U382" s="59"/>
      <c r="V382" s="59"/>
      <c r="W382" s="59"/>
      <c r="X382" s="59"/>
      <c r="Y382" s="59"/>
      <c r="Z382" s="59"/>
    </row>
    <row r="383">
      <c r="A383" s="78" t="s">
        <v>2607</v>
      </c>
      <c r="B383" s="79">
        <v>44.0</v>
      </c>
      <c r="C383" s="78" t="str">
        <f>Emerald!J45</f>
        <v>How business process management culture supports digital innovation: a quantitative assessment</v>
      </c>
      <c r="D383" s="78" t="str">
        <f>Emerald!F45</f>
        <v>Inconforme</v>
      </c>
      <c r="E383" s="78" t="str">
        <f t="shared" si="41"/>
        <v>Inconforme</v>
      </c>
      <c r="F383" s="79" t="str">
        <f>Emerald!A45</f>
        <v>Conforme</v>
      </c>
      <c r="G383" s="79" t="str">
        <f t="shared" si="42"/>
        <v>Divergência</v>
      </c>
      <c r="H383" s="79" t="str">
        <f t="shared" si="43"/>
        <v>FP</v>
      </c>
      <c r="I383" s="79" t="str">
        <f>Emerald!C45</f>
        <v>Inconforme</v>
      </c>
      <c r="J383" s="79" t="str">
        <f t="shared" si="44"/>
        <v>Acerto</v>
      </c>
      <c r="K383" s="79" t="str">
        <f t="shared" si="45"/>
        <v>VN</v>
      </c>
      <c r="L383" s="59"/>
      <c r="M383" s="59"/>
      <c r="N383" s="59"/>
      <c r="O383" s="59"/>
      <c r="P383" s="59"/>
      <c r="Q383" s="59"/>
      <c r="R383" s="59"/>
      <c r="S383" s="59"/>
      <c r="T383" s="59"/>
      <c r="U383" s="59"/>
      <c r="V383" s="59"/>
      <c r="W383" s="59"/>
      <c r="X383" s="59"/>
      <c r="Y383" s="59"/>
      <c r="Z383" s="59"/>
    </row>
    <row r="384">
      <c r="A384" s="76" t="s">
        <v>2607</v>
      </c>
      <c r="B384" s="77">
        <v>45.0</v>
      </c>
      <c r="C384" s="76" t="str">
        <f>Emerald!J46</f>
        <v>The role of digital knowledge servitization in supply chain management</v>
      </c>
      <c r="D384" s="76" t="str">
        <f>Emerald!F46</f>
        <v>Inconforme</v>
      </c>
      <c r="E384" s="76" t="str">
        <f t="shared" si="41"/>
        <v>Inconforme</v>
      </c>
      <c r="F384" s="77" t="str">
        <f>Emerald!A46</f>
        <v>Inconforme</v>
      </c>
      <c r="G384" s="77" t="str">
        <f t="shared" si="42"/>
        <v>Acerto</v>
      </c>
      <c r="H384" s="77" t="str">
        <f t="shared" si="43"/>
        <v>VN</v>
      </c>
      <c r="I384" s="77" t="str">
        <f>Emerald!C46</f>
        <v>Inconforme</v>
      </c>
      <c r="J384" s="77" t="str">
        <f t="shared" si="44"/>
        <v>Acerto</v>
      </c>
      <c r="K384" s="77" t="str">
        <f t="shared" si="45"/>
        <v>VN</v>
      </c>
      <c r="L384" s="59"/>
      <c r="M384" s="59"/>
      <c r="N384" s="59"/>
      <c r="O384" s="59"/>
      <c r="P384" s="59"/>
      <c r="Q384" s="59"/>
      <c r="R384" s="59"/>
      <c r="S384" s="59"/>
      <c r="T384" s="59"/>
      <c r="U384" s="59"/>
      <c r="V384" s="59"/>
      <c r="W384" s="59"/>
      <c r="X384" s="59"/>
      <c r="Y384" s="59"/>
      <c r="Z384" s="59"/>
    </row>
    <row r="385">
      <c r="A385" s="78" t="s">
        <v>2607</v>
      </c>
      <c r="B385" s="79">
        <v>46.0</v>
      </c>
      <c r="C385" s="78" t="str">
        <f>Emerald!J47</f>
        <v>A process mining impacts framework</v>
      </c>
      <c r="D385" s="78" t="str">
        <f>Emerald!F47</f>
        <v>Inconforme</v>
      </c>
      <c r="E385" s="78" t="str">
        <f t="shared" si="41"/>
        <v>Inconforme</v>
      </c>
      <c r="F385" s="79" t="str">
        <f>Emerald!A47</f>
        <v>Inconforme</v>
      </c>
      <c r="G385" s="79" t="str">
        <f t="shared" si="42"/>
        <v>Acerto</v>
      </c>
      <c r="H385" s="79" t="str">
        <f t="shared" si="43"/>
        <v>VN</v>
      </c>
      <c r="I385" s="79" t="str">
        <f>Emerald!C47</f>
        <v>Inconforme</v>
      </c>
      <c r="J385" s="79" t="str">
        <f t="shared" si="44"/>
        <v>Acerto</v>
      </c>
      <c r="K385" s="79" t="str">
        <f t="shared" si="45"/>
        <v>VN</v>
      </c>
      <c r="L385" s="59"/>
      <c r="M385" s="59"/>
      <c r="N385" s="59"/>
      <c r="O385" s="59"/>
      <c r="P385" s="59"/>
      <c r="Q385" s="59"/>
      <c r="R385" s="59"/>
      <c r="S385" s="59"/>
      <c r="T385" s="59"/>
      <c r="U385" s="59"/>
      <c r="V385" s="59"/>
      <c r="W385" s="59"/>
      <c r="X385" s="59"/>
      <c r="Y385" s="59"/>
      <c r="Z385" s="59"/>
    </row>
    <row r="386">
      <c r="A386" s="76" t="s">
        <v>2607</v>
      </c>
      <c r="B386" s="77">
        <v>47.0</v>
      </c>
      <c r="C386" s="76" t="str">
        <f>Emerald!J48</f>
        <v>A machine learning-based human resources recruitment system for business process management: using LSA, BERT and SVM</v>
      </c>
      <c r="D386" s="76" t="str">
        <f>Emerald!F48</f>
        <v>Inconforme</v>
      </c>
      <c r="E386" s="76" t="str">
        <f t="shared" si="41"/>
        <v>Inconforme</v>
      </c>
      <c r="F386" s="77" t="str">
        <f>Emerald!A48</f>
        <v>Conforme</v>
      </c>
      <c r="G386" s="77" t="str">
        <f t="shared" si="42"/>
        <v>Divergência</v>
      </c>
      <c r="H386" s="77" t="str">
        <f t="shared" si="43"/>
        <v>FP</v>
      </c>
      <c r="I386" s="77" t="str">
        <f>Emerald!C48</f>
        <v>Inconforme</v>
      </c>
      <c r="J386" s="77" t="str">
        <f t="shared" si="44"/>
        <v>Acerto</v>
      </c>
      <c r="K386" s="77" t="str">
        <f t="shared" si="45"/>
        <v>VN</v>
      </c>
      <c r="L386" s="59"/>
      <c r="M386" s="59"/>
      <c r="N386" s="59"/>
      <c r="O386" s="59"/>
      <c r="P386" s="59"/>
      <c r="Q386" s="59"/>
      <c r="R386" s="59"/>
      <c r="S386" s="59"/>
      <c r="T386" s="59"/>
      <c r="U386" s="59"/>
      <c r="V386" s="59"/>
      <c r="W386" s="59"/>
      <c r="X386" s="59"/>
      <c r="Y386" s="59"/>
      <c r="Z386" s="59"/>
    </row>
    <row r="387">
      <c r="A387" s="78" t="s">
        <v>2607</v>
      </c>
      <c r="B387" s="79">
        <v>48.0</v>
      </c>
      <c r="C387" s="78" t="str">
        <f>Emerald!J49</f>
        <v>Prioritising enabling factors of Internet of things (IoT) adoption in digital supply chain</v>
      </c>
      <c r="D387" s="78" t="str">
        <f>Emerald!F49</f>
        <v>Inconforme</v>
      </c>
      <c r="E387" s="78" t="str">
        <f t="shared" si="41"/>
        <v>Inconforme</v>
      </c>
      <c r="F387" s="79" t="str">
        <f>Emerald!A49</f>
        <v>Inconforme</v>
      </c>
      <c r="G387" s="79" t="str">
        <f t="shared" si="42"/>
        <v>Acerto</v>
      </c>
      <c r="H387" s="79" t="str">
        <f t="shared" si="43"/>
        <v>VN</v>
      </c>
      <c r="I387" s="79" t="str">
        <f>Emerald!C49</f>
        <v>Inconforme</v>
      </c>
      <c r="J387" s="79" t="str">
        <f t="shared" si="44"/>
        <v>Acerto</v>
      </c>
      <c r="K387" s="79" t="str">
        <f t="shared" si="45"/>
        <v>VN</v>
      </c>
      <c r="L387" s="59"/>
      <c r="M387" s="59"/>
      <c r="N387" s="59"/>
      <c r="O387" s="59"/>
      <c r="P387" s="59"/>
      <c r="Q387" s="59"/>
      <c r="R387" s="59"/>
      <c r="S387" s="59"/>
      <c r="T387" s="59"/>
      <c r="U387" s="59"/>
      <c r="V387" s="59"/>
      <c r="W387" s="59"/>
      <c r="X387" s="59"/>
      <c r="Y387" s="59"/>
      <c r="Z387" s="59"/>
    </row>
    <row r="388">
      <c r="A388" s="76" t="s">
        <v>2607</v>
      </c>
      <c r="B388" s="77">
        <v>49.0</v>
      </c>
      <c r="C388" s="76" t="str">
        <f>Emerald!J50</f>
        <v>Digitalization in small and medium enterprise: a parsimonious model of digitalization of accounting information for sustainable innovation ecosystem value generation</v>
      </c>
      <c r="D388" s="76" t="str">
        <f>Emerald!F50</f>
        <v>Inconforme</v>
      </c>
      <c r="E388" s="76" t="str">
        <f t="shared" si="41"/>
        <v>Inconforme</v>
      </c>
      <c r="F388" s="77" t="str">
        <f>Emerald!A50</f>
        <v>Inconforme</v>
      </c>
      <c r="G388" s="77" t="str">
        <f t="shared" si="42"/>
        <v>Acerto</v>
      </c>
      <c r="H388" s="77" t="str">
        <f t="shared" si="43"/>
        <v>VN</v>
      </c>
      <c r="I388" s="77" t="str">
        <f>Emerald!C50</f>
        <v>Inconforme</v>
      </c>
      <c r="J388" s="77" t="str">
        <f t="shared" si="44"/>
        <v>Acerto</v>
      </c>
      <c r="K388" s="77" t="str">
        <f t="shared" si="45"/>
        <v>VN</v>
      </c>
      <c r="L388" s="59"/>
      <c r="M388" s="59"/>
      <c r="N388" s="59"/>
      <c r="O388" s="59"/>
      <c r="P388" s="59"/>
      <c r="Q388" s="59"/>
      <c r="R388" s="59"/>
      <c r="S388" s="59"/>
      <c r="T388" s="59"/>
      <c r="U388" s="59"/>
      <c r="V388" s="59"/>
      <c r="W388" s="59"/>
      <c r="X388" s="59"/>
      <c r="Y388" s="59"/>
      <c r="Z388" s="59"/>
    </row>
    <row r="389">
      <c r="A389" s="78" t="s">
        <v>2607</v>
      </c>
      <c r="B389" s="79">
        <v>50.0</v>
      </c>
      <c r="C389" s="78" t="str">
        <f>Emerald!J51</f>
        <v>How to make it stick? Institutionalising process improvement initiatives</v>
      </c>
      <c r="D389" s="78" t="str">
        <f>Emerald!F51</f>
        <v>Inconforme</v>
      </c>
      <c r="E389" s="78" t="str">
        <f t="shared" si="41"/>
        <v>Inconforme</v>
      </c>
      <c r="F389" s="79" t="str">
        <f>Emerald!A51</f>
        <v>Inconforme</v>
      </c>
      <c r="G389" s="79" t="str">
        <f t="shared" si="42"/>
        <v>Acerto</v>
      </c>
      <c r="H389" s="79" t="str">
        <f t="shared" si="43"/>
        <v>VN</v>
      </c>
      <c r="I389" s="79" t="str">
        <f>Emerald!C51</f>
        <v>Inconforme</v>
      </c>
      <c r="J389" s="79" t="str">
        <f t="shared" si="44"/>
        <v>Acerto</v>
      </c>
      <c r="K389" s="79" t="str">
        <f t="shared" si="45"/>
        <v>VN</v>
      </c>
      <c r="L389" s="59"/>
      <c r="M389" s="59"/>
      <c r="N389" s="59"/>
      <c r="O389" s="59"/>
      <c r="P389" s="59"/>
      <c r="Q389" s="59"/>
      <c r="R389" s="59"/>
      <c r="S389" s="59"/>
      <c r="T389" s="59"/>
      <c r="U389" s="59"/>
      <c r="V389" s="59"/>
      <c r="W389" s="59"/>
      <c r="X389" s="59"/>
      <c r="Y389" s="59"/>
      <c r="Z389" s="59"/>
    </row>
    <row r="390">
      <c r="A390" s="76" t="s">
        <v>2607</v>
      </c>
      <c r="B390" s="77">
        <v>51.0</v>
      </c>
      <c r="C390" s="76" t="str">
        <f>Emerald!J52</f>
        <v>Success factors of process digitalization projects – insights from an exploratory study</v>
      </c>
      <c r="D390" s="76" t="str">
        <f>Emerald!F52</f>
        <v>Conforme</v>
      </c>
      <c r="E390" s="76" t="str">
        <f t="shared" si="41"/>
        <v>Conforme</v>
      </c>
      <c r="F390" s="77" t="str">
        <f>Emerald!A52</f>
        <v>Conforme</v>
      </c>
      <c r="G390" s="77" t="str">
        <f t="shared" si="42"/>
        <v>Acerto</v>
      </c>
      <c r="H390" s="77" t="str">
        <f t="shared" si="43"/>
        <v>VP</v>
      </c>
      <c r="I390" s="77" t="str">
        <f>Emerald!C52</f>
        <v>Inconforme</v>
      </c>
      <c r="J390" s="77" t="str">
        <f t="shared" si="44"/>
        <v>Divergência</v>
      </c>
      <c r="K390" s="77" t="str">
        <f t="shared" si="45"/>
        <v>FN</v>
      </c>
      <c r="L390" s="59"/>
      <c r="M390" s="59"/>
      <c r="N390" s="59"/>
      <c r="O390" s="59"/>
      <c r="P390" s="59"/>
      <c r="Q390" s="59"/>
      <c r="R390" s="59"/>
      <c r="S390" s="59"/>
      <c r="T390" s="59"/>
      <c r="U390" s="59"/>
      <c r="V390" s="59"/>
      <c r="W390" s="59"/>
      <c r="X390" s="59"/>
      <c r="Y390" s="59"/>
      <c r="Z390" s="59"/>
    </row>
    <row r="391">
      <c r="A391" s="78" t="s">
        <v>2607</v>
      </c>
      <c r="B391" s="79">
        <v>52.0</v>
      </c>
      <c r="C391" s="78" t="str">
        <f>Emerald!J53</f>
        <v>Building organizational resilience with digital transformation</v>
      </c>
      <c r="D391" s="78" t="str">
        <f>Emerald!F53</f>
        <v>Inconforme</v>
      </c>
      <c r="E391" s="78" t="str">
        <f t="shared" si="41"/>
        <v>Inconforme</v>
      </c>
      <c r="F391" s="79" t="str">
        <f>Emerald!A53</f>
        <v>Inconforme</v>
      </c>
      <c r="G391" s="79" t="str">
        <f t="shared" si="42"/>
        <v>Acerto</v>
      </c>
      <c r="H391" s="79" t="str">
        <f t="shared" si="43"/>
        <v>VN</v>
      </c>
      <c r="I391" s="79" t="str">
        <f>Emerald!C53</f>
        <v>Inconforme</v>
      </c>
      <c r="J391" s="79" t="str">
        <f t="shared" si="44"/>
        <v>Acerto</v>
      </c>
      <c r="K391" s="79" t="str">
        <f t="shared" si="45"/>
        <v>VN</v>
      </c>
      <c r="L391" s="59"/>
      <c r="M391" s="59"/>
      <c r="N391" s="59"/>
      <c r="O391" s="59"/>
      <c r="P391" s="59"/>
      <c r="Q391" s="59"/>
      <c r="R391" s="59"/>
      <c r="S391" s="59"/>
      <c r="T391" s="59"/>
      <c r="U391" s="59"/>
      <c r="V391" s="59"/>
      <c r="W391" s="59"/>
      <c r="X391" s="59"/>
      <c r="Y391" s="59"/>
      <c r="Z391" s="59"/>
    </row>
    <row r="392">
      <c r="A392" s="76" t="s">
        <v>2607</v>
      </c>
      <c r="B392" s="77">
        <v>53.0</v>
      </c>
      <c r="C392" s="76" t="str">
        <f>Emerald!J54</f>
        <v>Skills and competencies for digital transformation – a critical analysis in the context of robotic process automation</v>
      </c>
      <c r="D392" s="76" t="str">
        <f>Emerald!F54</f>
        <v>Inconforme</v>
      </c>
      <c r="E392" s="76" t="str">
        <f t="shared" si="41"/>
        <v>Inconforme</v>
      </c>
      <c r="F392" s="77" t="str">
        <f>Emerald!A54</f>
        <v>Inconforme</v>
      </c>
      <c r="G392" s="77" t="str">
        <f t="shared" si="42"/>
        <v>Acerto</v>
      </c>
      <c r="H392" s="77" t="str">
        <f t="shared" si="43"/>
        <v>VN</v>
      </c>
      <c r="I392" s="77" t="str">
        <f>Emerald!C54</f>
        <v>Inconforme</v>
      </c>
      <c r="J392" s="77" t="str">
        <f t="shared" si="44"/>
        <v>Acerto</v>
      </c>
      <c r="K392" s="77" t="str">
        <f t="shared" si="45"/>
        <v>VN</v>
      </c>
      <c r="L392" s="59"/>
      <c r="M392" s="59"/>
      <c r="N392" s="59"/>
      <c r="O392" s="59"/>
      <c r="P392" s="59"/>
      <c r="Q392" s="59"/>
      <c r="R392" s="59"/>
      <c r="S392" s="59"/>
      <c r="T392" s="59"/>
      <c r="U392" s="59"/>
      <c r="V392" s="59"/>
      <c r="W392" s="59"/>
      <c r="X392" s="59"/>
      <c r="Y392" s="59"/>
      <c r="Z392" s="59"/>
    </row>
    <row r="393">
      <c r="A393" s="78" t="s">
        <v>2607</v>
      </c>
      <c r="B393" s="79">
        <v>54.0</v>
      </c>
      <c r="C393" s="78" t="str">
        <f>Emerald!J55</f>
        <v>Exploring IT/IS proactive and knowledge transfer on enterprise digital business transformation (EDBT): a technology-knowledge perspective</v>
      </c>
      <c r="D393" s="78" t="str">
        <f>Emerald!F55</f>
        <v>Conforme</v>
      </c>
      <c r="E393" s="78" t="str">
        <f t="shared" si="41"/>
        <v>Conforme</v>
      </c>
      <c r="F393" s="79" t="str">
        <f>Emerald!A55</f>
        <v>Conforme</v>
      </c>
      <c r="G393" s="79" t="str">
        <f t="shared" si="42"/>
        <v>Acerto</v>
      </c>
      <c r="H393" s="79" t="str">
        <f t="shared" si="43"/>
        <v>VP</v>
      </c>
      <c r="I393" s="79" t="str">
        <f>Emerald!C55</f>
        <v>Inconforme</v>
      </c>
      <c r="J393" s="79" t="str">
        <f t="shared" si="44"/>
        <v>Divergência</v>
      </c>
      <c r="K393" s="79" t="str">
        <f t="shared" si="45"/>
        <v>FN</v>
      </c>
      <c r="L393" s="59"/>
      <c r="M393" s="59"/>
      <c r="N393" s="59"/>
      <c r="O393" s="59"/>
      <c r="P393" s="59"/>
      <c r="Q393" s="59"/>
      <c r="R393" s="59"/>
      <c r="S393" s="59"/>
      <c r="T393" s="59"/>
      <c r="U393" s="59"/>
      <c r="V393" s="59"/>
      <c r="W393" s="59"/>
      <c r="X393" s="59"/>
      <c r="Y393" s="59"/>
      <c r="Z393" s="59"/>
    </row>
    <row r="394">
      <c r="A394" s="76" t="s">
        <v>2607</v>
      </c>
      <c r="B394" s="77">
        <v>55.0</v>
      </c>
      <c r="C394" s="76" t="str">
        <f>Emerald!J56</f>
        <v>Information Technology Alignment and Innovation: 30 Years of Intersecting Research</v>
      </c>
      <c r="D394" s="76" t="str">
        <f>Emerald!F56</f>
        <v>Inconforme</v>
      </c>
      <c r="E394" s="76" t="str">
        <f t="shared" si="41"/>
        <v>Inconforme</v>
      </c>
      <c r="F394" s="77" t="str">
        <f>Emerald!A56</f>
        <v>Inconforme</v>
      </c>
      <c r="G394" s="77" t="str">
        <f t="shared" si="42"/>
        <v>Acerto</v>
      </c>
      <c r="H394" s="77" t="str">
        <f t="shared" si="43"/>
        <v>VN</v>
      </c>
      <c r="I394" s="77" t="str">
        <f>Emerald!C56</f>
        <v>Inconforme</v>
      </c>
      <c r="J394" s="77" t="str">
        <f t="shared" si="44"/>
        <v>Acerto</v>
      </c>
      <c r="K394" s="77" t="str">
        <f t="shared" si="45"/>
        <v>VN</v>
      </c>
      <c r="L394" s="59"/>
      <c r="M394" s="59"/>
      <c r="N394" s="59"/>
      <c r="O394" s="59"/>
      <c r="P394" s="59"/>
      <c r="Q394" s="59"/>
      <c r="R394" s="59"/>
      <c r="S394" s="59"/>
      <c r="T394" s="59"/>
      <c r="U394" s="59"/>
      <c r="V394" s="59"/>
      <c r="W394" s="59"/>
      <c r="X394" s="59"/>
      <c r="Y394" s="59"/>
      <c r="Z394" s="59"/>
    </row>
    <row r="395">
      <c r="A395" s="78" t="s">
        <v>2608</v>
      </c>
      <c r="B395" s="79">
        <v>1.0</v>
      </c>
      <c r="C395" s="78" t="str">
        <f>Scopus!J2</f>
        <v>Evaluating the Economic and Sustainability Impacts of Drones in Viticulture using BPMN-based Simulation</v>
      </c>
      <c r="D395" s="78" t="str">
        <f>Scopus!F2</f>
        <v>Inconforme -Artigos duplicados ou similares</v>
      </c>
      <c r="E395" s="78" t="str">
        <f t="shared" si="41"/>
        <v>Conforme</v>
      </c>
      <c r="F395" s="79" t="str">
        <f>Scopus!A2</f>
        <v>Inconforme</v>
      </c>
      <c r="G395" s="79" t="str">
        <f t="shared" si="42"/>
        <v>Divergência</v>
      </c>
      <c r="H395" s="79" t="str">
        <f t="shared" si="43"/>
        <v>FN</v>
      </c>
      <c r="I395" s="79" t="str">
        <f>Scopus!C2</f>
        <v>Conforme</v>
      </c>
      <c r="J395" s="79" t="str">
        <f t="shared" si="44"/>
        <v>Acerto</v>
      </c>
      <c r="K395" s="79" t="str">
        <f t="shared" si="45"/>
        <v>VP</v>
      </c>
      <c r="L395" s="59"/>
      <c r="M395" s="59"/>
      <c r="N395" s="59"/>
      <c r="O395" s="59"/>
      <c r="P395" s="59"/>
      <c r="Q395" s="59"/>
      <c r="R395" s="59"/>
      <c r="S395" s="59"/>
      <c r="T395" s="59"/>
      <c r="U395" s="59"/>
      <c r="V395" s="59"/>
      <c r="W395" s="59"/>
      <c r="X395" s="59"/>
      <c r="Y395" s="59"/>
      <c r="Z395" s="59"/>
    </row>
    <row r="396">
      <c r="A396" s="76" t="s">
        <v>2608</v>
      </c>
      <c r="B396" s="77">
        <v>2.0</v>
      </c>
      <c r="C396" s="76" t="str">
        <f>Scopus!J3</f>
        <v>Indonesian organization digital innovation: the influence of business process management capabilities</v>
      </c>
      <c r="D396" s="76" t="str">
        <f>Scopus!F3</f>
        <v>Inconforme -Artigos duplicados ou similares</v>
      </c>
      <c r="E396" s="76" t="str">
        <f t="shared" si="41"/>
        <v>Conforme</v>
      </c>
      <c r="F396" s="77" t="str">
        <f>Scopus!A3</f>
        <v>Conforme</v>
      </c>
      <c r="G396" s="77" t="str">
        <f t="shared" si="42"/>
        <v>Acerto</v>
      </c>
      <c r="H396" s="77" t="str">
        <f t="shared" si="43"/>
        <v>VP</v>
      </c>
      <c r="I396" s="77" t="str">
        <f>Scopus!C3</f>
        <v>Conforme</v>
      </c>
      <c r="J396" s="77" t="str">
        <f t="shared" si="44"/>
        <v>Acerto</v>
      </c>
      <c r="K396" s="77" t="str">
        <f t="shared" si="45"/>
        <v>VP</v>
      </c>
      <c r="L396" s="59"/>
      <c r="M396" s="59"/>
      <c r="N396" s="59"/>
      <c r="O396" s="59"/>
      <c r="P396" s="59"/>
      <c r="Q396" s="59"/>
      <c r="R396" s="59"/>
      <c r="S396" s="59"/>
      <c r="T396" s="59"/>
      <c r="U396" s="59"/>
      <c r="V396" s="59"/>
      <c r="W396" s="59"/>
      <c r="X396" s="59"/>
      <c r="Y396" s="59"/>
      <c r="Z396" s="59"/>
    </row>
    <row r="397">
      <c r="A397" s="78" t="s">
        <v>2608</v>
      </c>
      <c r="B397" s="79">
        <v>3.0</v>
      </c>
      <c r="C397" s="78" t="str">
        <f>Scopus!J4</f>
        <v>Process Mining, Modeling, and Management in Construction: A Critical Review of Three Decades of Research Coupled with a Current Industry Perspective</v>
      </c>
      <c r="D397" s="78" t="str">
        <f>Scopus!F4</f>
        <v>Inconforme</v>
      </c>
      <c r="E397" s="78" t="str">
        <f t="shared" si="41"/>
        <v>Inconforme</v>
      </c>
      <c r="F397" s="79" t="str">
        <f>Scopus!A4</f>
        <v>Inconforme</v>
      </c>
      <c r="G397" s="79" t="str">
        <f t="shared" si="42"/>
        <v>Acerto</v>
      </c>
      <c r="H397" s="79" t="str">
        <f t="shared" si="43"/>
        <v>VN</v>
      </c>
      <c r="I397" s="79" t="str">
        <f>Scopus!C4</f>
        <v>Inconforme</v>
      </c>
      <c r="J397" s="79" t="str">
        <f t="shared" si="44"/>
        <v>Acerto</v>
      </c>
      <c r="K397" s="79" t="str">
        <f t="shared" si="45"/>
        <v>VN</v>
      </c>
      <c r="L397" s="59"/>
      <c r="M397" s="59"/>
      <c r="N397" s="59"/>
      <c r="O397" s="59"/>
      <c r="P397" s="59"/>
      <c r="Q397" s="59"/>
      <c r="R397" s="59"/>
      <c r="S397" s="59"/>
      <c r="T397" s="59"/>
      <c r="U397" s="59"/>
      <c r="V397" s="59"/>
      <c r="W397" s="59"/>
      <c r="X397" s="59"/>
      <c r="Y397" s="59"/>
      <c r="Z397" s="59"/>
    </row>
    <row r="398">
      <c r="A398" s="76" t="s">
        <v>2608</v>
      </c>
      <c r="B398" s="77">
        <v>4.0</v>
      </c>
      <c r="C398" s="76" t="str">
        <f>Scopus!J5</f>
        <v>Self-managed Organization: A Role of Business Process Management</v>
      </c>
      <c r="D398" s="76" t="str">
        <f>Scopus!F5</f>
        <v>Inconforme</v>
      </c>
      <c r="E398" s="76" t="str">
        <f t="shared" si="41"/>
        <v>Inconforme</v>
      </c>
      <c r="F398" s="77" t="str">
        <f>Scopus!A5</f>
        <v>Inconforme</v>
      </c>
      <c r="G398" s="77" t="str">
        <f t="shared" si="42"/>
        <v>Acerto</v>
      </c>
      <c r="H398" s="77" t="str">
        <f t="shared" si="43"/>
        <v>VN</v>
      </c>
      <c r="I398" s="77" t="str">
        <f>Scopus!C5</f>
        <v>Inconforme</v>
      </c>
      <c r="J398" s="77" t="str">
        <f t="shared" si="44"/>
        <v>Acerto</v>
      </c>
      <c r="K398" s="77" t="str">
        <f t="shared" si="45"/>
        <v>VN</v>
      </c>
      <c r="L398" s="59"/>
      <c r="M398" s="59"/>
      <c r="N398" s="59"/>
      <c r="O398" s="59"/>
      <c r="P398" s="59"/>
      <c r="Q398" s="59"/>
      <c r="R398" s="59"/>
      <c r="S398" s="59"/>
      <c r="T398" s="59"/>
      <c r="U398" s="59"/>
      <c r="V398" s="59"/>
      <c r="W398" s="59"/>
      <c r="X398" s="59"/>
      <c r="Y398" s="59"/>
      <c r="Z398" s="59"/>
    </row>
    <row r="399">
      <c r="A399" s="78" t="s">
        <v>2608</v>
      </c>
      <c r="B399" s="79">
        <v>5.0</v>
      </c>
      <c r="C399" s="78" t="str">
        <f>Scopus!J6</f>
        <v>Business Process Automation in Retail</v>
      </c>
      <c r="D399" s="78" t="str">
        <f>Scopus!F6</f>
        <v>Conforme</v>
      </c>
      <c r="E399" s="78" t="str">
        <f t="shared" si="41"/>
        <v>Conforme</v>
      </c>
      <c r="F399" s="79" t="str">
        <f>Scopus!A6</f>
        <v>Inconforme</v>
      </c>
      <c r="G399" s="79" t="str">
        <f t="shared" si="42"/>
        <v>Divergência</v>
      </c>
      <c r="H399" s="79" t="str">
        <f t="shared" si="43"/>
        <v>FN</v>
      </c>
      <c r="I399" s="79" t="str">
        <f>Scopus!C6</f>
        <v>Inconforme</v>
      </c>
      <c r="J399" s="79" t="str">
        <f t="shared" si="44"/>
        <v>Divergência</v>
      </c>
      <c r="K399" s="79" t="str">
        <f t="shared" si="45"/>
        <v>FN</v>
      </c>
      <c r="L399" s="59"/>
      <c r="M399" s="59"/>
      <c r="N399" s="59"/>
      <c r="O399" s="59"/>
      <c r="P399" s="59"/>
      <c r="Q399" s="59"/>
      <c r="R399" s="59"/>
      <c r="S399" s="59"/>
      <c r="T399" s="59"/>
      <c r="U399" s="59"/>
      <c r="V399" s="59"/>
      <c r="W399" s="59"/>
      <c r="X399" s="59"/>
      <c r="Y399" s="59"/>
      <c r="Z399" s="59"/>
    </row>
    <row r="400">
      <c r="A400" s="76" t="s">
        <v>2608</v>
      </c>
      <c r="B400" s="77">
        <v>6.0</v>
      </c>
      <c r="C400" s="76" t="str">
        <f>Scopus!J7</f>
        <v>From Silos to Synergy: Embedding BPM at Sri Lanka Telecom to Drive Strategic Alignment</v>
      </c>
      <c r="D400" s="76" t="str">
        <f>Scopus!F7</f>
        <v>Conforme</v>
      </c>
      <c r="E400" s="76" t="str">
        <f t="shared" si="41"/>
        <v>Conforme</v>
      </c>
      <c r="F400" s="77" t="str">
        <f>Scopus!A7</f>
        <v>Conforme</v>
      </c>
      <c r="G400" s="77" t="str">
        <f t="shared" si="42"/>
        <v>Acerto</v>
      </c>
      <c r="H400" s="77" t="str">
        <f t="shared" si="43"/>
        <v>VP</v>
      </c>
      <c r="I400" s="77" t="str">
        <f>Scopus!C7</f>
        <v>Conforme</v>
      </c>
      <c r="J400" s="77" t="str">
        <f t="shared" si="44"/>
        <v>Acerto</v>
      </c>
      <c r="K400" s="77" t="str">
        <f t="shared" si="45"/>
        <v>VP</v>
      </c>
      <c r="L400" s="59"/>
      <c r="M400" s="59"/>
      <c r="N400" s="59"/>
      <c r="O400" s="59"/>
      <c r="P400" s="59"/>
      <c r="Q400" s="59"/>
      <c r="R400" s="59"/>
      <c r="S400" s="59"/>
      <c r="T400" s="59"/>
      <c r="U400" s="59"/>
      <c r="V400" s="59"/>
      <c r="W400" s="59"/>
      <c r="X400" s="59"/>
      <c r="Y400" s="59"/>
      <c r="Z400" s="59"/>
    </row>
    <row r="401">
      <c r="A401" s="78" t="s">
        <v>2608</v>
      </c>
      <c r="B401" s="79">
        <v>7.0</v>
      </c>
      <c r="C401" s="78" t="str">
        <f>Scopus!J8</f>
        <v>ROH-BOT: An IoT Wearable and Inclusive Health Device for Remote Patient Monitoring with Different Alarm Systems</v>
      </c>
      <c r="D401" s="78" t="str">
        <f>Scopus!F8</f>
        <v>Inconforme</v>
      </c>
      <c r="E401" s="78" t="str">
        <f t="shared" si="41"/>
        <v>Inconforme</v>
      </c>
      <c r="F401" s="79" t="str">
        <f>Scopus!A8</f>
        <v>Inconforme</v>
      </c>
      <c r="G401" s="79" t="str">
        <f t="shared" si="42"/>
        <v>Acerto</v>
      </c>
      <c r="H401" s="79" t="str">
        <f t="shared" si="43"/>
        <v>VN</v>
      </c>
      <c r="I401" s="79" t="str">
        <f>Scopus!C8</f>
        <v>Inconforme</v>
      </c>
      <c r="J401" s="79" t="str">
        <f t="shared" si="44"/>
        <v>Acerto</v>
      </c>
      <c r="K401" s="79" t="str">
        <f t="shared" si="45"/>
        <v>VN</v>
      </c>
      <c r="L401" s="59"/>
      <c r="M401" s="59"/>
      <c r="N401" s="59"/>
      <c r="O401" s="59"/>
      <c r="P401" s="59"/>
      <c r="Q401" s="59"/>
      <c r="R401" s="59"/>
      <c r="S401" s="59"/>
      <c r="T401" s="59"/>
      <c r="U401" s="59"/>
      <c r="V401" s="59"/>
      <c r="W401" s="59"/>
      <c r="X401" s="59"/>
      <c r="Y401" s="59"/>
      <c r="Z401" s="59"/>
    </row>
    <row r="402">
      <c r="A402" s="76" t="s">
        <v>2608</v>
      </c>
      <c r="B402" s="77">
        <v>8.0</v>
      </c>
      <c r="C402" s="76" t="str">
        <f>Scopus!J9</f>
        <v>Scheduling Robotic Assisted Surgery within the Perioperative Process</v>
      </c>
      <c r="D402" s="76" t="str">
        <f>Scopus!F9</f>
        <v>Inconforme</v>
      </c>
      <c r="E402" s="76" t="str">
        <f t="shared" si="41"/>
        <v>Inconforme</v>
      </c>
      <c r="F402" s="77" t="str">
        <f>Scopus!A9</f>
        <v>Inconforme</v>
      </c>
      <c r="G402" s="77" t="str">
        <f t="shared" si="42"/>
        <v>Acerto</v>
      </c>
      <c r="H402" s="77" t="str">
        <f t="shared" si="43"/>
        <v>VN</v>
      </c>
      <c r="I402" s="77" t="str">
        <f>Scopus!C9</f>
        <v>Inconforme</v>
      </c>
      <c r="J402" s="77" t="str">
        <f t="shared" si="44"/>
        <v>Acerto</v>
      </c>
      <c r="K402" s="77" t="str">
        <f t="shared" si="45"/>
        <v>VN</v>
      </c>
      <c r="L402" s="59"/>
      <c r="M402" s="59"/>
      <c r="N402" s="59"/>
      <c r="O402" s="59"/>
      <c r="P402" s="59"/>
      <c r="Q402" s="59"/>
      <c r="R402" s="59"/>
      <c r="S402" s="59"/>
      <c r="T402" s="59"/>
      <c r="U402" s="59"/>
      <c r="V402" s="59"/>
      <c r="W402" s="59"/>
      <c r="X402" s="59"/>
      <c r="Y402" s="59"/>
      <c r="Z402" s="59"/>
    </row>
    <row r="403">
      <c r="A403" s="78" t="s">
        <v>2608</v>
      </c>
      <c r="B403" s="79">
        <v>9.0</v>
      </c>
      <c r="C403" s="78" t="str">
        <f>Scopus!J10</f>
        <v>Digital transformation dilemma in the era of changing dynamics: How organizational culture influence the success of digital transformation</v>
      </c>
      <c r="D403" s="78" t="str">
        <f>Scopus!F10</f>
        <v>Inconforme</v>
      </c>
      <c r="E403" s="78" t="str">
        <f t="shared" si="41"/>
        <v>Inconforme</v>
      </c>
      <c r="F403" s="79" t="str">
        <f>Scopus!A10</f>
        <v>Inconforme</v>
      </c>
      <c r="G403" s="79" t="str">
        <f t="shared" si="42"/>
        <v>Acerto</v>
      </c>
      <c r="H403" s="79" t="str">
        <f t="shared" si="43"/>
        <v>VN</v>
      </c>
      <c r="I403" s="79" t="str">
        <f>Scopus!C10</f>
        <v>Inconforme</v>
      </c>
      <c r="J403" s="79" t="str">
        <f t="shared" si="44"/>
        <v>Acerto</v>
      </c>
      <c r="K403" s="79" t="str">
        <f t="shared" si="45"/>
        <v>VN</v>
      </c>
      <c r="L403" s="59"/>
      <c r="M403" s="59"/>
      <c r="N403" s="59"/>
      <c r="O403" s="59"/>
      <c r="P403" s="59"/>
      <c r="Q403" s="59"/>
      <c r="R403" s="59"/>
      <c r="S403" s="59"/>
      <c r="T403" s="59"/>
      <c r="U403" s="59"/>
      <c r="V403" s="59"/>
      <c r="W403" s="59"/>
      <c r="X403" s="59"/>
      <c r="Y403" s="59"/>
      <c r="Z403" s="59"/>
    </row>
    <row r="404">
      <c r="A404" s="76" t="s">
        <v>2608</v>
      </c>
      <c r="B404" s="77">
        <v>10.0</v>
      </c>
      <c r="C404" s="76" t="str">
        <f>Scopus!J11</f>
        <v>A quantitative and qualitative study of the link between business process management and digital innovation</v>
      </c>
      <c r="D404" s="76" t="str">
        <f>Scopus!F11</f>
        <v>Conforme</v>
      </c>
      <c r="E404" s="76" t="str">
        <f t="shared" si="41"/>
        <v>Conforme</v>
      </c>
      <c r="F404" s="77" t="str">
        <f>Scopus!A11</f>
        <v>Conforme</v>
      </c>
      <c r="G404" s="77" t="str">
        <f t="shared" si="42"/>
        <v>Acerto</v>
      </c>
      <c r="H404" s="77" t="str">
        <f t="shared" si="43"/>
        <v>VP</v>
      </c>
      <c r="I404" s="77" t="str">
        <f>Scopus!C11</f>
        <v>Inconforme</v>
      </c>
      <c r="J404" s="77" t="str">
        <f t="shared" si="44"/>
        <v>Divergência</v>
      </c>
      <c r="K404" s="77" t="str">
        <f t="shared" si="45"/>
        <v>FN</v>
      </c>
      <c r="L404" s="59"/>
      <c r="M404" s="59"/>
      <c r="N404" s="59"/>
      <c r="O404" s="59"/>
      <c r="P404" s="59"/>
      <c r="Q404" s="59"/>
      <c r="R404" s="59"/>
      <c r="S404" s="59"/>
      <c r="T404" s="59"/>
      <c r="U404" s="59"/>
      <c r="V404" s="59"/>
      <c r="W404" s="59"/>
      <c r="X404" s="59"/>
      <c r="Y404" s="59"/>
      <c r="Z404" s="59"/>
    </row>
    <row r="405">
      <c r="A405" s="78" t="s">
        <v>2608</v>
      </c>
      <c r="B405" s="79">
        <v>11.0</v>
      </c>
      <c r="C405" s="78" t="str">
        <f>Scopus!J12</f>
        <v>Extending BPM by Treating Processes as Components of Work Systems that Produce Product/Services Valued by Their Customers</v>
      </c>
      <c r="D405" s="78" t="str">
        <f>Scopus!F12</f>
        <v>Conforme</v>
      </c>
      <c r="E405" s="78" t="str">
        <f t="shared" si="41"/>
        <v>Conforme</v>
      </c>
      <c r="F405" s="79" t="str">
        <f>Scopus!A12</f>
        <v>Conforme</v>
      </c>
      <c r="G405" s="79" t="str">
        <f t="shared" si="42"/>
        <v>Acerto</v>
      </c>
      <c r="H405" s="79" t="str">
        <f t="shared" si="43"/>
        <v>VP</v>
      </c>
      <c r="I405" s="79" t="str">
        <f>Scopus!C12</f>
        <v>Conforme</v>
      </c>
      <c r="J405" s="79" t="str">
        <f t="shared" si="44"/>
        <v>Acerto</v>
      </c>
      <c r="K405" s="79" t="str">
        <f t="shared" si="45"/>
        <v>VP</v>
      </c>
      <c r="L405" s="59"/>
      <c r="M405" s="59"/>
      <c r="N405" s="59"/>
      <c r="O405" s="59"/>
      <c r="P405" s="59"/>
      <c r="Q405" s="59"/>
      <c r="R405" s="59"/>
      <c r="S405" s="59"/>
      <c r="T405" s="59"/>
      <c r="U405" s="59"/>
      <c r="V405" s="59"/>
      <c r="W405" s="59"/>
      <c r="X405" s="59"/>
      <c r="Y405" s="59"/>
      <c r="Z405" s="59"/>
    </row>
    <row r="406">
      <c r="A406" s="76" t="s">
        <v>2608</v>
      </c>
      <c r="B406" s="77">
        <v>12.0</v>
      </c>
      <c r="C406" s="76" t="str">
        <f>Scopus!J13</f>
        <v>BPM OR CPM？A CASE STUDY OF CROSS-DEPARTMENT COMMUNICATION BUSINESS OPERATION AND HIDDEN COST RELATED TO AMBIDEXTERITY PERFORMANCE</v>
      </c>
      <c r="D406" s="76" t="str">
        <f>Scopus!F13</f>
        <v>Inconforme</v>
      </c>
      <c r="E406" s="76" t="str">
        <f t="shared" si="41"/>
        <v>Inconforme</v>
      </c>
      <c r="F406" s="77" t="str">
        <f>Scopus!A13</f>
        <v>Conforme</v>
      </c>
      <c r="G406" s="77" t="str">
        <f t="shared" si="42"/>
        <v>Divergência</v>
      </c>
      <c r="H406" s="77" t="str">
        <f t="shared" si="43"/>
        <v>FP</v>
      </c>
      <c r="I406" s="77" t="str">
        <f>Scopus!C13</f>
        <v>Inconforme</v>
      </c>
      <c r="J406" s="77" t="str">
        <f t="shared" si="44"/>
        <v>Acerto</v>
      </c>
      <c r="K406" s="77" t="str">
        <f t="shared" si="45"/>
        <v>VN</v>
      </c>
      <c r="L406" s="59"/>
      <c r="M406" s="59"/>
      <c r="N406" s="59"/>
      <c r="O406" s="59"/>
      <c r="P406" s="59"/>
      <c r="Q406" s="59"/>
      <c r="R406" s="59"/>
      <c r="S406" s="59"/>
      <c r="T406" s="59"/>
      <c r="U406" s="59"/>
      <c r="V406" s="59"/>
      <c r="W406" s="59"/>
      <c r="X406" s="59"/>
      <c r="Y406" s="59"/>
      <c r="Z406" s="59"/>
    </row>
    <row r="407">
      <c r="A407" s="78" t="s">
        <v>2608</v>
      </c>
      <c r="B407" s="79">
        <v>13.0</v>
      </c>
      <c r="C407" s="78" t="str">
        <f>Scopus!J14</f>
        <v>Improving care pathways through BPM and telemedicine: an Italian study</v>
      </c>
      <c r="D407" s="78" t="str">
        <f>Scopus!F14</f>
        <v>Inconforme -Artigos duplicados ou similares</v>
      </c>
      <c r="E407" s="78" t="str">
        <f t="shared" si="41"/>
        <v>Conforme</v>
      </c>
      <c r="F407" s="79" t="str">
        <f>Scopus!A14</f>
        <v>Conforme</v>
      </c>
      <c r="G407" s="79" t="str">
        <f t="shared" si="42"/>
        <v>Acerto</v>
      </c>
      <c r="H407" s="79" t="str">
        <f t="shared" si="43"/>
        <v>VP</v>
      </c>
      <c r="I407" s="79" t="str">
        <f>Scopus!C14</f>
        <v>Conforme</v>
      </c>
      <c r="J407" s="79" t="str">
        <f t="shared" si="44"/>
        <v>Acerto</v>
      </c>
      <c r="K407" s="79" t="str">
        <f t="shared" si="45"/>
        <v>VP</v>
      </c>
      <c r="L407" s="59"/>
      <c r="M407" s="59"/>
      <c r="N407" s="59"/>
      <c r="O407" s="59"/>
      <c r="P407" s="59"/>
      <c r="Q407" s="59"/>
      <c r="R407" s="59"/>
      <c r="S407" s="59"/>
      <c r="T407" s="59"/>
      <c r="U407" s="59"/>
      <c r="V407" s="59"/>
      <c r="W407" s="59"/>
      <c r="X407" s="59"/>
      <c r="Y407" s="59"/>
      <c r="Z407" s="59"/>
    </row>
    <row r="408">
      <c r="A408" s="76" t="s">
        <v>2608</v>
      </c>
      <c r="B408" s="77">
        <v>14.0</v>
      </c>
      <c r="C408" s="76" t="str">
        <f>Scopus!J15</f>
        <v>Review of scientific literature on BPM concept in social sciences</v>
      </c>
      <c r="D408" s="76" t="str">
        <f>Scopus!F15</f>
        <v>Inconforme</v>
      </c>
      <c r="E408" s="76" t="str">
        <f t="shared" si="41"/>
        <v>Inconforme</v>
      </c>
      <c r="F408" s="77" t="str">
        <f>Scopus!A15</f>
        <v>Inconforme</v>
      </c>
      <c r="G408" s="77" t="str">
        <f t="shared" si="42"/>
        <v>Acerto</v>
      </c>
      <c r="H408" s="77" t="str">
        <f t="shared" si="43"/>
        <v>VN</v>
      </c>
      <c r="I408" s="77" t="str">
        <f>Scopus!C15</f>
        <v>Inconforme</v>
      </c>
      <c r="J408" s="77" t="str">
        <f t="shared" si="44"/>
        <v>Acerto</v>
      </c>
      <c r="K408" s="77" t="str">
        <f t="shared" si="45"/>
        <v>VN</v>
      </c>
      <c r="L408" s="59"/>
      <c r="M408" s="59"/>
      <c r="N408" s="59"/>
      <c r="O408" s="59"/>
      <c r="P408" s="59"/>
      <c r="Q408" s="59"/>
      <c r="R408" s="59"/>
      <c r="S408" s="59"/>
      <c r="T408" s="59"/>
      <c r="U408" s="59"/>
      <c r="V408" s="59"/>
      <c r="W408" s="59"/>
      <c r="X408" s="59"/>
      <c r="Y408" s="59"/>
      <c r="Z408" s="59"/>
    </row>
    <row r="409">
      <c r="A409" s="78" t="s">
        <v>2608</v>
      </c>
      <c r="B409" s="79">
        <v>15.0</v>
      </c>
      <c r="C409" s="78" t="str">
        <f>Scopus!J16</f>
        <v>Digital technologies and sustainability as evolving business processes – an AI-driven scientific mapping perspective</v>
      </c>
      <c r="D409" s="78" t="str">
        <f>Scopus!F16</f>
        <v>Inconforme</v>
      </c>
      <c r="E409" s="78" t="str">
        <f t="shared" si="41"/>
        <v>Inconforme</v>
      </c>
      <c r="F409" s="79" t="str">
        <f>Scopus!A16</f>
        <v>Inconforme</v>
      </c>
      <c r="G409" s="79" t="str">
        <f t="shared" si="42"/>
        <v>Acerto</v>
      </c>
      <c r="H409" s="79" t="str">
        <f t="shared" si="43"/>
        <v>VN</v>
      </c>
      <c r="I409" s="79" t="str">
        <f>Scopus!C16</f>
        <v>Inconforme</v>
      </c>
      <c r="J409" s="79" t="str">
        <f t="shared" si="44"/>
        <v>Acerto</v>
      </c>
      <c r="K409" s="79" t="str">
        <f t="shared" si="45"/>
        <v>VN</v>
      </c>
      <c r="L409" s="59"/>
      <c r="M409" s="59"/>
      <c r="N409" s="59"/>
      <c r="O409" s="59"/>
      <c r="P409" s="59"/>
      <c r="Q409" s="59"/>
      <c r="R409" s="59"/>
      <c r="S409" s="59"/>
      <c r="T409" s="59"/>
      <c r="U409" s="59"/>
      <c r="V409" s="59"/>
      <c r="W409" s="59"/>
      <c r="X409" s="59"/>
      <c r="Y409" s="59"/>
      <c r="Z409" s="59"/>
    </row>
    <row r="410">
      <c r="A410" s="76" t="s">
        <v>2608</v>
      </c>
      <c r="B410" s="77">
        <v>16.0</v>
      </c>
      <c r="C410" s="76" t="str">
        <f>Scopus!J17</f>
        <v>Robotic Process Automation: Exploring the Technological and Organizational Dimensions for Successful Implementation in Organizations</v>
      </c>
      <c r="D410" s="76" t="str">
        <f>Scopus!F17</f>
        <v>Inconforme</v>
      </c>
      <c r="E410" s="76" t="str">
        <f t="shared" si="41"/>
        <v>Inconforme</v>
      </c>
      <c r="F410" s="77" t="str">
        <f>Scopus!A17</f>
        <v>Inconforme</v>
      </c>
      <c r="G410" s="77" t="str">
        <f t="shared" si="42"/>
        <v>Acerto</v>
      </c>
      <c r="H410" s="77" t="str">
        <f t="shared" si="43"/>
        <v>VN</v>
      </c>
      <c r="I410" s="77" t="str">
        <f>Scopus!C17</f>
        <v>Inconforme</v>
      </c>
      <c r="J410" s="77" t="str">
        <f t="shared" si="44"/>
        <v>Acerto</v>
      </c>
      <c r="K410" s="77" t="str">
        <f t="shared" si="45"/>
        <v>VN</v>
      </c>
      <c r="L410" s="59"/>
      <c r="M410" s="59"/>
      <c r="N410" s="59"/>
      <c r="O410" s="59"/>
      <c r="P410" s="59"/>
      <c r="Q410" s="59"/>
      <c r="R410" s="59"/>
      <c r="S410" s="59"/>
      <c r="T410" s="59"/>
      <c r="U410" s="59"/>
      <c r="V410" s="59"/>
      <c r="W410" s="59"/>
      <c r="X410" s="59"/>
      <c r="Y410" s="59"/>
      <c r="Z410" s="59"/>
    </row>
    <row r="411">
      <c r="A411" s="78" t="s">
        <v>2608</v>
      </c>
      <c r="B411" s="79">
        <v>17.0</v>
      </c>
      <c r="C411" s="78" t="str">
        <f>Scopus!J18</f>
        <v>BUSINESS PROCESS MATURITY MODEL FOR DIGITAL TRANSFORMATION: AN ACTION DESIGN RESEARCH STUDY ON THE INTEGRATION OF INFORMATION TECHNOLOGY</v>
      </c>
      <c r="D411" s="78" t="str">
        <f>Scopus!F18</f>
        <v>Conforme</v>
      </c>
      <c r="E411" s="78" t="str">
        <f t="shared" si="41"/>
        <v>Conforme</v>
      </c>
      <c r="F411" s="79" t="str">
        <f>Scopus!A18</f>
        <v>Conforme</v>
      </c>
      <c r="G411" s="79" t="str">
        <f t="shared" si="42"/>
        <v>Acerto</v>
      </c>
      <c r="H411" s="79" t="str">
        <f t="shared" si="43"/>
        <v>VP</v>
      </c>
      <c r="I411" s="79" t="str">
        <f>Scopus!C18</f>
        <v>Conforme</v>
      </c>
      <c r="J411" s="79" t="str">
        <f t="shared" si="44"/>
        <v>Acerto</v>
      </c>
      <c r="K411" s="79" t="str">
        <f t="shared" si="45"/>
        <v>VP</v>
      </c>
      <c r="L411" s="59"/>
      <c r="M411" s="59"/>
      <c r="N411" s="59"/>
      <c r="O411" s="59"/>
      <c r="P411" s="59"/>
      <c r="Q411" s="59"/>
      <c r="R411" s="59"/>
      <c r="S411" s="59"/>
      <c r="T411" s="59"/>
      <c r="U411" s="59"/>
      <c r="V411" s="59"/>
      <c r="W411" s="59"/>
      <c r="X411" s="59"/>
      <c r="Y411" s="59"/>
      <c r="Z411" s="59"/>
    </row>
    <row r="412">
      <c r="A412" s="76" t="s">
        <v>2608</v>
      </c>
      <c r="B412" s="77">
        <v>18.0</v>
      </c>
      <c r="C412" s="76" t="str">
        <f>Scopus!J19</f>
        <v>Analysis and evaluation of business process management tools and techniques in the Industry 4.0</v>
      </c>
      <c r="D412" s="76" t="str">
        <f>Scopus!F19</f>
        <v>Conforme</v>
      </c>
      <c r="E412" s="76" t="str">
        <f t="shared" si="41"/>
        <v>Conforme</v>
      </c>
      <c r="F412" s="77" t="str">
        <f>Scopus!A19</f>
        <v>Inconforme</v>
      </c>
      <c r="G412" s="77" t="str">
        <f t="shared" si="42"/>
        <v>Divergência</v>
      </c>
      <c r="H412" s="77" t="str">
        <f t="shared" si="43"/>
        <v>FN</v>
      </c>
      <c r="I412" s="77" t="str">
        <f>Scopus!C19</f>
        <v>Conforme</v>
      </c>
      <c r="J412" s="77" t="str">
        <f t="shared" si="44"/>
        <v>Acerto</v>
      </c>
      <c r="K412" s="77" t="str">
        <f t="shared" si="45"/>
        <v>VP</v>
      </c>
      <c r="L412" s="59"/>
      <c r="M412" s="59"/>
      <c r="N412" s="59"/>
      <c r="O412" s="59"/>
      <c r="P412" s="59"/>
      <c r="Q412" s="59"/>
      <c r="R412" s="59"/>
      <c r="S412" s="59"/>
      <c r="T412" s="59"/>
      <c r="U412" s="59"/>
      <c r="V412" s="59"/>
      <c r="W412" s="59"/>
      <c r="X412" s="59"/>
      <c r="Y412" s="59"/>
      <c r="Z412" s="59"/>
    </row>
    <row r="413">
      <c r="A413" s="78" t="s">
        <v>2608</v>
      </c>
      <c r="B413" s="79">
        <v>19.0</v>
      </c>
      <c r="C413" s="78" t="str">
        <f>Scopus!J20</f>
        <v>Digital Twin for Automated Industrial Optimization: Intelligent Machine Selection via Process Modelling</v>
      </c>
      <c r="D413" s="78" t="str">
        <f>Scopus!F20</f>
        <v>Inconforme</v>
      </c>
      <c r="E413" s="78" t="str">
        <f t="shared" si="41"/>
        <v>Inconforme</v>
      </c>
      <c r="F413" s="79" t="str">
        <f>Scopus!A20</f>
        <v>Inconforme</v>
      </c>
      <c r="G413" s="79" t="str">
        <f t="shared" si="42"/>
        <v>Acerto</v>
      </c>
      <c r="H413" s="79" t="str">
        <f t="shared" si="43"/>
        <v>VN</v>
      </c>
      <c r="I413" s="79" t="str">
        <f>Scopus!C20</f>
        <v>Inconforme</v>
      </c>
      <c r="J413" s="79" t="str">
        <f t="shared" si="44"/>
        <v>Acerto</v>
      </c>
      <c r="K413" s="79" t="str">
        <f t="shared" si="45"/>
        <v>VN</v>
      </c>
      <c r="L413" s="59"/>
      <c r="M413" s="59"/>
      <c r="N413" s="59"/>
      <c r="O413" s="59"/>
      <c r="P413" s="59"/>
      <c r="Q413" s="59"/>
      <c r="R413" s="59"/>
      <c r="S413" s="59"/>
      <c r="T413" s="59"/>
      <c r="U413" s="59"/>
      <c r="V413" s="59"/>
      <c r="W413" s="59"/>
      <c r="X413" s="59"/>
      <c r="Y413" s="59"/>
      <c r="Z413" s="59"/>
    </row>
    <row r="414">
      <c r="A414" s="76" t="s">
        <v>2608</v>
      </c>
      <c r="B414" s="77">
        <v>20.0</v>
      </c>
      <c r="C414" s="76" t="str">
        <f>Scopus!J21</f>
        <v>Success factors of process digitalization projects – insights from an exploratory study</v>
      </c>
      <c r="D414" s="76" t="str">
        <f>Scopus!F21</f>
        <v>Inconforme</v>
      </c>
      <c r="E414" s="76" t="str">
        <f t="shared" si="41"/>
        <v>Inconforme</v>
      </c>
      <c r="F414" s="77" t="str">
        <f>Scopus!A21</f>
        <v>Inconforme</v>
      </c>
      <c r="G414" s="77" t="str">
        <f t="shared" si="42"/>
        <v>Acerto</v>
      </c>
      <c r="H414" s="77" t="str">
        <f t="shared" si="43"/>
        <v>VN</v>
      </c>
      <c r="I414" s="77" t="str">
        <f>Scopus!C21</f>
        <v>Inconforme</v>
      </c>
      <c r="J414" s="77" t="str">
        <f t="shared" si="44"/>
        <v>Acerto</v>
      </c>
      <c r="K414" s="77" t="str">
        <f t="shared" si="45"/>
        <v>VN</v>
      </c>
      <c r="L414" s="59"/>
      <c r="M414" s="59"/>
      <c r="N414" s="59"/>
      <c r="O414" s="59"/>
      <c r="P414" s="59"/>
      <c r="Q414" s="59"/>
      <c r="R414" s="59"/>
      <c r="S414" s="59"/>
      <c r="T414" s="59"/>
      <c r="U414" s="59"/>
      <c r="V414" s="59"/>
      <c r="W414" s="59"/>
      <c r="X414" s="59"/>
      <c r="Y414" s="59"/>
      <c r="Z414" s="59"/>
    </row>
    <row r="415">
      <c r="A415" s="78" t="s">
        <v>2608</v>
      </c>
      <c r="B415" s="79">
        <v>21.0</v>
      </c>
      <c r="C415" s="78" t="str">
        <f>Scopus!J22</f>
        <v>THE LINK BETWEEN THE BUSINESS PROCESS MANAGEMENT CAPABILITIES AND THE BENEFITS CREATED BY ROBOTIC PROCESS AUTOMATION IN AN ORGANISATION; [RYŠYS TARP VERSLO PROCESŲ VALDYMO GALIMYBIŲ IR ROBOTIZUOTO PROCESŲ AUTOMATIZAVIMO ORGANIZACIJOJE TEIKIAMOS NAUDOS]</v>
      </c>
      <c r="D415" s="78" t="str">
        <f>Scopus!F22</f>
        <v>Inconforme</v>
      </c>
      <c r="E415" s="78" t="str">
        <f t="shared" si="41"/>
        <v>Inconforme</v>
      </c>
      <c r="F415" s="79" t="str">
        <f>Scopus!A22</f>
        <v>Inconforme</v>
      </c>
      <c r="G415" s="79" t="str">
        <f t="shared" si="42"/>
        <v>Acerto</v>
      </c>
      <c r="H415" s="79" t="str">
        <f t="shared" si="43"/>
        <v>VN</v>
      </c>
      <c r="I415" s="79" t="str">
        <f>Scopus!C22</f>
        <v>Inconforme</v>
      </c>
      <c r="J415" s="79" t="str">
        <f t="shared" si="44"/>
        <v>Acerto</v>
      </c>
      <c r="K415" s="79" t="str">
        <f t="shared" si="45"/>
        <v>VN</v>
      </c>
      <c r="L415" s="59"/>
      <c r="M415" s="59"/>
      <c r="N415" s="59"/>
      <c r="O415" s="59"/>
      <c r="P415" s="59"/>
      <c r="Q415" s="59"/>
      <c r="R415" s="59"/>
      <c r="S415" s="59"/>
      <c r="T415" s="59"/>
      <c r="U415" s="59"/>
      <c r="V415" s="59"/>
      <c r="W415" s="59"/>
      <c r="X415" s="59"/>
      <c r="Y415" s="59"/>
      <c r="Z415" s="59"/>
    </row>
    <row r="416">
      <c r="A416" s="76" t="s">
        <v>2608</v>
      </c>
      <c r="B416" s="77">
        <v>22.0</v>
      </c>
      <c r="C416" s="76" t="str">
        <f>Scopus!J23</f>
        <v>Unlocking the potential of digital innovations on BPM: a bibliometric and systematic literature review</v>
      </c>
      <c r="D416" s="76" t="str">
        <f>Scopus!F23</f>
        <v>Inconforme</v>
      </c>
      <c r="E416" s="76" t="str">
        <f t="shared" si="41"/>
        <v>Inconforme</v>
      </c>
      <c r="F416" s="77" t="str">
        <f>Scopus!A23</f>
        <v>Inconforme</v>
      </c>
      <c r="G416" s="77" t="str">
        <f t="shared" si="42"/>
        <v>Acerto</v>
      </c>
      <c r="H416" s="77" t="str">
        <f t="shared" si="43"/>
        <v>VN</v>
      </c>
      <c r="I416" s="77" t="str">
        <f>Scopus!C23</f>
        <v>Inconforme</v>
      </c>
      <c r="J416" s="77" t="str">
        <f t="shared" si="44"/>
        <v>Acerto</v>
      </c>
      <c r="K416" s="77" t="str">
        <f t="shared" si="45"/>
        <v>VN</v>
      </c>
      <c r="L416" s="59"/>
      <c r="M416" s="59"/>
      <c r="N416" s="59"/>
      <c r="O416" s="59"/>
      <c r="P416" s="59"/>
      <c r="Q416" s="59"/>
      <c r="R416" s="59"/>
      <c r="S416" s="59"/>
      <c r="T416" s="59"/>
      <c r="U416" s="59"/>
      <c r="V416" s="59"/>
      <c r="W416" s="59"/>
      <c r="X416" s="59"/>
      <c r="Y416" s="59"/>
      <c r="Z416" s="59"/>
    </row>
    <row r="417">
      <c r="A417" s="78" t="s">
        <v>2608</v>
      </c>
      <c r="B417" s="79">
        <v>23.0</v>
      </c>
      <c r="C417" s="78" t="str">
        <f>Scopus!J24</f>
        <v>Unlocking the promise of process mining: shaping perceptions and impact in the public sector</v>
      </c>
      <c r="D417" s="78" t="str">
        <f>Scopus!F24</f>
        <v>Inconforme</v>
      </c>
      <c r="E417" s="78" t="str">
        <f t="shared" si="41"/>
        <v>Inconforme</v>
      </c>
      <c r="F417" s="79" t="str">
        <f>Scopus!A24</f>
        <v>Inconforme</v>
      </c>
      <c r="G417" s="79" t="str">
        <f t="shared" si="42"/>
        <v>Acerto</v>
      </c>
      <c r="H417" s="79" t="str">
        <f t="shared" si="43"/>
        <v>VN</v>
      </c>
      <c r="I417" s="79" t="str">
        <f>Scopus!C24</f>
        <v>Inconforme</v>
      </c>
      <c r="J417" s="79" t="str">
        <f t="shared" si="44"/>
        <v>Acerto</v>
      </c>
      <c r="K417" s="79" t="str">
        <f t="shared" si="45"/>
        <v>VN</v>
      </c>
      <c r="L417" s="59"/>
      <c r="M417" s="59"/>
      <c r="N417" s="59"/>
      <c r="O417" s="59"/>
      <c r="P417" s="59"/>
      <c r="Q417" s="59"/>
      <c r="R417" s="59"/>
      <c r="S417" s="59"/>
      <c r="T417" s="59"/>
      <c r="U417" s="59"/>
      <c r="V417" s="59"/>
      <c r="W417" s="59"/>
      <c r="X417" s="59"/>
      <c r="Y417" s="59"/>
      <c r="Z417" s="59"/>
    </row>
    <row r="418">
      <c r="A418" s="76" t="s">
        <v>2608</v>
      </c>
      <c r="B418" s="77">
        <v>24.0</v>
      </c>
      <c r="C418" s="76" t="str">
        <f>Scopus!J25</f>
        <v>Business process management as a continuous enabler for digital innovation – insights from top executives</v>
      </c>
      <c r="D418" s="76" t="str">
        <f>Scopus!F25</f>
        <v>Inconforme -Artigos duplicados ou similares</v>
      </c>
      <c r="E418" s="76" t="str">
        <f t="shared" si="41"/>
        <v>Conforme</v>
      </c>
      <c r="F418" s="77" t="str">
        <f>Scopus!A25</f>
        <v>Conforme</v>
      </c>
      <c r="G418" s="77" t="str">
        <f t="shared" si="42"/>
        <v>Acerto</v>
      </c>
      <c r="H418" s="77" t="str">
        <f t="shared" si="43"/>
        <v>VP</v>
      </c>
      <c r="I418" s="77" t="str">
        <f>Scopus!C25</f>
        <v>Conforme</v>
      </c>
      <c r="J418" s="77" t="str">
        <f t="shared" si="44"/>
        <v>Acerto</v>
      </c>
      <c r="K418" s="77" t="str">
        <f t="shared" si="45"/>
        <v>VP</v>
      </c>
      <c r="L418" s="59"/>
      <c r="M418" s="59"/>
      <c r="N418" s="59"/>
      <c r="O418" s="59"/>
      <c r="P418" s="59"/>
      <c r="Q418" s="59"/>
      <c r="R418" s="59"/>
      <c r="S418" s="59"/>
      <c r="T418" s="59"/>
      <c r="U418" s="59"/>
      <c r="V418" s="59"/>
      <c r="W418" s="59"/>
      <c r="X418" s="59"/>
      <c r="Y418" s="59"/>
      <c r="Z418" s="59"/>
    </row>
    <row r="419">
      <c r="A419" s="78" t="s">
        <v>2608</v>
      </c>
      <c r="B419" s="79">
        <v>25.0</v>
      </c>
      <c r="C419" s="78" t="str">
        <f>Scopus!J26</f>
        <v>Methods of Digital Transformation of Management Systems</v>
      </c>
      <c r="D419" s="78" t="str">
        <f>Scopus!F26</f>
        <v>Inconforme</v>
      </c>
      <c r="E419" s="78" t="str">
        <f t="shared" si="41"/>
        <v>Inconforme</v>
      </c>
      <c r="F419" s="79" t="str">
        <f>Scopus!A26</f>
        <v>Conforme</v>
      </c>
      <c r="G419" s="79" t="str">
        <f t="shared" si="42"/>
        <v>Divergência</v>
      </c>
      <c r="H419" s="79" t="str">
        <f t="shared" si="43"/>
        <v>FP</v>
      </c>
      <c r="I419" s="79" t="str">
        <f>Scopus!C26</f>
        <v>Conforme</v>
      </c>
      <c r="J419" s="79" t="str">
        <f t="shared" si="44"/>
        <v>Divergência</v>
      </c>
      <c r="K419" s="79" t="str">
        <f t="shared" si="45"/>
        <v>FP</v>
      </c>
      <c r="L419" s="59"/>
      <c r="M419" s="59"/>
      <c r="N419" s="59"/>
      <c r="O419" s="59"/>
      <c r="P419" s="59"/>
      <c r="Q419" s="59"/>
      <c r="R419" s="59"/>
      <c r="S419" s="59"/>
      <c r="T419" s="59"/>
      <c r="U419" s="59"/>
      <c r="V419" s="59"/>
      <c r="W419" s="59"/>
      <c r="X419" s="59"/>
      <c r="Y419" s="59"/>
      <c r="Z419" s="59"/>
    </row>
    <row r="420">
      <c r="A420" s="76" t="s">
        <v>2608</v>
      </c>
      <c r="B420" s="77">
        <v>26.0</v>
      </c>
      <c r="C420" s="76" t="str">
        <f>Scopus!J27</f>
        <v>Digitalization of administrative process in the german healthcare system with the focus on dental practices</v>
      </c>
      <c r="D420" s="76" t="str">
        <f>Scopus!F27</f>
        <v>Inconforme</v>
      </c>
      <c r="E420" s="76" t="str">
        <f t="shared" si="41"/>
        <v>Inconforme</v>
      </c>
      <c r="F420" s="77" t="str">
        <f>Scopus!A27</f>
        <v>Inconforme</v>
      </c>
      <c r="G420" s="77" t="str">
        <f t="shared" si="42"/>
        <v>Acerto</v>
      </c>
      <c r="H420" s="77" t="str">
        <f t="shared" si="43"/>
        <v>VN</v>
      </c>
      <c r="I420" s="77" t="str">
        <f>Scopus!C27</f>
        <v>Inconforme</v>
      </c>
      <c r="J420" s="77" t="str">
        <f t="shared" si="44"/>
        <v>Acerto</v>
      </c>
      <c r="K420" s="77" t="str">
        <f t="shared" si="45"/>
        <v>VN</v>
      </c>
      <c r="L420" s="59"/>
      <c r="M420" s="59"/>
      <c r="N420" s="59"/>
      <c r="O420" s="59"/>
      <c r="P420" s="59"/>
      <c r="Q420" s="59"/>
      <c r="R420" s="59"/>
      <c r="S420" s="59"/>
      <c r="T420" s="59"/>
      <c r="U420" s="59"/>
      <c r="V420" s="59"/>
      <c r="W420" s="59"/>
      <c r="X420" s="59"/>
      <c r="Y420" s="59"/>
      <c r="Z420" s="59"/>
    </row>
    <row r="421">
      <c r="A421" s="78" t="s">
        <v>2608</v>
      </c>
      <c r="B421" s="79">
        <v>27.0</v>
      </c>
      <c r="C421" s="78" t="str">
        <f>Scopus!J28</f>
        <v>BPMN Assistant: An LLM-Based Approach to Business Process Modeling</v>
      </c>
      <c r="D421" s="78" t="str">
        <f>Scopus!F28</f>
        <v>Conforme</v>
      </c>
      <c r="E421" s="78" t="str">
        <f t="shared" si="41"/>
        <v>Conforme</v>
      </c>
      <c r="F421" s="79" t="str">
        <f>Scopus!A28</f>
        <v>Conforme</v>
      </c>
      <c r="G421" s="79" t="str">
        <f t="shared" si="42"/>
        <v>Acerto</v>
      </c>
      <c r="H421" s="79" t="str">
        <f t="shared" si="43"/>
        <v>VP</v>
      </c>
      <c r="I421" s="79" t="str">
        <f>Scopus!C28</f>
        <v>Conforme</v>
      </c>
      <c r="J421" s="79" t="str">
        <f t="shared" si="44"/>
        <v>Acerto</v>
      </c>
      <c r="K421" s="79" t="str">
        <f t="shared" si="45"/>
        <v>VP</v>
      </c>
      <c r="L421" s="59"/>
      <c r="M421" s="59"/>
      <c r="N421" s="59"/>
      <c r="O421" s="59"/>
      <c r="P421" s="59"/>
      <c r="Q421" s="59"/>
      <c r="R421" s="59"/>
      <c r="S421" s="59"/>
      <c r="T421" s="59"/>
      <c r="U421" s="59"/>
      <c r="V421" s="59"/>
      <c r="W421" s="59"/>
      <c r="X421" s="59"/>
      <c r="Y421" s="59"/>
      <c r="Z421" s="59"/>
    </row>
    <row r="422">
      <c r="A422" s="76" t="s">
        <v>2608</v>
      </c>
      <c r="B422" s="77">
        <v>28.0</v>
      </c>
      <c r="C422" s="76" t="str">
        <f>Scopus!J29</f>
        <v>Environmental Management Accounting—Determinants, Factors, and Relationship with Business Process Management</v>
      </c>
      <c r="D422" s="76" t="str">
        <f>Scopus!F29</f>
        <v>Inconforme</v>
      </c>
      <c r="E422" s="76" t="str">
        <f t="shared" si="41"/>
        <v>Inconforme</v>
      </c>
      <c r="F422" s="77" t="str">
        <f>Scopus!A29</f>
        <v>Inconforme</v>
      </c>
      <c r="G422" s="77" t="str">
        <f t="shared" si="42"/>
        <v>Acerto</v>
      </c>
      <c r="H422" s="77" t="str">
        <f t="shared" si="43"/>
        <v>VN</v>
      </c>
      <c r="I422" s="77" t="str">
        <f>Scopus!C29</f>
        <v>Inconforme</v>
      </c>
      <c r="J422" s="77" t="str">
        <f t="shared" si="44"/>
        <v>Acerto</v>
      </c>
      <c r="K422" s="77" t="str">
        <f t="shared" si="45"/>
        <v>VN</v>
      </c>
      <c r="L422" s="59"/>
      <c r="M422" s="59"/>
      <c r="N422" s="59"/>
      <c r="O422" s="59"/>
      <c r="P422" s="59"/>
      <c r="Q422" s="59"/>
      <c r="R422" s="59"/>
      <c r="S422" s="59"/>
      <c r="T422" s="59"/>
      <c r="U422" s="59"/>
      <c r="V422" s="59"/>
      <c r="W422" s="59"/>
      <c r="X422" s="59"/>
      <c r="Y422" s="59"/>
      <c r="Z422" s="59"/>
    </row>
    <row r="423">
      <c r="A423" s="78" t="s">
        <v>2608</v>
      </c>
      <c r="B423" s="79">
        <v>29.0</v>
      </c>
      <c r="C423" s="78" t="str">
        <f>Scopus!J30</f>
        <v>The iBPM Lifecycle: Integrating Low-Code and Hyperautomation Into Business Process Management</v>
      </c>
      <c r="D423" s="78" t="str">
        <f>Scopus!F30</f>
        <v>Inconforme -Artigos duplicados ou similares</v>
      </c>
      <c r="E423" s="78" t="str">
        <f t="shared" si="41"/>
        <v>Conforme</v>
      </c>
      <c r="F423" s="79" t="str">
        <f>Scopus!A30</f>
        <v>Conforme</v>
      </c>
      <c r="G423" s="79" t="str">
        <f t="shared" si="42"/>
        <v>Acerto</v>
      </c>
      <c r="H423" s="79" t="str">
        <f t="shared" si="43"/>
        <v>VP</v>
      </c>
      <c r="I423" s="79" t="str">
        <f>Scopus!C30</f>
        <v>Conforme</v>
      </c>
      <c r="J423" s="79" t="str">
        <f t="shared" si="44"/>
        <v>Acerto</v>
      </c>
      <c r="K423" s="79" t="str">
        <f t="shared" si="45"/>
        <v>VP</v>
      </c>
      <c r="L423" s="59"/>
      <c r="M423" s="59"/>
      <c r="N423" s="59"/>
      <c r="O423" s="59"/>
      <c r="P423" s="59"/>
      <c r="Q423" s="59"/>
      <c r="R423" s="59"/>
      <c r="S423" s="59"/>
      <c r="T423" s="59"/>
      <c r="U423" s="59"/>
      <c r="V423" s="59"/>
      <c r="W423" s="59"/>
      <c r="X423" s="59"/>
      <c r="Y423" s="59"/>
      <c r="Z423" s="59"/>
    </row>
    <row r="424">
      <c r="A424" s="76" t="s">
        <v>2608</v>
      </c>
      <c r="B424" s="77">
        <v>30.0</v>
      </c>
      <c r="C424" s="76" t="str">
        <f>Scopus!J31</f>
        <v>Digitalization and Business Automation for an Effective Supply Chain Integration: A literature review</v>
      </c>
      <c r="D424" s="76" t="str">
        <f>Scopus!F31</f>
        <v>Inconforme</v>
      </c>
      <c r="E424" s="76" t="str">
        <f t="shared" si="41"/>
        <v>Inconforme</v>
      </c>
      <c r="F424" s="77" t="str">
        <f>Scopus!A31</f>
        <v>Inconforme</v>
      </c>
      <c r="G424" s="77" t="str">
        <f t="shared" si="42"/>
        <v>Acerto</v>
      </c>
      <c r="H424" s="77" t="str">
        <f t="shared" si="43"/>
        <v>VN</v>
      </c>
      <c r="I424" s="77" t="str">
        <f>Scopus!C31</f>
        <v>Inconforme</v>
      </c>
      <c r="J424" s="77" t="str">
        <f t="shared" si="44"/>
        <v>Acerto</v>
      </c>
      <c r="K424" s="77" t="str">
        <f t="shared" si="45"/>
        <v>VN</v>
      </c>
      <c r="L424" s="59"/>
      <c r="M424" s="59"/>
      <c r="N424" s="59"/>
      <c r="O424" s="59"/>
      <c r="P424" s="59"/>
      <c r="Q424" s="59"/>
      <c r="R424" s="59"/>
      <c r="S424" s="59"/>
      <c r="T424" s="59"/>
      <c r="U424" s="59"/>
      <c r="V424" s="59"/>
      <c r="W424" s="59"/>
      <c r="X424" s="59"/>
      <c r="Y424" s="59"/>
      <c r="Z424" s="59"/>
    </row>
    <row r="425">
      <c r="A425" s="78" t="s">
        <v>2608</v>
      </c>
      <c r="B425" s="79">
        <v>31.0</v>
      </c>
      <c r="C425" s="78" t="str">
        <f>Scopus!J32</f>
        <v>Digital twincity: A holistic approach towards comparative analysis of business processes</v>
      </c>
      <c r="D425" s="78" t="str">
        <f>Scopus!F32</f>
        <v>Inconforme</v>
      </c>
      <c r="E425" s="78" t="str">
        <f t="shared" si="41"/>
        <v>Inconforme</v>
      </c>
      <c r="F425" s="79" t="str">
        <f>Scopus!A32</f>
        <v>Inconforme</v>
      </c>
      <c r="G425" s="79" t="str">
        <f t="shared" si="42"/>
        <v>Acerto</v>
      </c>
      <c r="H425" s="79" t="str">
        <f t="shared" si="43"/>
        <v>VN</v>
      </c>
      <c r="I425" s="79" t="str">
        <f>Scopus!C32</f>
        <v>Inconforme</v>
      </c>
      <c r="J425" s="79" t="str">
        <f t="shared" si="44"/>
        <v>Acerto</v>
      </c>
      <c r="K425" s="79" t="str">
        <f t="shared" si="45"/>
        <v>VN</v>
      </c>
      <c r="L425" s="59"/>
      <c r="M425" s="59"/>
      <c r="N425" s="59"/>
      <c r="O425" s="59"/>
      <c r="P425" s="59"/>
      <c r="Q425" s="59"/>
      <c r="R425" s="59"/>
      <c r="S425" s="59"/>
      <c r="T425" s="59"/>
      <c r="U425" s="59"/>
      <c r="V425" s="59"/>
      <c r="W425" s="59"/>
      <c r="X425" s="59"/>
      <c r="Y425" s="59"/>
      <c r="Z425" s="59"/>
    </row>
    <row r="426">
      <c r="A426" s="76" t="s">
        <v>2608</v>
      </c>
      <c r="B426" s="77">
        <v>32.0</v>
      </c>
      <c r="C426" s="76" t="str">
        <f>Scopus!J33</f>
        <v>A knowledge-intensive adaptive business process management framework</v>
      </c>
      <c r="D426" s="76" t="str">
        <f>Scopus!F33</f>
        <v>Inconforme -Artigos duplicados ou similares</v>
      </c>
      <c r="E426" s="76" t="str">
        <f t="shared" si="41"/>
        <v>Conforme</v>
      </c>
      <c r="F426" s="77" t="str">
        <f>Scopus!A33</f>
        <v>Conforme</v>
      </c>
      <c r="G426" s="77" t="str">
        <f t="shared" si="42"/>
        <v>Acerto</v>
      </c>
      <c r="H426" s="77" t="str">
        <f t="shared" si="43"/>
        <v>VP</v>
      </c>
      <c r="I426" s="77" t="str">
        <f>Scopus!C33</f>
        <v>Conforme</v>
      </c>
      <c r="J426" s="77" t="str">
        <f t="shared" si="44"/>
        <v>Acerto</v>
      </c>
      <c r="K426" s="77" t="str">
        <f t="shared" si="45"/>
        <v>VP</v>
      </c>
      <c r="L426" s="59"/>
      <c r="M426" s="59"/>
      <c r="N426" s="59"/>
      <c r="O426" s="59"/>
      <c r="P426" s="59"/>
      <c r="Q426" s="59"/>
      <c r="R426" s="59"/>
      <c r="S426" s="59"/>
      <c r="T426" s="59"/>
      <c r="U426" s="59"/>
      <c r="V426" s="59"/>
      <c r="W426" s="59"/>
      <c r="X426" s="59"/>
      <c r="Y426" s="59"/>
      <c r="Z426" s="59"/>
    </row>
    <row r="427">
      <c r="A427" s="78" t="s">
        <v>2608</v>
      </c>
      <c r="B427" s="79">
        <v>33.0</v>
      </c>
      <c r="C427" s="78" t="str">
        <f>Scopus!J34</f>
        <v>Workplace performance measurement: digitalization of work observation and analysis</v>
      </c>
      <c r="D427" s="78" t="str">
        <f>Scopus!F34</f>
        <v>Inconforme</v>
      </c>
      <c r="E427" s="78" t="str">
        <f t="shared" si="41"/>
        <v>Inconforme</v>
      </c>
      <c r="F427" s="79" t="str">
        <f>Scopus!A34</f>
        <v>Inconforme</v>
      </c>
      <c r="G427" s="79" t="str">
        <f t="shared" si="42"/>
        <v>Acerto</v>
      </c>
      <c r="H427" s="79" t="str">
        <f t="shared" si="43"/>
        <v>VN</v>
      </c>
      <c r="I427" s="79" t="str">
        <f>Scopus!C34</f>
        <v>Inconforme</v>
      </c>
      <c r="J427" s="79" t="str">
        <f t="shared" si="44"/>
        <v>Acerto</v>
      </c>
      <c r="K427" s="79" t="str">
        <f t="shared" si="45"/>
        <v>VN</v>
      </c>
      <c r="L427" s="59"/>
      <c r="M427" s="59"/>
      <c r="N427" s="59"/>
      <c r="O427" s="59"/>
      <c r="P427" s="59"/>
      <c r="Q427" s="59"/>
      <c r="R427" s="59"/>
      <c r="S427" s="59"/>
      <c r="T427" s="59"/>
      <c r="U427" s="59"/>
      <c r="V427" s="59"/>
      <c r="W427" s="59"/>
      <c r="X427" s="59"/>
      <c r="Y427" s="59"/>
      <c r="Z427" s="59"/>
    </row>
    <row r="428">
      <c r="A428" s="76" t="s">
        <v>2608</v>
      </c>
      <c r="B428" s="77">
        <v>34.0</v>
      </c>
      <c r="C428" s="76" t="str">
        <f>Scopus!J35</f>
        <v>Graph-based managing and mining of processes and data in the domain of intellectual property</v>
      </c>
      <c r="D428" s="76" t="str">
        <f>Scopus!F35</f>
        <v>Conforme</v>
      </c>
      <c r="E428" s="76" t="str">
        <f t="shared" si="41"/>
        <v>Conforme</v>
      </c>
      <c r="F428" s="77" t="str">
        <f>Scopus!A35</f>
        <v>Inconforme</v>
      </c>
      <c r="G428" s="77" t="str">
        <f t="shared" si="42"/>
        <v>Divergência</v>
      </c>
      <c r="H428" s="77" t="str">
        <f t="shared" si="43"/>
        <v>FN</v>
      </c>
      <c r="I428" s="77" t="str">
        <f>Scopus!C35</f>
        <v>Inconforme</v>
      </c>
      <c r="J428" s="77" t="str">
        <f t="shared" si="44"/>
        <v>Divergência</v>
      </c>
      <c r="K428" s="77" t="str">
        <f t="shared" si="45"/>
        <v>FN</v>
      </c>
      <c r="L428" s="59"/>
      <c r="M428" s="59"/>
      <c r="N428" s="59"/>
      <c r="O428" s="59"/>
      <c r="P428" s="59"/>
      <c r="Q428" s="59"/>
      <c r="R428" s="59"/>
      <c r="S428" s="59"/>
      <c r="T428" s="59"/>
      <c r="U428" s="59"/>
      <c r="V428" s="59"/>
      <c r="W428" s="59"/>
      <c r="X428" s="59"/>
      <c r="Y428" s="59"/>
      <c r="Z428" s="59"/>
    </row>
    <row r="429">
      <c r="A429" s="78" t="s">
        <v>2608</v>
      </c>
      <c r="B429" s="79">
        <v>35.0</v>
      </c>
      <c r="C429" s="78" t="str">
        <f>Scopus!J36</f>
        <v>Rediscovering the Forgotten Field of Industrial Applications in Information Systems Research: A Literature Review of Industry 4.0</v>
      </c>
      <c r="D429" s="78" t="str">
        <f>Scopus!F36</f>
        <v>Inconforme</v>
      </c>
      <c r="E429" s="78" t="str">
        <f t="shared" si="41"/>
        <v>Inconforme</v>
      </c>
      <c r="F429" s="79" t="str">
        <f>Scopus!A36</f>
        <v>Inconforme</v>
      </c>
      <c r="G429" s="79" t="str">
        <f t="shared" si="42"/>
        <v>Acerto</v>
      </c>
      <c r="H429" s="79" t="str">
        <f t="shared" si="43"/>
        <v>VN</v>
      </c>
      <c r="I429" s="79" t="str">
        <f>Scopus!C36</f>
        <v>Inconforme</v>
      </c>
      <c r="J429" s="79" t="str">
        <f t="shared" si="44"/>
        <v>Acerto</v>
      </c>
      <c r="K429" s="79" t="str">
        <f t="shared" si="45"/>
        <v>VN</v>
      </c>
      <c r="L429" s="59"/>
      <c r="M429" s="59"/>
      <c r="N429" s="59"/>
      <c r="O429" s="59"/>
      <c r="P429" s="59"/>
      <c r="Q429" s="59"/>
      <c r="R429" s="59"/>
      <c r="S429" s="59"/>
      <c r="T429" s="59"/>
      <c r="U429" s="59"/>
      <c r="V429" s="59"/>
      <c r="W429" s="59"/>
      <c r="X429" s="59"/>
      <c r="Y429" s="59"/>
      <c r="Z429" s="59"/>
    </row>
    <row r="430">
      <c r="A430" s="76" t="s">
        <v>2608</v>
      </c>
      <c r="B430" s="77">
        <v>36.0</v>
      </c>
      <c r="C430" s="76" t="str">
        <f>Scopus!J37</f>
        <v>Towards integration of business process management and knowledge management. IT systems' perspective</v>
      </c>
      <c r="D430" s="76" t="str">
        <f>Scopus!F37</f>
        <v>Conforme</v>
      </c>
      <c r="E430" s="76" t="str">
        <f t="shared" si="41"/>
        <v>Conforme</v>
      </c>
      <c r="F430" s="77" t="str">
        <f>Scopus!A37</f>
        <v>Conforme</v>
      </c>
      <c r="G430" s="77" t="str">
        <f t="shared" si="42"/>
        <v>Acerto</v>
      </c>
      <c r="H430" s="77" t="str">
        <f t="shared" si="43"/>
        <v>VP</v>
      </c>
      <c r="I430" s="77" t="str">
        <f>Scopus!C37</f>
        <v>Conforme</v>
      </c>
      <c r="J430" s="77" t="str">
        <f t="shared" si="44"/>
        <v>Acerto</v>
      </c>
      <c r="K430" s="77" t="str">
        <f t="shared" si="45"/>
        <v>VP</v>
      </c>
      <c r="L430" s="59"/>
      <c r="M430" s="59"/>
      <c r="N430" s="59"/>
      <c r="O430" s="59"/>
      <c r="P430" s="59"/>
      <c r="Q430" s="59"/>
      <c r="R430" s="59"/>
      <c r="S430" s="59"/>
      <c r="T430" s="59"/>
      <c r="U430" s="59"/>
      <c r="V430" s="59"/>
      <c r="W430" s="59"/>
      <c r="X430" s="59"/>
      <c r="Y430" s="59"/>
      <c r="Z430" s="59"/>
    </row>
    <row r="431">
      <c r="A431" s="78" t="s">
        <v>2608</v>
      </c>
      <c r="B431" s="79">
        <v>37.0</v>
      </c>
      <c r="C431" s="78" t="str">
        <f>Scopus!J38</f>
        <v>BPM in the Era of Industry 4.0: A Bibliometric Analysis</v>
      </c>
      <c r="D431" s="78" t="str">
        <f>Scopus!F38</f>
        <v>Inconforme</v>
      </c>
      <c r="E431" s="78" t="str">
        <f t="shared" si="41"/>
        <v>Inconforme</v>
      </c>
      <c r="F431" s="79" t="str">
        <f>Scopus!A38</f>
        <v>Inconforme</v>
      </c>
      <c r="G431" s="79" t="str">
        <f t="shared" si="42"/>
        <v>Acerto</v>
      </c>
      <c r="H431" s="79" t="str">
        <f t="shared" si="43"/>
        <v>VN</v>
      </c>
      <c r="I431" s="79" t="str">
        <f>Scopus!C38</f>
        <v>Inconforme</v>
      </c>
      <c r="J431" s="79" t="str">
        <f t="shared" si="44"/>
        <v>Acerto</v>
      </c>
      <c r="K431" s="79" t="str">
        <f t="shared" si="45"/>
        <v>VN</v>
      </c>
      <c r="L431" s="59"/>
      <c r="M431" s="59"/>
      <c r="N431" s="59"/>
      <c r="O431" s="59"/>
      <c r="P431" s="59"/>
      <c r="Q431" s="59"/>
      <c r="R431" s="59"/>
      <c r="S431" s="59"/>
      <c r="T431" s="59"/>
      <c r="U431" s="59"/>
      <c r="V431" s="59"/>
      <c r="W431" s="59"/>
      <c r="X431" s="59"/>
      <c r="Y431" s="59"/>
      <c r="Z431" s="59"/>
    </row>
    <row r="432">
      <c r="A432" s="76" t="s">
        <v>2608</v>
      </c>
      <c r="B432" s="77">
        <v>38.0</v>
      </c>
      <c r="C432" s="76" t="str">
        <f>Scopus!J39</f>
        <v>An Exploration into Future Business Process Management Capabilities in View of Digitalization: Results from a Delphi Study</v>
      </c>
      <c r="D432" s="76" t="str">
        <f>Scopus!F39</f>
        <v>Conforme</v>
      </c>
      <c r="E432" s="76" t="str">
        <f t="shared" si="41"/>
        <v>Conforme</v>
      </c>
      <c r="F432" s="77" t="str">
        <f>Scopus!A39</f>
        <v>Conforme</v>
      </c>
      <c r="G432" s="77" t="str">
        <f t="shared" si="42"/>
        <v>Acerto</v>
      </c>
      <c r="H432" s="77" t="str">
        <f t="shared" si="43"/>
        <v>VP</v>
      </c>
      <c r="I432" s="77" t="str">
        <f>Scopus!C39</f>
        <v>Inconforme</v>
      </c>
      <c r="J432" s="77" t="str">
        <f t="shared" si="44"/>
        <v>Divergência</v>
      </c>
      <c r="K432" s="77" t="str">
        <f t="shared" si="45"/>
        <v>FN</v>
      </c>
      <c r="L432" s="59"/>
      <c r="M432" s="59"/>
      <c r="N432" s="59"/>
      <c r="O432" s="59"/>
      <c r="P432" s="59"/>
      <c r="Q432" s="59"/>
      <c r="R432" s="59"/>
      <c r="S432" s="59"/>
      <c r="T432" s="59"/>
      <c r="U432" s="59"/>
      <c r="V432" s="59"/>
      <c r="W432" s="59"/>
      <c r="X432" s="59"/>
      <c r="Y432" s="59"/>
      <c r="Z432" s="59"/>
    </row>
    <row r="433">
      <c r="A433" s="78" t="s">
        <v>2608</v>
      </c>
      <c r="B433" s="79">
        <v>39.0</v>
      </c>
      <c r="C433" s="78" t="str">
        <f>Scopus!J40</f>
        <v>A processes-based methodology for product design assessment</v>
      </c>
      <c r="D433" s="78" t="str">
        <f>Scopus!F40</f>
        <v>Inconforme</v>
      </c>
      <c r="E433" s="78" t="str">
        <f t="shared" si="41"/>
        <v>Inconforme</v>
      </c>
      <c r="F433" s="79" t="str">
        <f>Scopus!A40</f>
        <v>Inconforme</v>
      </c>
      <c r="G433" s="79" t="str">
        <f t="shared" si="42"/>
        <v>Acerto</v>
      </c>
      <c r="H433" s="79" t="str">
        <f t="shared" si="43"/>
        <v>VN</v>
      </c>
      <c r="I433" s="79" t="str">
        <f>Scopus!C40</f>
        <v>Inconforme</v>
      </c>
      <c r="J433" s="79" t="str">
        <f t="shared" si="44"/>
        <v>Acerto</v>
      </c>
      <c r="K433" s="79" t="str">
        <f t="shared" si="45"/>
        <v>VN</v>
      </c>
      <c r="L433" s="59"/>
      <c r="M433" s="59"/>
      <c r="N433" s="59"/>
      <c r="O433" s="59"/>
      <c r="P433" s="59"/>
      <c r="Q433" s="59"/>
      <c r="R433" s="59"/>
      <c r="S433" s="59"/>
      <c r="T433" s="59"/>
      <c r="U433" s="59"/>
      <c r="V433" s="59"/>
      <c r="W433" s="59"/>
      <c r="X433" s="59"/>
      <c r="Y433" s="59"/>
      <c r="Z433" s="59"/>
    </row>
    <row r="434">
      <c r="A434" s="76" t="s">
        <v>2608</v>
      </c>
      <c r="B434" s="77">
        <v>40.0</v>
      </c>
      <c r="C434" s="76" t="str">
        <f>Scopus!J41</f>
        <v>CPOT: Toolkit to Optimize Processes and Increase Efficiency</v>
      </c>
      <c r="D434" s="76" t="str">
        <f>Scopus!F41</f>
        <v>Inconforme</v>
      </c>
      <c r="E434" s="76" t="str">
        <f t="shared" si="41"/>
        <v>Inconforme</v>
      </c>
      <c r="F434" s="77" t="str">
        <f>Scopus!A41</f>
        <v>Inconforme</v>
      </c>
      <c r="G434" s="77" t="str">
        <f t="shared" si="42"/>
        <v>Acerto</v>
      </c>
      <c r="H434" s="77" t="str">
        <f t="shared" si="43"/>
        <v>VN</v>
      </c>
      <c r="I434" s="77" t="str">
        <f>Scopus!C41</f>
        <v>Inconforme</v>
      </c>
      <c r="J434" s="77" t="str">
        <f t="shared" si="44"/>
        <v>Acerto</v>
      </c>
      <c r="K434" s="77" t="str">
        <f t="shared" si="45"/>
        <v>VN</v>
      </c>
      <c r="L434" s="59"/>
      <c r="M434" s="59"/>
      <c r="N434" s="59"/>
      <c r="O434" s="59"/>
      <c r="P434" s="59"/>
      <c r="Q434" s="59"/>
      <c r="R434" s="59"/>
      <c r="S434" s="59"/>
      <c r="T434" s="59"/>
      <c r="U434" s="59"/>
      <c r="V434" s="59"/>
      <c r="W434" s="59"/>
      <c r="X434" s="59"/>
      <c r="Y434" s="59"/>
      <c r="Z434" s="59"/>
    </row>
    <row r="435">
      <c r="A435" s="78" t="s">
        <v>2608</v>
      </c>
      <c r="B435" s="79">
        <v>41.0</v>
      </c>
      <c r="C435" s="78" t="str">
        <f>Scopus!J42</f>
        <v>From Theory to Practice: Empirical Insights on BPM Lifecycle Adoption and Low-Code Utilization in SMEs</v>
      </c>
      <c r="D435" s="78" t="str">
        <f>Scopus!F42</f>
        <v>Inconforme -Artigos duplicados ou similares</v>
      </c>
      <c r="E435" s="78" t="str">
        <f t="shared" si="41"/>
        <v>Conforme</v>
      </c>
      <c r="F435" s="79" t="str">
        <f>Scopus!A42</f>
        <v>Conforme</v>
      </c>
      <c r="G435" s="79" t="str">
        <f t="shared" si="42"/>
        <v>Acerto</v>
      </c>
      <c r="H435" s="79" t="str">
        <f t="shared" si="43"/>
        <v>VP</v>
      </c>
      <c r="I435" s="79" t="str">
        <f>Scopus!C42</f>
        <v>Conforme</v>
      </c>
      <c r="J435" s="79" t="str">
        <f t="shared" si="44"/>
        <v>Acerto</v>
      </c>
      <c r="K435" s="79" t="str">
        <f t="shared" si="45"/>
        <v>VP</v>
      </c>
      <c r="L435" s="59"/>
      <c r="M435" s="59"/>
      <c r="N435" s="59"/>
      <c r="O435" s="59"/>
      <c r="P435" s="59"/>
      <c r="Q435" s="59"/>
      <c r="R435" s="59"/>
      <c r="S435" s="59"/>
      <c r="T435" s="59"/>
      <c r="U435" s="59"/>
      <c r="V435" s="59"/>
      <c r="W435" s="59"/>
      <c r="X435" s="59"/>
      <c r="Y435" s="59"/>
      <c r="Z435" s="59"/>
    </row>
    <row r="436">
      <c r="A436" s="76" t="s">
        <v>2608</v>
      </c>
      <c r="B436" s="77">
        <v>42.0</v>
      </c>
      <c r="C436" s="76" t="str">
        <f>Scopus!J43</f>
        <v>Digital Transformation Model Based on Business Process Management and Lean Manufacturing to Increase the Productivity of the Administrative Area of a Peruvian Aeronautical Company</v>
      </c>
      <c r="D436" s="76" t="str">
        <f>Scopus!F43</f>
        <v>Conforme</v>
      </c>
      <c r="E436" s="76" t="str">
        <f t="shared" si="41"/>
        <v>Conforme</v>
      </c>
      <c r="F436" s="77" t="str">
        <f>Scopus!A43</f>
        <v>Conforme</v>
      </c>
      <c r="G436" s="77" t="str">
        <f t="shared" si="42"/>
        <v>Acerto</v>
      </c>
      <c r="H436" s="77" t="str">
        <f t="shared" si="43"/>
        <v>VP</v>
      </c>
      <c r="I436" s="77" t="str">
        <f>Scopus!C43</f>
        <v>Conforme</v>
      </c>
      <c r="J436" s="77" t="str">
        <f t="shared" si="44"/>
        <v>Acerto</v>
      </c>
      <c r="K436" s="77" t="str">
        <f t="shared" si="45"/>
        <v>VP</v>
      </c>
      <c r="L436" s="59"/>
      <c r="M436" s="59"/>
      <c r="N436" s="59"/>
      <c r="O436" s="59"/>
      <c r="P436" s="59"/>
      <c r="Q436" s="59"/>
      <c r="R436" s="59"/>
      <c r="S436" s="59"/>
      <c r="T436" s="59"/>
      <c r="U436" s="59"/>
      <c r="V436" s="59"/>
      <c r="W436" s="59"/>
      <c r="X436" s="59"/>
      <c r="Y436" s="59"/>
      <c r="Z436" s="59"/>
    </row>
    <row r="437">
      <c r="A437" s="78" t="s">
        <v>2608</v>
      </c>
      <c r="B437" s="79">
        <v>43.0</v>
      </c>
      <c r="C437" s="78" t="str">
        <f>Scopus!J44</f>
        <v>Smart Automation for Enhancing Cybersecurity</v>
      </c>
      <c r="D437" s="78" t="str">
        <f>Scopus!F44</f>
        <v>Inconforme</v>
      </c>
      <c r="E437" s="78" t="str">
        <f t="shared" si="41"/>
        <v>Inconforme</v>
      </c>
      <c r="F437" s="79" t="str">
        <f>Scopus!A44</f>
        <v>Inconforme</v>
      </c>
      <c r="G437" s="79" t="str">
        <f t="shared" si="42"/>
        <v>Acerto</v>
      </c>
      <c r="H437" s="79" t="str">
        <f t="shared" si="43"/>
        <v>VN</v>
      </c>
      <c r="I437" s="79" t="str">
        <f>Scopus!C44</f>
        <v>Inconforme</v>
      </c>
      <c r="J437" s="79" t="str">
        <f t="shared" si="44"/>
        <v>Acerto</v>
      </c>
      <c r="K437" s="79" t="str">
        <f t="shared" si="45"/>
        <v>VN</v>
      </c>
      <c r="L437" s="59"/>
      <c r="M437" s="59"/>
      <c r="N437" s="59"/>
      <c r="O437" s="59"/>
      <c r="P437" s="59"/>
      <c r="Q437" s="59"/>
      <c r="R437" s="59"/>
      <c r="S437" s="59"/>
      <c r="T437" s="59"/>
      <c r="U437" s="59"/>
      <c r="V437" s="59"/>
      <c r="W437" s="59"/>
      <c r="X437" s="59"/>
      <c r="Y437" s="59"/>
      <c r="Z437" s="59"/>
    </row>
    <row r="438">
      <c r="A438" s="76" t="s">
        <v>2608</v>
      </c>
      <c r="B438" s="77">
        <v>44.0</v>
      </c>
      <c r="C438" s="76" t="str">
        <f>Scopus!J45</f>
        <v>Modeling Boundary-Spanning Business Processes in Industry 4.0: Incorporating Risk-Based Design</v>
      </c>
      <c r="D438" s="76" t="str">
        <f>Scopus!F45</f>
        <v>Conforme</v>
      </c>
      <c r="E438" s="76" t="str">
        <f t="shared" si="41"/>
        <v>Conforme</v>
      </c>
      <c r="F438" s="77" t="str">
        <f>Scopus!A45</f>
        <v>Inconforme</v>
      </c>
      <c r="G438" s="77" t="str">
        <f t="shared" si="42"/>
        <v>Divergência</v>
      </c>
      <c r="H438" s="77" t="str">
        <f t="shared" si="43"/>
        <v>FN</v>
      </c>
      <c r="I438" s="77" t="str">
        <f>Scopus!C45</f>
        <v>Inconforme</v>
      </c>
      <c r="J438" s="77" t="str">
        <f t="shared" si="44"/>
        <v>Divergência</v>
      </c>
      <c r="K438" s="77" t="str">
        <f t="shared" si="45"/>
        <v>FN</v>
      </c>
      <c r="L438" s="59"/>
      <c r="M438" s="59"/>
      <c r="N438" s="59"/>
      <c r="O438" s="59"/>
      <c r="P438" s="59"/>
      <c r="Q438" s="59"/>
      <c r="R438" s="59"/>
      <c r="S438" s="59"/>
      <c r="T438" s="59"/>
      <c r="U438" s="59"/>
      <c r="V438" s="59"/>
      <c r="W438" s="59"/>
      <c r="X438" s="59"/>
      <c r="Y438" s="59"/>
      <c r="Z438" s="59"/>
    </row>
    <row r="439">
      <c r="A439" s="78" t="s">
        <v>2608</v>
      </c>
      <c r="B439" s="79">
        <v>45.0</v>
      </c>
      <c r="C439" s="78" t="str">
        <f>Scopus!J46</f>
        <v>Integrating RPA, BPM, and DT in the context of Industry 4.0 and 5.0: a strategic approach for modern enterprises</v>
      </c>
      <c r="D439" s="78" t="str">
        <f>Scopus!F46</f>
        <v>Conforme</v>
      </c>
      <c r="E439" s="78" t="str">
        <f t="shared" si="41"/>
        <v>Conforme</v>
      </c>
      <c r="F439" s="79" t="str">
        <f>Scopus!A46</f>
        <v>Conforme</v>
      </c>
      <c r="G439" s="79" t="str">
        <f t="shared" si="42"/>
        <v>Acerto</v>
      </c>
      <c r="H439" s="79" t="str">
        <f t="shared" si="43"/>
        <v>VP</v>
      </c>
      <c r="I439" s="79" t="str">
        <f>Scopus!C46</f>
        <v>Inconforme</v>
      </c>
      <c r="J439" s="79" t="str">
        <f t="shared" si="44"/>
        <v>Divergência</v>
      </c>
      <c r="K439" s="79" t="str">
        <f t="shared" si="45"/>
        <v>FN</v>
      </c>
      <c r="L439" s="59"/>
      <c r="M439" s="59"/>
      <c r="N439" s="59"/>
      <c r="O439" s="59"/>
      <c r="P439" s="59"/>
      <c r="Q439" s="59"/>
      <c r="R439" s="59"/>
      <c r="S439" s="59"/>
      <c r="T439" s="59"/>
      <c r="U439" s="59"/>
      <c r="V439" s="59"/>
      <c r="W439" s="59"/>
      <c r="X439" s="59"/>
      <c r="Y439" s="59"/>
      <c r="Z439" s="59"/>
    </row>
    <row r="440">
      <c r="A440" s="76" t="s">
        <v>2608</v>
      </c>
      <c r="B440" s="77">
        <v>46.0</v>
      </c>
      <c r="C440" s="76" t="str">
        <f>Scopus!J47</f>
        <v>Translating transparency into value: an approach to design IoT solutions</v>
      </c>
      <c r="D440" s="76" t="str">
        <f>Scopus!F47</f>
        <v>Inconforme</v>
      </c>
      <c r="E440" s="76" t="str">
        <f t="shared" si="41"/>
        <v>Inconforme</v>
      </c>
      <c r="F440" s="77" t="str">
        <f>Scopus!A47</f>
        <v>Inconforme</v>
      </c>
      <c r="G440" s="77" t="str">
        <f t="shared" si="42"/>
        <v>Acerto</v>
      </c>
      <c r="H440" s="77" t="str">
        <f t="shared" si="43"/>
        <v>VN</v>
      </c>
      <c r="I440" s="77" t="str">
        <f>Scopus!C47</f>
        <v>Inconforme</v>
      </c>
      <c r="J440" s="77" t="str">
        <f t="shared" si="44"/>
        <v>Acerto</v>
      </c>
      <c r="K440" s="77" t="str">
        <f t="shared" si="45"/>
        <v>VN</v>
      </c>
      <c r="L440" s="59"/>
      <c r="M440" s="59"/>
      <c r="N440" s="59"/>
      <c r="O440" s="59"/>
      <c r="P440" s="59"/>
      <c r="Q440" s="59"/>
      <c r="R440" s="59"/>
      <c r="S440" s="59"/>
      <c r="T440" s="59"/>
      <c r="U440" s="59"/>
      <c r="V440" s="59"/>
      <c r="W440" s="59"/>
      <c r="X440" s="59"/>
      <c r="Y440" s="59"/>
      <c r="Z440" s="59"/>
    </row>
    <row r="441">
      <c r="A441" s="78" t="s">
        <v>2608</v>
      </c>
      <c r="B441" s="79">
        <v>47.0</v>
      </c>
      <c r="C441" s="78" t="str">
        <f>Scopus!J48</f>
        <v>Digital innovation and business process management: Opportunities and challenges as perceived by practitioners</v>
      </c>
      <c r="D441" s="78" t="str">
        <f>Scopus!F48</f>
        <v>Conforme</v>
      </c>
      <c r="E441" s="78" t="str">
        <f t="shared" si="41"/>
        <v>Conforme</v>
      </c>
      <c r="F441" s="79" t="str">
        <f>Scopus!A48</f>
        <v>Conforme</v>
      </c>
      <c r="G441" s="79" t="str">
        <f t="shared" si="42"/>
        <v>Acerto</v>
      </c>
      <c r="H441" s="79" t="str">
        <f t="shared" si="43"/>
        <v>VP</v>
      </c>
      <c r="I441" s="79" t="str">
        <f>Scopus!C48</f>
        <v>Inconforme</v>
      </c>
      <c r="J441" s="79" t="str">
        <f t="shared" si="44"/>
        <v>Divergência</v>
      </c>
      <c r="K441" s="79" t="str">
        <f t="shared" si="45"/>
        <v>FN</v>
      </c>
      <c r="L441" s="59"/>
      <c r="M441" s="59"/>
      <c r="N441" s="59"/>
      <c r="O441" s="59"/>
      <c r="P441" s="59"/>
      <c r="Q441" s="59"/>
      <c r="R441" s="59"/>
      <c r="S441" s="59"/>
      <c r="T441" s="59"/>
      <c r="U441" s="59"/>
      <c r="V441" s="59"/>
      <c r="W441" s="59"/>
      <c r="X441" s="59"/>
      <c r="Y441" s="59"/>
      <c r="Z441" s="59"/>
    </row>
    <row r="442">
      <c r="A442" s="76" t="s">
        <v>2608</v>
      </c>
      <c r="B442" s="77">
        <v>48.0</v>
      </c>
      <c r="C442" s="76" t="str">
        <f>Scopus!J49</f>
        <v>Business Process Management Maturity and Digital Transformation: Evidence From a Financial Institution in an Emerging Economy</v>
      </c>
      <c r="D442" s="76" t="str">
        <f>Scopus!F49</f>
        <v>Conforme</v>
      </c>
      <c r="E442" s="76" t="str">
        <f t="shared" si="41"/>
        <v>Conforme</v>
      </c>
      <c r="F442" s="77" t="str">
        <f>Scopus!A49</f>
        <v>Conforme</v>
      </c>
      <c r="G442" s="77" t="str">
        <f t="shared" si="42"/>
        <v>Acerto</v>
      </c>
      <c r="H442" s="77" t="str">
        <f t="shared" si="43"/>
        <v>VP</v>
      </c>
      <c r="I442" s="77" t="str">
        <f>Scopus!C49</f>
        <v>Inconforme</v>
      </c>
      <c r="J442" s="77" t="str">
        <f t="shared" si="44"/>
        <v>Divergência</v>
      </c>
      <c r="K442" s="77" t="str">
        <f t="shared" si="45"/>
        <v>FN</v>
      </c>
      <c r="L442" s="59"/>
      <c r="M442" s="59"/>
      <c r="N442" s="59"/>
      <c r="O442" s="59"/>
      <c r="P442" s="59"/>
      <c r="Q442" s="59"/>
      <c r="R442" s="59"/>
      <c r="S442" s="59"/>
      <c r="T442" s="59"/>
      <c r="U442" s="59"/>
      <c r="V442" s="59"/>
      <c r="W442" s="59"/>
      <c r="X442" s="59"/>
      <c r="Y442" s="59"/>
      <c r="Z442" s="59"/>
    </row>
    <row r="443">
      <c r="A443" s="78" t="s">
        <v>2608</v>
      </c>
      <c r="B443" s="79">
        <v>49.0</v>
      </c>
      <c r="C443" s="78" t="str">
        <f>Scopus!J50</f>
        <v>Business process management and digitalization – a reciprocal relationship</v>
      </c>
      <c r="D443" s="78" t="str">
        <f>Scopus!F50</f>
        <v>Inconforme -Artigos duplicados ou similares</v>
      </c>
      <c r="E443" s="78" t="str">
        <f t="shared" si="41"/>
        <v>Conforme</v>
      </c>
      <c r="F443" s="79" t="str">
        <f>Scopus!A50</f>
        <v>Conforme</v>
      </c>
      <c r="G443" s="79" t="str">
        <f t="shared" si="42"/>
        <v>Acerto</v>
      </c>
      <c r="H443" s="79" t="str">
        <f t="shared" si="43"/>
        <v>VP</v>
      </c>
      <c r="I443" s="79" t="str">
        <f>Scopus!C50</f>
        <v>Inconforme</v>
      </c>
      <c r="J443" s="79" t="str">
        <f t="shared" si="44"/>
        <v>Divergência</v>
      </c>
      <c r="K443" s="79" t="str">
        <f t="shared" si="45"/>
        <v>FN</v>
      </c>
      <c r="L443" s="59"/>
      <c r="M443" s="59"/>
      <c r="N443" s="59"/>
      <c r="O443" s="59"/>
      <c r="P443" s="59"/>
      <c r="Q443" s="59"/>
      <c r="R443" s="59"/>
      <c r="S443" s="59"/>
      <c r="T443" s="59"/>
      <c r="U443" s="59"/>
      <c r="V443" s="59"/>
      <c r="W443" s="59"/>
      <c r="X443" s="59"/>
      <c r="Y443" s="59"/>
      <c r="Z443" s="59"/>
    </row>
    <row r="444">
      <c r="A444" s="76" t="s">
        <v>2608</v>
      </c>
      <c r="B444" s="77">
        <v>50.0</v>
      </c>
      <c r="C444" s="76" t="str">
        <f>Scopus!J51</f>
        <v>A framework for AI-based self-adaptive cyber-physical process systems</v>
      </c>
      <c r="D444" s="76" t="str">
        <f>Scopus!F51</f>
        <v>Inconforme</v>
      </c>
      <c r="E444" s="76" t="str">
        <f t="shared" si="41"/>
        <v>Inconforme</v>
      </c>
      <c r="F444" s="77" t="str">
        <f>Scopus!A51</f>
        <v>Inconforme</v>
      </c>
      <c r="G444" s="77" t="str">
        <f t="shared" si="42"/>
        <v>Acerto</v>
      </c>
      <c r="H444" s="77" t="str">
        <f t="shared" si="43"/>
        <v>VN</v>
      </c>
      <c r="I444" s="77" t="str">
        <f>Scopus!C51</f>
        <v>Inconforme</v>
      </c>
      <c r="J444" s="77" t="str">
        <f t="shared" si="44"/>
        <v>Acerto</v>
      </c>
      <c r="K444" s="77" t="str">
        <f t="shared" si="45"/>
        <v>VN</v>
      </c>
      <c r="L444" s="59"/>
      <c r="M444" s="59"/>
      <c r="N444" s="59"/>
      <c r="O444" s="59"/>
      <c r="P444" s="59"/>
      <c r="Q444" s="59"/>
      <c r="R444" s="59"/>
      <c r="S444" s="59"/>
      <c r="T444" s="59"/>
      <c r="U444" s="59"/>
      <c r="V444" s="59"/>
      <c r="W444" s="59"/>
      <c r="X444" s="59"/>
      <c r="Y444" s="59"/>
      <c r="Z444" s="59"/>
    </row>
    <row r="445">
      <c r="A445" s="78" t="s">
        <v>2608</v>
      </c>
      <c r="B445" s="79">
        <v>51.0</v>
      </c>
      <c r="C445" s="78" t="str">
        <f>Scopus!J52</f>
        <v>The Future of BPM in the Era of Industry 4.0: Exploring New Opportunities for Innovation</v>
      </c>
      <c r="D445" s="78" t="str">
        <f>Scopus!F52</f>
        <v>Inconforme</v>
      </c>
      <c r="E445" s="78" t="str">
        <f t="shared" si="41"/>
        <v>Inconforme</v>
      </c>
      <c r="F445" s="79" t="str">
        <f>Scopus!A52</f>
        <v>Inconforme</v>
      </c>
      <c r="G445" s="79" t="str">
        <f t="shared" si="42"/>
        <v>Acerto</v>
      </c>
      <c r="H445" s="79" t="str">
        <f t="shared" si="43"/>
        <v>VN</v>
      </c>
      <c r="I445" s="79" t="str">
        <f>Scopus!C52</f>
        <v>Inconforme</v>
      </c>
      <c r="J445" s="79" t="str">
        <f t="shared" si="44"/>
        <v>Acerto</v>
      </c>
      <c r="K445" s="79" t="str">
        <f t="shared" si="45"/>
        <v>VN</v>
      </c>
      <c r="L445" s="59"/>
      <c r="M445" s="59"/>
      <c r="N445" s="59"/>
      <c r="O445" s="59"/>
      <c r="P445" s="59"/>
      <c r="Q445" s="59"/>
      <c r="R445" s="59"/>
      <c r="S445" s="59"/>
      <c r="T445" s="59"/>
      <c r="U445" s="59"/>
      <c r="V445" s="59"/>
      <c r="W445" s="59"/>
      <c r="X445" s="59"/>
      <c r="Y445" s="59"/>
      <c r="Z445" s="59"/>
    </row>
    <row r="446">
      <c r="A446" s="76" t="s">
        <v>2608</v>
      </c>
      <c r="B446" s="77">
        <v>52.0</v>
      </c>
      <c r="C446" s="76" t="str">
        <f>Scopus!J53</f>
        <v>Impact of Digital Transformation in Sourcing &amp; Tender Management Processes on Employee Job Satisfaction - A Study on Malaysian Multinational Electricity Company</v>
      </c>
      <c r="D446" s="76" t="str">
        <f>Scopus!F53</f>
        <v>Inconforme -Artigos duplicados ou similares</v>
      </c>
      <c r="E446" s="76" t="str">
        <f t="shared" si="41"/>
        <v>Conforme</v>
      </c>
      <c r="F446" s="77" t="str">
        <f>Scopus!A53</f>
        <v>Conforme</v>
      </c>
      <c r="G446" s="77" t="str">
        <f t="shared" si="42"/>
        <v>Acerto</v>
      </c>
      <c r="H446" s="77" t="str">
        <f t="shared" si="43"/>
        <v>VP</v>
      </c>
      <c r="I446" s="77" t="str">
        <f>Scopus!C53</f>
        <v>Conforme</v>
      </c>
      <c r="J446" s="77" t="str">
        <f t="shared" si="44"/>
        <v>Acerto</v>
      </c>
      <c r="K446" s="77" t="str">
        <f t="shared" si="45"/>
        <v>VP</v>
      </c>
      <c r="L446" s="59"/>
      <c r="M446" s="59"/>
      <c r="N446" s="59"/>
      <c r="O446" s="59"/>
      <c r="P446" s="59"/>
      <c r="Q446" s="59"/>
      <c r="R446" s="59"/>
      <c r="S446" s="59"/>
      <c r="T446" s="59"/>
      <c r="U446" s="59"/>
      <c r="V446" s="59"/>
      <c r="W446" s="59"/>
      <c r="X446" s="59"/>
      <c r="Y446" s="59"/>
      <c r="Z446" s="59"/>
    </row>
    <row r="447">
      <c r="A447" s="78" t="s">
        <v>2608</v>
      </c>
      <c r="B447" s="79">
        <v>53.0</v>
      </c>
      <c r="C447" s="78" t="str">
        <f>Scopus!J54</f>
        <v>The Role of Business Process Management in Digital Innovation and Digital Transformation: A Systematic Literature Review</v>
      </c>
      <c r="D447" s="78" t="str">
        <f>Scopus!F54</f>
        <v>Inconforme</v>
      </c>
      <c r="E447" s="78" t="str">
        <f t="shared" si="41"/>
        <v>Inconforme</v>
      </c>
      <c r="F447" s="79" t="str">
        <f>Scopus!A54</f>
        <v>Inconforme</v>
      </c>
      <c r="G447" s="79" t="str">
        <f t="shared" si="42"/>
        <v>Acerto</v>
      </c>
      <c r="H447" s="79" t="str">
        <f t="shared" si="43"/>
        <v>VN</v>
      </c>
      <c r="I447" s="79" t="str">
        <f>Scopus!C54</f>
        <v>Inconforme</v>
      </c>
      <c r="J447" s="79" t="str">
        <f t="shared" si="44"/>
        <v>Acerto</v>
      </c>
      <c r="K447" s="79" t="str">
        <f t="shared" si="45"/>
        <v>VN</v>
      </c>
      <c r="L447" s="59"/>
      <c r="M447" s="59"/>
      <c r="N447" s="59"/>
      <c r="O447" s="59"/>
      <c r="P447" s="59"/>
      <c r="Q447" s="59"/>
      <c r="R447" s="59"/>
      <c r="S447" s="59"/>
      <c r="T447" s="59"/>
      <c r="U447" s="59"/>
      <c r="V447" s="59"/>
      <c r="W447" s="59"/>
      <c r="X447" s="59"/>
      <c r="Y447" s="59"/>
      <c r="Z447" s="59"/>
    </row>
    <row r="448">
      <c r="A448" s="76" t="s">
        <v>2608</v>
      </c>
      <c r="B448" s="77">
        <v>54.0</v>
      </c>
      <c r="C448" s="76" t="str">
        <f>Scopus!J55</f>
        <v>Unraveling the trends in business process management: a comprehensive bibliometric analysis of management and business literature</v>
      </c>
      <c r="D448" s="76" t="str">
        <f>Scopus!F55</f>
        <v>Inconforme</v>
      </c>
      <c r="E448" s="76" t="str">
        <f t="shared" si="41"/>
        <v>Inconforme</v>
      </c>
      <c r="F448" s="77" t="str">
        <f>Scopus!A55</f>
        <v>Inconforme</v>
      </c>
      <c r="G448" s="77" t="str">
        <f t="shared" si="42"/>
        <v>Acerto</v>
      </c>
      <c r="H448" s="77" t="str">
        <f t="shared" si="43"/>
        <v>VN</v>
      </c>
      <c r="I448" s="77" t="str">
        <f>Scopus!C55</f>
        <v>Inconforme</v>
      </c>
      <c r="J448" s="77" t="str">
        <f t="shared" si="44"/>
        <v>Acerto</v>
      </c>
      <c r="K448" s="77" t="str">
        <f t="shared" si="45"/>
        <v>VN</v>
      </c>
      <c r="L448" s="59"/>
      <c r="M448" s="59"/>
      <c r="N448" s="59"/>
      <c r="O448" s="59"/>
      <c r="P448" s="59"/>
      <c r="Q448" s="59"/>
      <c r="R448" s="59"/>
      <c r="S448" s="59"/>
      <c r="T448" s="59"/>
      <c r="U448" s="59"/>
      <c r="V448" s="59"/>
      <c r="W448" s="59"/>
      <c r="X448" s="59"/>
      <c r="Y448" s="59"/>
      <c r="Z448" s="59"/>
    </row>
    <row r="449">
      <c r="A449" s="78" t="s">
        <v>2608</v>
      </c>
      <c r="B449" s="79">
        <v>55.0</v>
      </c>
      <c r="C449" s="78" t="str">
        <f>Scopus!J56</f>
        <v>Process Mining applied to Emergency Room: an organizational and change management perspective</v>
      </c>
      <c r="D449" s="78" t="str">
        <f>Scopus!F56</f>
        <v>Inconforme</v>
      </c>
      <c r="E449" s="78" t="str">
        <f t="shared" si="41"/>
        <v>Inconforme</v>
      </c>
      <c r="F449" s="79" t="str">
        <f>Scopus!A56</f>
        <v>Inconforme</v>
      </c>
      <c r="G449" s="79" t="str">
        <f t="shared" si="42"/>
        <v>Acerto</v>
      </c>
      <c r="H449" s="79" t="str">
        <f t="shared" si="43"/>
        <v>VN</v>
      </c>
      <c r="I449" s="79" t="str">
        <f>Scopus!C56</f>
        <v>Inconforme</v>
      </c>
      <c r="J449" s="79" t="str">
        <f t="shared" si="44"/>
        <v>Acerto</v>
      </c>
      <c r="K449" s="79" t="str">
        <f t="shared" si="45"/>
        <v>VN</v>
      </c>
      <c r="L449" s="59"/>
      <c r="M449" s="59"/>
      <c r="N449" s="59"/>
      <c r="O449" s="59"/>
      <c r="P449" s="59"/>
      <c r="Q449" s="59"/>
      <c r="R449" s="59"/>
      <c r="S449" s="59"/>
      <c r="T449" s="59"/>
      <c r="U449" s="59"/>
      <c r="V449" s="59"/>
      <c r="W449" s="59"/>
      <c r="X449" s="59"/>
      <c r="Y449" s="59"/>
      <c r="Z449" s="59"/>
    </row>
    <row r="450">
      <c r="A450" s="76" t="s">
        <v>2608</v>
      </c>
      <c r="B450" s="77">
        <v>56.0</v>
      </c>
      <c r="C450" s="76" t="str">
        <f>Scopus!J57</f>
        <v>Unveiling how business process management capabilities foster dynamic decision-making for effectiveness of sustainable digital transformation</v>
      </c>
      <c r="D450" s="76" t="str">
        <f>Scopus!F57</f>
        <v>Inconforme -Artigos duplicados ou similares</v>
      </c>
      <c r="E450" s="76" t="str">
        <f t="shared" si="41"/>
        <v>Conforme</v>
      </c>
      <c r="F450" s="77" t="str">
        <f>Scopus!A57</f>
        <v>Conforme</v>
      </c>
      <c r="G450" s="77" t="str">
        <f t="shared" si="42"/>
        <v>Acerto</v>
      </c>
      <c r="H450" s="77" t="str">
        <f t="shared" si="43"/>
        <v>VP</v>
      </c>
      <c r="I450" s="77" t="str">
        <f>Scopus!C57</f>
        <v>Inconforme</v>
      </c>
      <c r="J450" s="77" t="str">
        <f t="shared" si="44"/>
        <v>Divergência</v>
      </c>
      <c r="K450" s="77" t="str">
        <f t="shared" si="45"/>
        <v>FN</v>
      </c>
      <c r="L450" s="59"/>
      <c r="M450" s="59"/>
      <c r="N450" s="59"/>
      <c r="O450" s="59"/>
      <c r="P450" s="59"/>
      <c r="Q450" s="59"/>
      <c r="R450" s="59"/>
      <c r="S450" s="59"/>
      <c r="T450" s="59"/>
      <c r="U450" s="59"/>
      <c r="V450" s="59"/>
      <c r="W450" s="59"/>
      <c r="X450" s="59"/>
      <c r="Y450" s="59"/>
      <c r="Z450" s="59"/>
    </row>
    <row r="451">
      <c r="A451" s="78" t="s">
        <v>2608</v>
      </c>
      <c r="B451" s="79">
        <v>57.0</v>
      </c>
      <c r="C451" s="78" t="str">
        <f>Scopus!J58</f>
        <v>BPM Maturity Assessment: An Exploratory Study Perspective</v>
      </c>
      <c r="D451" s="78" t="str">
        <f>Scopus!F58</f>
        <v>Inconforme</v>
      </c>
      <c r="E451" s="78" t="str">
        <f t="shared" si="41"/>
        <v>Inconforme</v>
      </c>
      <c r="F451" s="79" t="str">
        <f>Scopus!A58</f>
        <v>Inconforme</v>
      </c>
      <c r="G451" s="79" t="str">
        <f t="shared" si="42"/>
        <v>Acerto</v>
      </c>
      <c r="H451" s="79" t="str">
        <f t="shared" si="43"/>
        <v>VN</v>
      </c>
      <c r="I451" s="79" t="str">
        <f>Scopus!C58</f>
        <v>Inconforme</v>
      </c>
      <c r="J451" s="79" t="str">
        <f t="shared" si="44"/>
        <v>Acerto</v>
      </c>
      <c r="K451" s="79" t="str">
        <f t="shared" si="45"/>
        <v>VN</v>
      </c>
      <c r="L451" s="59"/>
      <c r="M451" s="59"/>
      <c r="N451" s="59"/>
      <c r="O451" s="59"/>
      <c r="P451" s="59"/>
      <c r="Q451" s="59"/>
      <c r="R451" s="59"/>
      <c r="S451" s="59"/>
      <c r="T451" s="59"/>
      <c r="U451" s="59"/>
      <c r="V451" s="59"/>
      <c r="W451" s="59"/>
      <c r="X451" s="59"/>
      <c r="Y451" s="59"/>
      <c r="Z451" s="59"/>
    </row>
    <row r="452">
      <c r="A452" s="76" t="s">
        <v>2608</v>
      </c>
      <c r="B452" s="77">
        <v>58.0</v>
      </c>
      <c r="C452" s="76" t="str">
        <f>Scopus!J59</f>
        <v>Algorithmic Business Process Optimization: Empowering Operational Excellence with Service-Oriented Architecture (SOA) and Microservices</v>
      </c>
      <c r="D452" s="76" t="str">
        <f>Scopus!F59</f>
        <v>Inconforme</v>
      </c>
      <c r="E452" s="76" t="str">
        <f t="shared" si="41"/>
        <v>Inconforme</v>
      </c>
      <c r="F452" s="77" t="str">
        <f>Scopus!A59</f>
        <v>Inconforme</v>
      </c>
      <c r="G452" s="77" t="str">
        <f t="shared" si="42"/>
        <v>Acerto</v>
      </c>
      <c r="H452" s="77" t="str">
        <f t="shared" si="43"/>
        <v>VN</v>
      </c>
      <c r="I452" s="77" t="str">
        <f>Scopus!C59</f>
        <v>Inconforme</v>
      </c>
      <c r="J452" s="77" t="str">
        <f t="shared" si="44"/>
        <v>Acerto</v>
      </c>
      <c r="K452" s="77" t="str">
        <f t="shared" si="45"/>
        <v>VN</v>
      </c>
      <c r="L452" s="59"/>
      <c r="M452" s="59"/>
      <c r="N452" s="59"/>
      <c r="O452" s="59"/>
      <c r="P452" s="59"/>
      <c r="Q452" s="59"/>
      <c r="R452" s="59"/>
      <c r="S452" s="59"/>
      <c r="T452" s="59"/>
      <c r="U452" s="59"/>
      <c r="V452" s="59"/>
      <c r="W452" s="59"/>
      <c r="X452" s="59"/>
      <c r="Y452" s="59"/>
      <c r="Z452" s="59"/>
    </row>
    <row r="453">
      <c r="A453" s="78" t="s">
        <v>2608</v>
      </c>
      <c r="B453" s="79">
        <v>59.0</v>
      </c>
      <c r="C453" s="78" t="str">
        <f>Scopus!J60</f>
        <v>Digitalizing Maritime Containers Shipping Companies: Impacts on Their Processes</v>
      </c>
      <c r="D453" s="78" t="str">
        <f>Scopus!F60</f>
        <v>Inconforme</v>
      </c>
      <c r="E453" s="78" t="str">
        <f t="shared" si="41"/>
        <v>Inconforme</v>
      </c>
      <c r="F453" s="79" t="str">
        <f>Scopus!A60</f>
        <v>Inconforme</v>
      </c>
      <c r="G453" s="79" t="str">
        <f t="shared" si="42"/>
        <v>Acerto</v>
      </c>
      <c r="H453" s="79" t="str">
        <f t="shared" si="43"/>
        <v>VN</v>
      </c>
      <c r="I453" s="79" t="str">
        <f>Scopus!C60</f>
        <v>Inconforme</v>
      </c>
      <c r="J453" s="79" t="str">
        <f t="shared" si="44"/>
        <v>Acerto</v>
      </c>
      <c r="K453" s="79" t="str">
        <f t="shared" si="45"/>
        <v>VN</v>
      </c>
      <c r="L453" s="59"/>
      <c r="M453" s="59"/>
      <c r="N453" s="59"/>
      <c r="O453" s="59"/>
      <c r="P453" s="59"/>
      <c r="Q453" s="59"/>
      <c r="R453" s="59"/>
      <c r="S453" s="59"/>
      <c r="T453" s="59"/>
      <c r="U453" s="59"/>
      <c r="V453" s="59"/>
      <c r="W453" s="59"/>
      <c r="X453" s="59"/>
      <c r="Y453" s="59"/>
      <c r="Z453" s="59"/>
    </row>
    <row r="454">
      <c r="A454" s="76" t="s">
        <v>2608</v>
      </c>
      <c r="B454" s="77">
        <v>60.0</v>
      </c>
      <c r="C454" s="76" t="str">
        <f>Scopus!J61</f>
        <v>DT4BPM: A proposed approach for combining Digital Transformation and Business Process Management</v>
      </c>
      <c r="D454" s="76" t="str">
        <f>Scopus!F61</f>
        <v>Inconforme -Artigos duplicados ou similares</v>
      </c>
      <c r="E454" s="76" t="str">
        <f t="shared" si="41"/>
        <v>Conforme</v>
      </c>
      <c r="F454" s="77" t="str">
        <f>Scopus!A61</f>
        <v>Conforme</v>
      </c>
      <c r="G454" s="77" t="str">
        <f t="shared" si="42"/>
        <v>Acerto</v>
      </c>
      <c r="H454" s="77" t="str">
        <f t="shared" si="43"/>
        <v>VP</v>
      </c>
      <c r="I454" s="77" t="str">
        <f>Scopus!C61</f>
        <v>Inconforme</v>
      </c>
      <c r="J454" s="77" t="str">
        <f t="shared" si="44"/>
        <v>Divergência</v>
      </c>
      <c r="K454" s="77" t="str">
        <f t="shared" si="45"/>
        <v>FN</v>
      </c>
      <c r="L454" s="59"/>
      <c r="M454" s="59"/>
      <c r="N454" s="59"/>
      <c r="O454" s="59"/>
      <c r="P454" s="59"/>
      <c r="Q454" s="59"/>
      <c r="R454" s="59"/>
      <c r="S454" s="59"/>
      <c r="T454" s="59"/>
      <c r="U454" s="59"/>
      <c r="V454" s="59"/>
      <c r="W454" s="59"/>
      <c r="X454" s="59"/>
      <c r="Y454" s="59"/>
      <c r="Z454" s="59"/>
    </row>
    <row r="455">
      <c r="A455" s="78" t="s">
        <v>2608</v>
      </c>
      <c r="B455" s="79">
        <v>61.0</v>
      </c>
      <c r="C455" s="78" t="str">
        <f>Scopus!J62</f>
        <v>Business Process Automation in SMEs: A Systematic Literature Review</v>
      </c>
      <c r="D455" s="78" t="str">
        <f>Scopus!F62</f>
        <v>Inconforme</v>
      </c>
      <c r="E455" s="78" t="str">
        <f t="shared" si="41"/>
        <v>Inconforme</v>
      </c>
      <c r="F455" s="79" t="str">
        <f>Scopus!A62</f>
        <v>Inconforme</v>
      </c>
      <c r="G455" s="79" t="str">
        <f t="shared" si="42"/>
        <v>Acerto</v>
      </c>
      <c r="H455" s="79" t="str">
        <f t="shared" si="43"/>
        <v>VN</v>
      </c>
      <c r="I455" s="79" t="str">
        <f>Scopus!C62</f>
        <v>Inconforme</v>
      </c>
      <c r="J455" s="79" t="str">
        <f t="shared" si="44"/>
        <v>Acerto</v>
      </c>
      <c r="K455" s="79" t="str">
        <f t="shared" si="45"/>
        <v>VN</v>
      </c>
      <c r="L455" s="59"/>
      <c r="M455" s="59"/>
      <c r="N455" s="59"/>
      <c r="O455" s="59"/>
      <c r="P455" s="59"/>
      <c r="Q455" s="59"/>
      <c r="R455" s="59"/>
      <c r="S455" s="59"/>
      <c r="T455" s="59"/>
      <c r="U455" s="59"/>
      <c r="V455" s="59"/>
      <c r="W455" s="59"/>
      <c r="X455" s="59"/>
      <c r="Y455" s="59"/>
      <c r="Z455" s="59"/>
    </row>
    <row r="456">
      <c r="A456" s="76" t="s">
        <v>2608</v>
      </c>
      <c r="B456" s="77">
        <v>62.0</v>
      </c>
      <c r="C456" s="76" t="str">
        <f>Scopus!J63</f>
        <v>Digital Industry transformation strategy analysis and decision-based on intelligent decision technology</v>
      </c>
      <c r="D456" s="76" t="str">
        <f>Scopus!F63</f>
        <v>Conforme</v>
      </c>
      <c r="E456" s="76" t="str">
        <f t="shared" si="41"/>
        <v>Conforme</v>
      </c>
      <c r="F456" s="77" t="str">
        <f>Scopus!A63</f>
        <v>Conforme</v>
      </c>
      <c r="G456" s="77" t="str">
        <f t="shared" si="42"/>
        <v>Acerto</v>
      </c>
      <c r="H456" s="77" t="str">
        <f t="shared" si="43"/>
        <v>VP</v>
      </c>
      <c r="I456" s="77" t="str">
        <f>Scopus!C63</f>
        <v>Conforme</v>
      </c>
      <c r="J456" s="77" t="str">
        <f t="shared" si="44"/>
        <v>Acerto</v>
      </c>
      <c r="K456" s="77" t="str">
        <f t="shared" si="45"/>
        <v>VP</v>
      </c>
      <c r="L456" s="59"/>
      <c r="M456" s="59"/>
      <c r="N456" s="59"/>
      <c r="O456" s="59"/>
      <c r="P456" s="59"/>
      <c r="Q456" s="59"/>
      <c r="R456" s="59"/>
      <c r="S456" s="59"/>
      <c r="T456" s="59"/>
      <c r="U456" s="59"/>
      <c r="V456" s="59"/>
      <c r="W456" s="59"/>
      <c r="X456" s="59"/>
      <c r="Y456" s="59"/>
      <c r="Z456" s="59"/>
    </row>
    <row r="457">
      <c r="A457" s="78" t="s">
        <v>2608</v>
      </c>
      <c r="B457" s="79">
        <v>63.0</v>
      </c>
      <c r="C457" s="78" t="str">
        <f>Scopus!J64</f>
        <v>Fundamental Framework for Task Mining Technology Adoption: Results from a Qualitative Empirical Study</v>
      </c>
      <c r="D457" s="78" t="str">
        <f>Scopus!F64</f>
        <v>Conforme</v>
      </c>
      <c r="E457" s="78" t="str">
        <f t="shared" si="41"/>
        <v>Conforme</v>
      </c>
      <c r="F457" s="79" t="str">
        <f>Scopus!A64</f>
        <v>Conforme</v>
      </c>
      <c r="G457" s="79" t="str">
        <f t="shared" si="42"/>
        <v>Acerto</v>
      </c>
      <c r="H457" s="79" t="str">
        <f t="shared" si="43"/>
        <v>VP</v>
      </c>
      <c r="I457" s="79" t="str">
        <f>Scopus!C64</f>
        <v>Conforme</v>
      </c>
      <c r="J457" s="79" t="str">
        <f t="shared" si="44"/>
        <v>Acerto</v>
      </c>
      <c r="K457" s="79" t="str">
        <f t="shared" si="45"/>
        <v>VP</v>
      </c>
      <c r="L457" s="59"/>
      <c r="M457" s="59"/>
      <c r="N457" s="59"/>
      <c r="O457" s="59"/>
      <c r="P457" s="59"/>
      <c r="Q457" s="59"/>
      <c r="R457" s="59"/>
      <c r="S457" s="59"/>
      <c r="T457" s="59"/>
      <c r="U457" s="59"/>
      <c r="V457" s="59"/>
      <c r="W457" s="59"/>
      <c r="X457" s="59"/>
      <c r="Y457" s="59"/>
      <c r="Z457" s="59"/>
    </row>
    <row r="458">
      <c r="A458" s="76" t="s">
        <v>2608</v>
      </c>
      <c r="B458" s="77">
        <v>64.0</v>
      </c>
      <c r="C458" s="76" t="str">
        <f>Scopus!J65</f>
        <v>Digital transformation of transfer in universities</v>
      </c>
      <c r="D458" s="76" t="str">
        <f>Scopus!F65</f>
        <v>Inconforme</v>
      </c>
      <c r="E458" s="76" t="str">
        <f t="shared" si="41"/>
        <v>Inconforme</v>
      </c>
      <c r="F458" s="77" t="str">
        <f>Scopus!A65</f>
        <v>Inconforme</v>
      </c>
      <c r="G458" s="77" t="str">
        <f t="shared" si="42"/>
        <v>Acerto</v>
      </c>
      <c r="H458" s="77" t="str">
        <f t="shared" si="43"/>
        <v>VN</v>
      </c>
      <c r="I458" s="77" t="str">
        <f>Scopus!C65</f>
        <v>Inconforme</v>
      </c>
      <c r="J458" s="77" t="str">
        <f t="shared" si="44"/>
        <v>Acerto</v>
      </c>
      <c r="K458" s="77" t="str">
        <f t="shared" si="45"/>
        <v>VN</v>
      </c>
      <c r="L458" s="59"/>
      <c r="M458" s="59"/>
      <c r="N458" s="59"/>
      <c r="O458" s="59"/>
      <c r="P458" s="59"/>
      <c r="Q458" s="59"/>
      <c r="R458" s="59"/>
      <c r="S458" s="59"/>
      <c r="T458" s="59"/>
      <c r="U458" s="59"/>
      <c r="V458" s="59"/>
      <c r="W458" s="59"/>
      <c r="X458" s="59"/>
      <c r="Y458" s="59"/>
      <c r="Z458" s="59"/>
    </row>
    <row r="459">
      <c r="A459" s="78" t="s">
        <v>2608</v>
      </c>
      <c r="B459" s="79">
        <v>65.0</v>
      </c>
      <c r="C459" s="78" t="str">
        <f>Scopus!J66</f>
        <v>Triad of Digital Transformation: Holistic Orchestration for People, Process, and Technology</v>
      </c>
      <c r="D459" s="78" t="str">
        <f>Scopus!F66</f>
        <v>Inconforme</v>
      </c>
      <c r="E459" s="78" t="str">
        <f t="shared" si="41"/>
        <v>Inconforme</v>
      </c>
      <c r="F459" s="79" t="str">
        <f>Scopus!A66</f>
        <v>Inconforme</v>
      </c>
      <c r="G459" s="79" t="str">
        <f t="shared" si="42"/>
        <v>Acerto</v>
      </c>
      <c r="H459" s="79" t="str">
        <f t="shared" si="43"/>
        <v>VN</v>
      </c>
      <c r="I459" s="79" t="str">
        <f>Scopus!C66</f>
        <v>Inconforme</v>
      </c>
      <c r="J459" s="79" t="str">
        <f t="shared" si="44"/>
        <v>Acerto</v>
      </c>
      <c r="K459" s="79" t="str">
        <f t="shared" si="45"/>
        <v>VN</v>
      </c>
      <c r="L459" s="59"/>
      <c r="M459" s="59"/>
      <c r="N459" s="59"/>
      <c r="O459" s="59"/>
      <c r="P459" s="59"/>
      <c r="Q459" s="59"/>
      <c r="R459" s="59"/>
      <c r="S459" s="59"/>
      <c r="T459" s="59"/>
      <c r="U459" s="59"/>
      <c r="V459" s="59"/>
      <c r="W459" s="59"/>
      <c r="X459" s="59"/>
      <c r="Y459" s="59"/>
      <c r="Z459" s="59"/>
    </row>
    <row r="460">
      <c r="A460" s="76" t="s">
        <v>2608</v>
      </c>
      <c r="B460" s="77">
        <v>66.0</v>
      </c>
      <c r="C460" s="76" t="str">
        <f>Scopus!J67</f>
        <v>How Scenario Building supports Conceptual Modelling</v>
      </c>
      <c r="D460" s="76" t="str">
        <f>Scopus!F67</f>
        <v>Conforme</v>
      </c>
      <c r="E460" s="76" t="str">
        <f t="shared" si="41"/>
        <v>Conforme</v>
      </c>
      <c r="F460" s="77" t="str">
        <f>Scopus!A67</f>
        <v>Conforme</v>
      </c>
      <c r="G460" s="77" t="str">
        <f t="shared" si="42"/>
        <v>Acerto</v>
      </c>
      <c r="H460" s="77" t="str">
        <f t="shared" si="43"/>
        <v>VP</v>
      </c>
      <c r="I460" s="77" t="str">
        <f>Scopus!C67</f>
        <v>Inconforme</v>
      </c>
      <c r="J460" s="77" t="str">
        <f t="shared" si="44"/>
        <v>Divergência</v>
      </c>
      <c r="K460" s="77" t="str">
        <f t="shared" si="45"/>
        <v>FN</v>
      </c>
      <c r="L460" s="59"/>
      <c r="M460" s="59"/>
      <c r="N460" s="59"/>
      <c r="O460" s="59"/>
      <c r="P460" s="59"/>
      <c r="Q460" s="59"/>
      <c r="R460" s="59"/>
      <c r="S460" s="59"/>
      <c r="T460" s="59"/>
      <c r="U460" s="59"/>
      <c r="V460" s="59"/>
      <c r="W460" s="59"/>
      <c r="X460" s="59"/>
      <c r="Y460" s="59"/>
      <c r="Z460" s="59"/>
    </row>
    <row r="461">
      <c r="A461" s="78" t="s">
        <v>2608</v>
      </c>
      <c r="B461" s="79">
        <v>67.0</v>
      </c>
      <c r="C461" s="78" t="str">
        <f>Scopus!J68</f>
        <v>Digitization Process in a Changing Global Environment</v>
      </c>
      <c r="D461" s="78" t="str">
        <f>Scopus!F68</f>
        <v>Conforme</v>
      </c>
      <c r="E461" s="78" t="str">
        <f t="shared" si="41"/>
        <v>Conforme</v>
      </c>
      <c r="F461" s="79" t="str">
        <f>Scopus!A68</f>
        <v>Conforme</v>
      </c>
      <c r="G461" s="79" t="str">
        <f t="shared" si="42"/>
        <v>Acerto</v>
      </c>
      <c r="H461" s="79" t="str">
        <f t="shared" si="43"/>
        <v>VP</v>
      </c>
      <c r="I461" s="79" t="str">
        <f>Scopus!C68</f>
        <v>Conforme</v>
      </c>
      <c r="J461" s="79" t="str">
        <f t="shared" si="44"/>
        <v>Acerto</v>
      </c>
      <c r="K461" s="79" t="str">
        <f t="shared" si="45"/>
        <v>VP</v>
      </c>
      <c r="L461" s="59"/>
      <c r="M461" s="59"/>
      <c r="N461" s="59"/>
      <c r="O461" s="59"/>
      <c r="P461" s="59"/>
      <c r="Q461" s="59"/>
      <c r="R461" s="59"/>
      <c r="S461" s="59"/>
      <c r="T461" s="59"/>
      <c r="U461" s="59"/>
      <c r="V461" s="59"/>
      <c r="W461" s="59"/>
      <c r="X461" s="59"/>
      <c r="Y461" s="59"/>
      <c r="Z461" s="59"/>
    </row>
    <row r="462">
      <c r="A462" s="76" t="s">
        <v>2608</v>
      </c>
      <c r="B462" s="77">
        <v>68.0</v>
      </c>
      <c r="C462" s="76" t="str">
        <f>Scopus!J69</f>
        <v>Digital Transformation in Higher Education: Enhancing Processes with Capabilities Mapping and Automation</v>
      </c>
      <c r="D462" s="76" t="str">
        <f>Scopus!F69</f>
        <v>Inconforme -Artigos duplicados ou similares</v>
      </c>
      <c r="E462" s="76" t="str">
        <f t="shared" si="41"/>
        <v>Conforme</v>
      </c>
      <c r="F462" s="77" t="str">
        <f>Scopus!A69</f>
        <v>Inconforme</v>
      </c>
      <c r="G462" s="77" t="str">
        <f t="shared" si="42"/>
        <v>Divergência</v>
      </c>
      <c r="H462" s="77" t="str">
        <f t="shared" si="43"/>
        <v>FN</v>
      </c>
      <c r="I462" s="77" t="str">
        <f>Scopus!C69</f>
        <v>Conforme</v>
      </c>
      <c r="J462" s="77" t="str">
        <f t="shared" si="44"/>
        <v>Acerto</v>
      </c>
      <c r="K462" s="77" t="str">
        <f t="shared" si="45"/>
        <v>VP</v>
      </c>
      <c r="L462" s="59"/>
      <c r="M462" s="59"/>
      <c r="N462" s="59"/>
      <c r="O462" s="59"/>
      <c r="P462" s="59"/>
      <c r="Q462" s="59"/>
      <c r="R462" s="59"/>
      <c r="S462" s="59"/>
      <c r="T462" s="59"/>
      <c r="U462" s="59"/>
      <c r="V462" s="59"/>
      <c r="W462" s="59"/>
      <c r="X462" s="59"/>
      <c r="Y462" s="59"/>
      <c r="Z462" s="59"/>
    </row>
    <row r="463">
      <c r="A463" s="78" t="s">
        <v>2608</v>
      </c>
      <c r="B463" s="79">
        <v>69.0</v>
      </c>
      <c r="C463" s="78" t="str">
        <f>Scopus!J70</f>
        <v>From Automation to Autonomisation: How to Capitalise on Empowered Processes</v>
      </c>
      <c r="D463" s="78" t="str">
        <f>Scopus!F70</f>
        <v>Inconforme</v>
      </c>
      <c r="E463" s="78" t="str">
        <f t="shared" si="41"/>
        <v>Inconforme</v>
      </c>
      <c r="F463" s="79" t="str">
        <f>Scopus!A70</f>
        <v>Inconforme</v>
      </c>
      <c r="G463" s="79" t="str">
        <f t="shared" si="42"/>
        <v>Acerto</v>
      </c>
      <c r="H463" s="79" t="str">
        <f t="shared" si="43"/>
        <v>VN</v>
      </c>
      <c r="I463" s="79" t="str">
        <f>Scopus!C70</f>
        <v>Inconforme</v>
      </c>
      <c r="J463" s="79" t="str">
        <f t="shared" si="44"/>
        <v>Acerto</v>
      </c>
      <c r="K463" s="79" t="str">
        <f t="shared" si="45"/>
        <v>VN</v>
      </c>
      <c r="L463" s="59"/>
      <c r="M463" s="59"/>
      <c r="N463" s="59"/>
      <c r="O463" s="59"/>
      <c r="P463" s="59"/>
      <c r="Q463" s="59"/>
      <c r="R463" s="59"/>
      <c r="S463" s="59"/>
      <c r="T463" s="59"/>
      <c r="U463" s="59"/>
      <c r="V463" s="59"/>
      <c r="W463" s="59"/>
      <c r="X463" s="59"/>
      <c r="Y463" s="59"/>
      <c r="Z463" s="59"/>
    </row>
    <row r="464">
      <c r="A464" s="76" t="s">
        <v>2608</v>
      </c>
      <c r="B464" s="77">
        <v>70.0</v>
      </c>
      <c r="C464" s="76" t="str">
        <f>Scopus!J71</f>
        <v>Enhancing Clinical Risk Monitoring and Management in Healthcare through BPMN-Based Process Digitalization</v>
      </c>
      <c r="D464" s="76" t="str">
        <f>Scopus!F71</f>
        <v>Conforme</v>
      </c>
      <c r="E464" s="76" t="str">
        <f t="shared" si="41"/>
        <v>Conforme</v>
      </c>
      <c r="F464" s="77" t="str">
        <f>Scopus!A71</f>
        <v>Inconforme</v>
      </c>
      <c r="G464" s="77" t="str">
        <f t="shared" si="42"/>
        <v>Divergência</v>
      </c>
      <c r="H464" s="77" t="str">
        <f t="shared" si="43"/>
        <v>FN</v>
      </c>
      <c r="I464" s="77" t="str">
        <f>Scopus!C71</f>
        <v>Inconforme</v>
      </c>
      <c r="J464" s="77" t="str">
        <f t="shared" si="44"/>
        <v>Divergência</v>
      </c>
      <c r="K464" s="77" t="str">
        <f t="shared" si="45"/>
        <v>FN</v>
      </c>
      <c r="L464" s="59"/>
      <c r="M464" s="59"/>
      <c r="N464" s="59"/>
      <c r="O464" s="59"/>
      <c r="P464" s="59"/>
      <c r="Q464" s="59"/>
      <c r="R464" s="59"/>
      <c r="S464" s="59"/>
      <c r="T464" s="59"/>
      <c r="U464" s="59"/>
      <c r="V464" s="59"/>
      <c r="W464" s="59"/>
      <c r="X464" s="59"/>
      <c r="Y464" s="59"/>
      <c r="Z464" s="59"/>
    </row>
    <row r="465">
      <c r="A465" s="78" t="s">
        <v>2608</v>
      </c>
      <c r="B465" s="79">
        <v>71.0</v>
      </c>
      <c r="C465" s="78" t="str">
        <f>Scopus!J72</f>
        <v>On the composition of the long tail of business processes: Implications from a process mining study</v>
      </c>
      <c r="D465" s="78" t="str">
        <f>Scopus!F72</f>
        <v>Inconforme -Artigos duplicados ou similares</v>
      </c>
      <c r="E465" s="78" t="str">
        <f t="shared" si="41"/>
        <v>Conforme</v>
      </c>
      <c r="F465" s="79" t="str">
        <f>Scopus!A72</f>
        <v>Conforme</v>
      </c>
      <c r="G465" s="79" t="str">
        <f t="shared" si="42"/>
        <v>Acerto</v>
      </c>
      <c r="H465" s="79" t="str">
        <f t="shared" si="43"/>
        <v>VP</v>
      </c>
      <c r="I465" s="79" t="str">
        <f>Scopus!C72</f>
        <v>Conforme</v>
      </c>
      <c r="J465" s="79" t="str">
        <f t="shared" si="44"/>
        <v>Acerto</v>
      </c>
      <c r="K465" s="79" t="str">
        <f t="shared" si="45"/>
        <v>VP</v>
      </c>
      <c r="L465" s="59"/>
      <c r="M465" s="59"/>
      <c r="N465" s="59"/>
      <c r="O465" s="59"/>
      <c r="P465" s="59"/>
      <c r="Q465" s="59"/>
      <c r="R465" s="59"/>
      <c r="S465" s="59"/>
      <c r="T465" s="59"/>
      <c r="U465" s="59"/>
      <c r="V465" s="59"/>
      <c r="W465" s="59"/>
      <c r="X465" s="59"/>
      <c r="Y465" s="59"/>
      <c r="Z465" s="59"/>
    </row>
    <row r="466">
      <c r="A466" s="76" t="s">
        <v>2608</v>
      </c>
      <c r="B466" s="77">
        <v>72.0</v>
      </c>
      <c r="C466" s="76" t="str">
        <f>Scopus!J73</f>
        <v>Embracing Industry 4.0 paradigms for Digital Transformation at the Gran Telescopio Canarias</v>
      </c>
      <c r="D466" s="76" t="str">
        <f>Scopus!F73</f>
        <v>Inconforme</v>
      </c>
      <c r="E466" s="76" t="str">
        <f t="shared" si="41"/>
        <v>Inconforme</v>
      </c>
      <c r="F466" s="77" t="str">
        <f>Scopus!A73</f>
        <v>Conforme</v>
      </c>
      <c r="G466" s="77" t="str">
        <f t="shared" si="42"/>
        <v>Divergência</v>
      </c>
      <c r="H466" s="77" t="str">
        <f t="shared" si="43"/>
        <v>FP</v>
      </c>
      <c r="I466" s="77" t="str">
        <f>Scopus!C73</f>
        <v>Conforme</v>
      </c>
      <c r="J466" s="77" t="str">
        <f t="shared" si="44"/>
        <v>Divergência</v>
      </c>
      <c r="K466" s="77" t="str">
        <f t="shared" si="45"/>
        <v>FP</v>
      </c>
      <c r="L466" s="59"/>
      <c r="M466" s="59"/>
      <c r="N466" s="59"/>
      <c r="O466" s="59"/>
      <c r="P466" s="59"/>
      <c r="Q466" s="59"/>
      <c r="R466" s="59"/>
      <c r="S466" s="59"/>
      <c r="T466" s="59"/>
      <c r="U466" s="59"/>
      <c r="V466" s="59"/>
      <c r="W466" s="59"/>
      <c r="X466" s="59"/>
      <c r="Y466" s="59"/>
      <c r="Z466" s="59"/>
    </row>
    <row r="467">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row>
    <row r="468">
      <c r="A468" s="62" t="s">
        <v>2609</v>
      </c>
      <c r="B468" s="57"/>
      <c r="C468" s="57"/>
      <c r="D468" s="57"/>
      <c r="E468" s="57"/>
      <c r="F468" s="57"/>
      <c r="G468" s="57"/>
      <c r="H468" s="57"/>
      <c r="I468" s="57"/>
      <c r="J468" s="57"/>
      <c r="K468" s="58"/>
      <c r="L468" s="59"/>
      <c r="M468" s="59"/>
      <c r="N468" s="59"/>
      <c r="O468" s="59"/>
      <c r="P468" s="59"/>
      <c r="Q468" s="59"/>
      <c r="R468" s="59"/>
      <c r="S468" s="59"/>
      <c r="T468" s="59"/>
      <c r="U468" s="59"/>
      <c r="V468" s="59"/>
      <c r="W468" s="59"/>
      <c r="X468" s="59"/>
      <c r="Y468" s="59"/>
      <c r="Z468" s="59"/>
    </row>
    <row r="469">
      <c r="A469" s="82" t="s">
        <v>2610</v>
      </c>
      <c r="B469" s="83" t="s">
        <v>2611</v>
      </c>
      <c r="C469" s="57"/>
      <c r="D469" s="57"/>
      <c r="E469" s="57"/>
      <c r="F469" s="57"/>
      <c r="G469" s="57"/>
      <c r="H469" s="57"/>
      <c r="I469" s="57"/>
      <c r="J469" s="57"/>
      <c r="K469" s="58"/>
      <c r="L469" s="59"/>
      <c r="M469" s="59"/>
      <c r="N469" s="59"/>
      <c r="O469" s="59"/>
      <c r="P469" s="59"/>
      <c r="Q469" s="59"/>
      <c r="R469" s="59"/>
      <c r="S469" s="59"/>
      <c r="T469" s="59"/>
      <c r="U469" s="59"/>
      <c r="V469" s="59"/>
      <c r="W469" s="59"/>
      <c r="X469" s="59"/>
      <c r="Y469" s="59"/>
      <c r="Z469" s="59"/>
    </row>
    <row r="470">
      <c r="A470" s="84" t="s">
        <v>2612</v>
      </c>
      <c r="B470" s="85" t="s">
        <v>2613</v>
      </c>
      <c r="C470" s="57"/>
      <c r="D470" s="57"/>
      <c r="E470" s="57"/>
      <c r="F470" s="57"/>
      <c r="G470" s="57"/>
      <c r="H470" s="57"/>
      <c r="I470" s="57"/>
      <c r="J470" s="57"/>
      <c r="K470" s="58"/>
      <c r="L470" s="59"/>
      <c r="M470" s="59"/>
      <c r="N470" s="59"/>
      <c r="O470" s="59"/>
      <c r="P470" s="59"/>
      <c r="Q470" s="59"/>
      <c r="R470" s="59"/>
      <c r="S470" s="59"/>
      <c r="T470" s="59"/>
      <c r="U470" s="59"/>
      <c r="V470" s="59"/>
      <c r="W470" s="59"/>
      <c r="X470" s="59"/>
      <c r="Y470" s="59"/>
      <c r="Z470" s="59"/>
    </row>
    <row r="471">
      <c r="A471" s="82" t="s">
        <v>2614</v>
      </c>
      <c r="B471" s="83" t="s">
        <v>2615</v>
      </c>
      <c r="C471" s="57"/>
      <c r="D471" s="57"/>
      <c r="E471" s="57"/>
      <c r="F471" s="57"/>
      <c r="G471" s="57"/>
      <c r="H471" s="57"/>
      <c r="I471" s="57"/>
      <c r="J471" s="57"/>
      <c r="K471" s="58"/>
      <c r="L471" s="59"/>
      <c r="M471" s="59"/>
      <c r="N471" s="59"/>
      <c r="O471" s="59"/>
      <c r="P471" s="59"/>
      <c r="Q471" s="59"/>
      <c r="R471" s="59"/>
      <c r="S471" s="59"/>
      <c r="T471" s="59"/>
      <c r="U471" s="59"/>
      <c r="V471" s="59"/>
      <c r="W471" s="59"/>
      <c r="X471" s="59"/>
      <c r="Y471" s="59"/>
      <c r="Z471" s="59"/>
    </row>
    <row r="472">
      <c r="A472" s="84" t="s">
        <v>2616</v>
      </c>
      <c r="B472" s="85" t="s">
        <v>2617</v>
      </c>
      <c r="C472" s="57"/>
      <c r="D472" s="57"/>
      <c r="E472" s="57"/>
      <c r="F472" s="57"/>
      <c r="G472" s="57"/>
      <c r="H472" s="57"/>
      <c r="I472" s="57"/>
      <c r="J472" s="57"/>
      <c r="K472" s="58"/>
      <c r="L472" s="59"/>
      <c r="M472" s="59"/>
      <c r="N472" s="59"/>
      <c r="O472" s="59"/>
      <c r="P472" s="59"/>
      <c r="Q472" s="59"/>
      <c r="R472" s="59"/>
      <c r="S472" s="59"/>
      <c r="T472" s="59"/>
      <c r="U472" s="59"/>
      <c r="V472" s="59"/>
      <c r="W472" s="59"/>
      <c r="X472" s="59"/>
      <c r="Y472" s="59"/>
      <c r="Z472" s="59"/>
    </row>
    <row r="473">
      <c r="A473" s="82" t="s">
        <v>2618</v>
      </c>
      <c r="B473" s="83" t="s">
        <v>2619</v>
      </c>
      <c r="C473" s="57"/>
      <c r="D473" s="57"/>
      <c r="E473" s="57"/>
      <c r="F473" s="57"/>
      <c r="G473" s="57"/>
      <c r="H473" s="57"/>
      <c r="I473" s="57"/>
      <c r="J473" s="57"/>
      <c r="K473" s="58"/>
      <c r="L473" s="59"/>
      <c r="M473" s="59"/>
      <c r="N473" s="59"/>
      <c r="O473" s="59"/>
      <c r="P473" s="59"/>
      <c r="Q473" s="59"/>
      <c r="R473" s="59"/>
      <c r="S473" s="59"/>
      <c r="T473" s="59"/>
      <c r="U473" s="59"/>
      <c r="V473" s="59"/>
      <c r="W473" s="59"/>
      <c r="X473" s="59"/>
      <c r="Y473" s="59"/>
      <c r="Z473" s="59"/>
    </row>
    <row r="474">
      <c r="A474" s="84" t="s">
        <v>2620</v>
      </c>
      <c r="B474" s="85" t="s">
        <v>2621</v>
      </c>
      <c r="C474" s="57"/>
      <c r="D474" s="57"/>
      <c r="E474" s="57"/>
      <c r="F474" s="57"/>
      <c r="G474" s="57"/>
      <c r="H474" s="57"/>
      <c r="I474" s="57"/>
      <c r="J474" s="57"/>
      <c r="K474" s="58"/>
      <c r="L474" s="59"/>
      <c r="M474" s="59"/>
      <c r="N474" s="59"/>
      <c r="O474" s="59"/>
      <c r="P474" s="59"/>
      <c r="Q474" s="59"/>
      <c r="R474" s="59"/>
      <c r="S474" s="59"/>
      <c r="T474" s="59"/>
      <c r="U474" s="59"/>
      <c r="V474" s="59"/>
      <c r="W474" s="59"/>
      <c r="X474" s="59"/>
      <c r="Y474" s="59"/>
      <c r="Z474" s="59"/>
    </row>
    <row r="475">
      <c r="A475" s="82" t="s">
        <v>2622</v>
      </c>
      <c r="B475" s="83" t="s">
        <v>2623</v>
      </c>
      <c r="C475" s="57"/>
      <c r="D475" s="57"/>
      <c r="E475" s="57"/>
      <c r="F475" s="57"/>
      <c r="G475" s="57"/>
      <c r="H475" s="57"/>
      <c r="I475" s="57"/>
      <c r="J475" s="57"/>
      <c r="K475" s="58"/>
      <c r="L475" s="59"/>
      <c r="M475" s="59"/>
      <c r="N475" s="59"/>
      <c r="O475" s="59"/>
      <c r="P475" s="59"/>
      <c r="Q475" s="59"/>
      <c r="R475" s="59"/>
      <c r="S475" s="59"/>
      <c r="T475" s="59"/>
      <c r="U475" s="59"/>
      <c r="V475" s="59"/>
      <c r="W475" s="59"/>
      <c r="X475" s="59"/>
      <c r="Y475" s="59"/>
      <c r="Z475" s="59"/>
    </row>
    <row r="476">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row>
    <row r="477">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row>
    <row r="478">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row>
    <row r="479">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row>
    <row r="480">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row>
    <row r="481">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row>
    <row r="482">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row>
    <row r="483">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row>
    <row r="484">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row>
    <row r="485">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row>
    <row r="486">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row>
    <row r="487">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row>
    <row r="488">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row>
    <row r="489">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row>
    <row r="490">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row>
    <row r="491">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row>
    <row r="492">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row>
    <row r="493">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row>
    <row r="494">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row>
    <row r="495">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row>
    <row r="496">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row>
    <row r="497">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row>
    <row r="498">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row>
    <row r="499">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row>
    <row r="500">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row>
    <row r="501">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row>
    <row r="502">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row>
    <row r="503">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row>
    <row r="504">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row>
    <row r="505">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row>
    <row r="506">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row>
    <row r="507">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row>
    <row r="508">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row>
    <row r="509">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row>
    <row r="510">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row>
    <row r="511">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row>
    <row r="512">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row>
    <row r="513">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row>
    <row r="514">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row>
    <row r="515">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row>
    <row r="516">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row>
    <row r="517">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row>
    <row r="518">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row>
    <row r="519">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row>
    <row r="520">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row>
    <row r="521">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row>
    <row r="522">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row>
    <row r="523">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row>
    <row r="524">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row>
    <row r="525">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row>
    <row r="526">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row>
    <row r="527">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row>
    <row r="528">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row>
    <row r="529">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row>
    <row r="530">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row>
    <row r="531">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row>
    <row r="532">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row>
    <row r="533">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row>
    <row r="534">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row>
    <row r="535">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row>
    <row r="536">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row>
    <row r="537">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row>
    <row r="538">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row>
    <row r="539">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row>
    <row r="540">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row>
    <row r="541">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row>
    <row r="542">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row>
    <row r="543">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row>
    <row r="544">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row>
    <row r="545">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row>
    <row r="546">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row>
    <row r="547">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row>
    <row r="548">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row>
    <row r="549">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row>
    <row r="550">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row>
    <row r="551">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row>
    <row r="552">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row>
    <row r="553">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row>
    <row r="554">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row>
    <row r="555">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row>
    <row r="556">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row>
    <row r="557">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row>
    <row r="558">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row>
    <row r="559">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row>
    <row r="560">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row>
    <row r="561">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row>
    <row r="562">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row>
    <row r="563">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row>
    <row r="564">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row>
    <row r="565">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row>
    <row r="566">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row>
    <row r="567">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row>
    <row r="568">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row>
    <row r="569">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row>
    <row r="570">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row>
    <row r="571">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row>
    <row r="572">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row>
    <row r="573">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row>
    <row r="574">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row>
    <row r="575">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row>
    <row r="576">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row>
    <row r="577">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row>
    <row r="578">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row>
    <row r="579">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row>
    <row r="580">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row>
    <row r="581">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row>
    <row r="582">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row>
    <row r="583">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row>
    <row r="584">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row>
    <row r="585">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row>
    <row r="586">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row>
    <row r="587">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row>
    <row r="588">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row>
    <row r="589">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row>
    <row r="590">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row>
    <row r="591">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row>
    <row r="592">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row>
    <row r="593">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row>
    <row r="594">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row>
    <row r="595">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row>
    <row r="596">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row>
    <row r="597">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row>
    <row r="598">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row>
    <row r="599">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row>
    <row r="600">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row>
    <row r="601">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row>
    <row r="602">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row>
    <row r="603">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row>
    <row r="604">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row>
    <row r="605">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row>
    <row r="606">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row>
    <row r="607">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row>
    <row r="608">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row>
    <row r="609">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row>
    <row r="610">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row>
    <row r="611">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row>
    <row r="612">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row>
    <row r="613">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row>
    <row r="614">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row>
    <row r="615">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row>
    <row r="616">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row>
    <row r="617">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row>
    <row r="618">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row>
    <row r="619">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row>
    <row r="620">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row>
    <row r="621">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row>
    <row r="622">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row>
    <row r="623">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row>
    <row r="624">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row>
    <row r="625">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row>
    <row r="626">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row>
    <row r="627">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row>
    <row r="628">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row>
    <row r="629">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row>
    <row r="630">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row>
    <row r="631">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row>
    <row r="632">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row>
    <row r="633">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row>
    <row r="634">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row>
    <row r="635">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row>
    <row r="636">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row>
    <row r="637">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row>
    <row r="638">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row>
    <row r="639">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row>
    <row r="640">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row>
    <row r="641">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row>
    <row r="642">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row>
    <row r="643">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row>
    <row r="644">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row>
    <row r="645">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row>
    <row r="646">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row>
    <row r="647">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row>
    <row r="648">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row>
    <row r="649">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row>
    <row r="650">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row>
    <row r="651">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row>
    <row r="652">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row>
    <row r="653">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row>
    <row r="654">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row>
    <row r="655">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row>
    <row r="656">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row>
    <row r="657">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row>
    <row r="658">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row>
    <row r="659">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row>
    <row r="660">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row>
    <row r="661">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row>
    <row r="662">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row>
    <row r="663">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row>
    <row r="664">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row>
    <row r="665">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row>
    <row r="666">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row>
    <row r="667">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row>
    <row r="668">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row>
    <row r="669">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row>
    <row r="670">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row>
    <row r="671">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row>
    <row r="672">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row>
    <row r="673">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row>
    <row r="674">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row>
    <row r="675">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row>
    <row r="676">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row>
    <row r="677">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row>
    <row r="678">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row>
    <row r="679">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row>
    <row r="680">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row>
    <row r="681">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row>
    <row r="682">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row>
    <row r="683">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row>
    <row r="684">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row>
    <row r="685">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row>
    <row r="686">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row>
    <row r="687">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row>
    <row r="688">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row>
    <row r="689">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row>
    <row r="690">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row>
    <row r="691">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row>
    <row r="692">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row>
    <row r="693">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row>
    <row r="694">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row>
    <row r="695">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row>
    <row r="696">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row>
    <row r="697">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row>
    <row r="698">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row>
    <row r="699">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row>
    <row r="700">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row>
    <row r="701">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row>
    <row r="702">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row>
    <row r="703">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row>
    <row r="704">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row>
    <row r="705">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row>
    <row r="706">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row>
    <row r="707">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row>
    <row r="708">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row>
    <row r="709">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row>
    <row r="710">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row>
    <row r="711">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row>
    <row r="712">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row>
    <row r="713">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row>
    <row r="714">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row>
    <row r="715">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row>
    <row r="716">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row>
    <row r="717">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row>
    <row r="718">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row>
    <row r="719">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row>
    <row r="720">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row>
    <row r="721">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row>
    <row r="722">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row>
    <row r="723">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row>
    <row r="724">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row>
    <row r="725">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row>
    <row r="726">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row>
    <row r="727">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row>
    <row r="728">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row>
    <row r="729">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row>
    <row r="730">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row>
    <row r="731">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row>
    <row r="732">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row>
    <row r="733">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row>
    <row r="734">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row>
    <row r="735">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row>
    <row r="736">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row>
    <row r="737">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row>
    <row r="738">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row>
    <row r="739">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row>
    <row r="740">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row>
    <row r="741">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row>
    <row r="742">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row>
    <row r="743">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row>
    <row r="744">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row>
    <row r="745">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row>
    <row r="746">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row>
    <row r="747">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row>
    <row r="748">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row>
    <row r="749">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row>
    <row r="750">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row>
    <row r="751">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row>
    <row r="752">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row>
    <row r="753">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row>
    <row r="754">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row>
    <row r="755">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row>
    <row r="756">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row>
    <row r="757">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row>
    <row r="758">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row>
    <row r="759">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row>
    <row r="760">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row>
    <row r="761">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row>
    <row r="762">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row>
    <row r="763">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row>
    <row r="764">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row>
    <row r="765">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row>
    <row r="766">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row>
    <row r="767">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row>
    <row r="768">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row>
    <row r="769">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row>
    <row r="770">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row>
    <row r="771">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row>
    <row r="772">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row>
    <row r="773">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row>
    <row r="774">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row>
    <row r="775">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row>
    <row r="776">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row>
    <row r="777">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row>
    <row r="778">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row>
    <row r="779">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row>
    <row r="780">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row>
    <row r="781">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row>
    <row r="782">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row>
    <row r="783">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row>
    <row r="784">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row>
    <row r="785">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row>
    <row r="786">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row>
    <row r="787">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row>
    <row r="788">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row>
    <row r="789">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row>
    <row r="790">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row>
    <row r="791">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row>
    <row r="792">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row>
    <row r="793">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row>
    <row r="794">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row>
    <row r="795">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row>
    <row r="796">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row>
    <row r="797">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row>
    <row r="798">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row>
    <row r="799">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row>
    <row r="800">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row>
    <row r="801">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row>
    <row r="802">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row>
    <row r="803">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row>
    <row r="804">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row>
    <row r="805">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row>
    <row r="806">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row>
    <row r="807">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row>
    <row r="808">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row>
    <row r="809">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row>
    <row r="810">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row>
    <row r="811">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row>
    <row r="812">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row>
    <row r="813">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row>
    <row r="814">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row>
    <row r="815">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row>
    <row r="816">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row>
    <row r="817">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row>
    <row r="818">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row>
    <row r="819">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row>
    <row r="820">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row>
    <row r="821">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row>
    <row r="822">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row>
    <row r="823">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row>
    <row r="824">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row>
    <row r="825">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row>
    <row r="826">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row>
    <row r="827">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row>
    <row r="828">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row>
    <row r="829">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row>
    <row r="830">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row>
    <row r="831">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row>
    <row r="832">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row>
    <row r="833">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row>
    <row r="834">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row>
    <row r="835">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row>
    <row r="836">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row>
    <row r="837">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row>
    <row r="838">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row>
    <row r="839">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row>
    <row r="840">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row>
    <row r="841">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row>
    <row r="842">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row>
    <row r="843">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row>
    <row r="844">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row>
    <row r="845">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row>
    <row r="846">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row>
    <row r="847">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row>
    <row r="848">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row>
    <row r="849">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row>
    <row r="850">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row>
    <row r="851">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row>
    <row r="852">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row>
    <row r="853">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row>
    <row r="854">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row>
    <row r="855">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row>
    <row r="856">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row>
    <row r="857">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row>
    <row r="858">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row>
    <row r="859">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row>
    <row r="860">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row>
    <row r="861">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row>
    <row r="862">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row>
    <row r="863">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row>
    <row r="864">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row>
    <row r="865">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row>
    <row r="866">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row>
    <row r="867">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row>
    <row r="868">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row>
    <row r="869">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row>
    <row r="870">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row>
    <row r="871">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row>
    <row r="872">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row>
    <row r="873">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row>
    <row r="874">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row>
    <row r="875">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row>
    <row r="876">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row>
    <row r="877">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row>
    <row r="878">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row>
    <row r="879">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row>
    <row r="880">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row>
    <row r="881">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row>
    <row r="882">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row>
    <row r="883">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row>
    <row r="884">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row>
    <row r="885">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row>
    <row r="886">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row>
    <row r="887">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row>
    <row r="888">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row>
    <row r="889">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row>
    <row r="890">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row>
    <row r="891">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row>
    <row r="892">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row>
    <row r="893">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row>
    <row r="894">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row>
    <row r="895">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row>
    <row r="896">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row>
    <row r="897">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row>
    <row r="898">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row>
    <row r="899">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row>
    <row r="900">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row>
    <row r="901">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row>
    <row r="902">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row>
    <row r="903">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row>
    <row r="904">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row>
    <row r="905">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row>
    <row r="906">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row>
    <row r="907">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row>
    <row r="908">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row>
    <row r="909">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row>
    <row r="910">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row>
    <row r="911">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row>
    <row r="912">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row>
    <row r="913">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row>
    <row r="914">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row>
    <row r="915">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row>
    <row r="916">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row>
    <row r="917">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row>
    <row r="918">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row>
    <row r="919">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row>
    <row r="920">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row>
    <row r="921">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row>
    <row r="922">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row>
    <row r="923">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row>
    <row r="924">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row>
    <row r="925">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row>
    <row r="926">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row>
    <row r="927">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row>
    <row r="928">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row>
    <row r="929">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row>
    <row r="930">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row>
    <row r="931">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row>
    <row r="932">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row>
    <row r="933">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row>
    <row r="934">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row>
    <row r="935">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row>
    <row r="936">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row>
    <row r="937">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row>
    <row r="938">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row>
    <row r="939">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row>
    <row r="940">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row>
    <row r="941">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row>
    <row r="942">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row>
    <row r="943">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row>
    <row r="944">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row>
    <row r="945">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row>
    <row r="946">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row>
    <row r="947">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row>
    <row r="948">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row>
    <row r="949">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row>
    <row r="950">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row>
    <row r="951">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row>
    <row r="952">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row>
    <row r="953">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row>
    <row r="954">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row>
    <row r="955">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row>
    <row r="956">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row>
    <row r="957">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row>
    <row r="958">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row>
    <row r="959">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row>
    <row r="960">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row>
    <row r="961">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row>
    <row r="962">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row>
    <row r="963">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row>
    <row r="964">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row>
    <row r="965">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row>
    <row r="966">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row>
    <row r="967">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row>
    <row r="968">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row>
    <row r="969">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row>
    <row r="970">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row>
    <row r="971">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row>
    <row r="972">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row>
    <row r="973">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row>
    <row r="974">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row>
    <row r="975">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row>
    <row r="976">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row>
    <row r="977">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row>
    <row r="978">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row>
    <row r="979">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row>
    <row r="980">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row>
    <row r="981">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row>
    <row r="982">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row>
    <row r="983">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row>
    <row r="984">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row>
    <row r="985">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row>
    <row r="986">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row>
    <row r="987">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row>
    <row r="988">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row>
    <row r="989">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row>
    <row r="990">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row>
    <row r="991">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row>
    <row r="992">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row>
    <row r="993">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row>
    <row r="994">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row>
    <row r="995">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row>
    <row r="996">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row>
    <row r="997">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row>
    <row r="998">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row>
    <row r="999">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row>
  </sheetData>
  <mergeCells count="18">
    <mergeCell ref="A1:K1"/>
    <mergeCell ref="A2:K2"/>
    <mergeCell ref="A3:K3"/>
    <mergeCell ref="A5:C5"/>
    <mergeCell ref="A26:C26"/>
    <mergeCell ref="A47:C47"/>
    <mergeCell ref="A68:C68"/>
    <mergeCell ref="B472:K472"/>
    <mergeCell ref="B473:K473"/>
    <mergeCell ref="B474:K474"/>
    <mergeCell ref="B475:K475"/>
    <mergeCell ref="A89:C89"/>
    <mergeCell ref="A111:C111"/>
    <mergeCell ref="A126:K126"/>
    <mergeCell ref="A468:K468"/>
    <mergeCell ref="B469:K469"/>
    <mergeCell ref="B470:K470"/>
    <mergeCell ref="B471:K47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86" t="s">
        <v>2624</v>
      </c>
      <c r="B1" s="87" t="s">
        <v>2625</v>
      </c>
      <c r="C1" s="87" t="s">
        <v>2626</v>
      </c>
      <c r="D1" s="87" t="s">
        <v>2627</v>
      </c>
      <c r="E1" s="87" t="s">
        <v>2628</v>
      </c>
      <c r="F1" s="87" t="s">
        <v>2629</v>
      </c>
      <c r="G1" s="88" t="s">
        <v>2630</v>
      </c>
      <c r="H1" s="88" t="s">
        <v>2631</v>
      </c>
      <c r="I1" s="89" t="s">
        <v>2107</v>
      </c>
      <c r="J1" s="90" t="s">
        <v>2632</v>
      </c>
      <c r="K1" s="89" t="s">
        <v>2633</v>
      </c>
      <c r="L1" s="89" t="s">
        <v>2634</v>
      </c>
      <c r="M1" s="89" t="s">
        <v>2635</v>
      </c>
      <c r="N1" s="89" t="s">
        <v>2636</v>
      </c>
      <c r="O1" s="91" t="s">
        <v>2637</v>
      </c>
      <c r="P1" s="88"/>
    </row>
    <row r="2">
      <c r="A2" s="92">
        <f t="shared" ref="A2:A87" si="1">SUM(B2:F2)</f>
        <v>3.5</v>
      </c>
      <c r="B2" s="93">
        <v>0.5</v>
      </c>
      <c r="C2" s="93">
        <v>1.0</v>
      </c>
      <c r="D2" s="93">
        <v>1.0</v>
      </c>
      <c r="E2" s="93">
        <v>0.5</v>
      </c>
      <c r="F2" s="93">
        <v>0.5</v>
      </c>
      <c r="G2" s="94"/>
      <c r="H2" s="94"/>
      <c r="I2" s="10" t="s">
        <v>2638</v>
      </c>
      <c r="J2" s="41" t="s">
        <v>24</v>
      </c>
      <c r="K2" s="9" t="s">
        <v>22</v>
      </c>
      <c r="L2" s="9" t="s">
        <v>23</v>
      </c>
      <c r="M2" s="9">
        <v>2025.0</v>
      </c>
      <c r="N2" s="9">
        <v>32.0</v>
      </c>
      <c r="O2" s="95" t="s">
        <v>2604</v>
      </c>
      <c r="P2" s="59"/>
    </row>
    <row r="3">
      <c r="A3" s="92">
        <f t="shared" si="1"/>
        <v>5</v>
      </c>
      <c r="B3" s="93">
        <v>1.0</v>
      </c>
      <c r="C3" s="93">
        <v>1.0</v>
      </c>
      <c r="D3" s="93">
        <v>1.0</v>
      </c>
      <c r="E3" s="93">
        <v>1.0</v>
      </c>
      <c r="F3" s="93">
        <v>1.0</v>
      </c>
      <c r="G3" s="94"/>
      <c r="H3" s="94"/>
      <c r="I3" s="10" t="s">
        <v>2639</v>
      </c>
      <c r="J3" s="41" t="s">
        <v>31</v>
      </c>
      <c r="K3" s="9" t="s">
        <v>30</v>
      </c>
      <c r="L3" s="9" t="s">
        <v>23</v>
      </c>
      <c r="M3" s="9">
        <v>2024.0</v>
      </c>
      <c r="N3" s="9">
        <f>-(585-605)</f>
        <v>20</v>
      </c>
      <c r="O3" s="95" t="s">
        <v>2604</v>
      </c>
      <c r="P3" s="59"/>
    </row>
    <row r="4">
      <c r="A4" s="92">
        <f t="shared" si="1"/>
        <v>5</v>
      </c>
      <c r="B4" s="93">
        <v>1.0</v>
      </c>
      <c r="C4" s="93">
        <v>1.0</v>
      </c>
      <c r="D4" s="93">
        <v>1.0</v>
      </c>
      <c r="E4" s="93">
        <v>1.0</v>
      </c>
      <c r="F4" s="93">
        <v>1.0</v>
      </c>
      <c r="G4" s="94"/>
      <c r="H4" s="96"/>
      <c r="I4" s="10" t="s">
        <v>2640</v>
      </c>
      <c r="J4" s="41" t="s">
        <v>39</v>
      </c>
      <c r="K4" s="9" t="s">
        <v>38</v>
      </c>
      <c r="L4" s="9" t="s">
        <v>23</v>
      </c>
      <c r="M4" s="9">
        <v>2025.0</v>
      </c>
      <c r="N4" s="9">
        <f>-(823-840)</f>
        <v>17</v>
      </c>
      <c r="O4" s="95" t="s">
        <v>2604</v>
      </c>
      <c r="P4" s="59"/>
    </row>
    <row r="5">
      <c r="A5" s="92">
        <f t="shared" si="1"/>
        <v>5</v>
      </c>
      <c r="B5" s="93">
        <v>1.0</v>
      </c>
      <c r="C5" s="93">
        <v>1.0</v>
      </c>
      <c r="D5" s="93">
        <v>1.0</v>
      </c>
      <c r="E5" s="93">
        <v>1.0</v>
      </c>
      <c r="F5" s="93">
        <v>1.0</v>
      </c>
      <c r="G5" s="94"/>
      <c r="H5" s="96"/>
      <c r="I5" s="10" t="s">
        <v>2641</v>
      </c>
      <c r="J5" s="41" t="s">
        <v>76</v>
      </c>
      <c r="K5" s="9" t="s">
        <v>75</v>
      </c>
      <c r="L5" s="9" t="s">
        <v>23</v>
      </c>
      <c r="M5" s="9">
        <v>2024.0</v>
      </c>
      <c r="N5" s="9">
        <f>-(457-500)</f>
        <v>43</v>
      </c>
      <c r="O5" s="95" t="s">
        <v>2604</v>
      </c>
      <c r="P5" s="59"/>
    </row>
    <row r="6">
      <c r="A6" s="92">
        <f t="shared" si="1"/>
        <v>3.5</v>
      </c>
      <c r="B6" s="93">
        <v>0.5</v>
      </c>
      <c r="C6" s="93">
        <v>1.0</v>
      </c>
      <c r="D6" s="93">
        <v>1.0</v>
      </c>
      <c r="E6" s="93">
        <v>0.5</v>
      </c>
      <c r="F6" s="93">
        <v>0.5</v>
      </c>
      <c r="G6" s="94"/>
      <c r="H6" s="96"/>
      <c r="I6" s="10" t="s">
        <v>2642</v>
      </c>
      <c r="J6" s="41" t="s">
        <v>115</v>
      </c>
      <c r="K6" s="9" t="s">
        <v>114</v>
      </c>
      <c r="L6" s="9" t="s">
        <v>23</v>
      </c>
      <c r="M6" s="9">
        <v>2022.0</v>
      </c>
      <c r="N6" s="9">
        <f>-(845-862)</f>
        <v>17</v>
      </c>
      <c r="O6" s="95" t="s">
        <v>2604</v>
      </c>
      <c r="P6" s="59"/>
    </row>
    <row r="7">
      <c r="A7" s="92">
        <f t="shared" si="1"/>
        <v>3.5</v>
      </c>
      <c r="B7" s="93">
        <v>0.5</v>
      </c>
      <c r="C7" s="93">
        <v>1.0</v>
      </c>
      <c r="D7" s="93">
        <v>1.0</v>
      </c>
      <c r="E7" s="93">
        <v>0.5</v>
      </c>
      <c r="F7" s="93">
        <v>0.5</v>
      </c>
      <c r="G7" s="94"/>
      <c r="H7" s="96"/>
      <c r="I7" s="10" t="s">
        <v>2643</v>
      </c>
      <c r="J7" s="41" t="s">
        <v>218</v>
      </c>
      <c r="K7" s="9" t="s">
        <v>217</v>
      </c>
      <c r="L7" s="9" t="s">
        <v>23</v>
      </c>
      <c r="M7" s="9">
        <v>2022.0</v>
      </c>
      <c r="N7" s="9">
        <f>-(171-198)</f>
        <v>27</v>
      </c>
      <c r="O7" s="95" t="s">
        <v>2604</v>
      </c>
      <c r="P7" s="59"/>
    </row>
    <row r="8">
      <c r="A8" s="92">
        <f t="shared" si="1"/>
        <v>5</v>
      </c>
      <c r="B8" s="95">
        <v>1.0</v>
      </c>
      <c r="C8" s="95">
        <v>1.0</v>
      </c>
      <c r="D8" s="95">
        <v>1.0</v>
      </c>
      <c r="E8" s="95">
        <v>1.0</v>
      </c>
      <c r="F8" s="95">
        <v>1.0</v>
      </c>
      <c r="G8" s="94"/>
      <c r="H8" s="96"/>
      <c r="I8" s="10" t="s">
        <v>2644</v>
      </c>
      <c r="J8" s="41" t="s">
        <v>226</v>
      </c>
      <c r="K8" s="9" t="s">
        <v>225</v>
      </c>
      <c r="L8" s="9" t="s">
        <v>23</v>
      </c>
      <c r="M8" s="9">
        <v>2026.0</v>
      </c>
      <c r="N8" s="9">
        <f>-(95-122)</f>
        <v>27</v>
      </c>
      <c r="O8" s="95" t="s">
        <v>2604</v>
      </c>
      <c r="P8" s="59"/>
    </row>
    <row r="9">
      <c r="A9" s="92">
        <f t="shared" si="1"/>
        <v>5</v>
      </c>
      <c r="B9" s="95">
        <v>1.0</v>
      </c>
      <c r="C9" s="95">
        <v>1.0</v>
      </c>
      <c r="D9" s="95">
        <v>1.0</v>
      </c>
      <c r="E9" s="95">
        <v>1.0</v>
      </c>
      <c r="F9" s="95">
        <v>1.0</v>
      </c>
      <c r="G9" s="94"/>
      <c r="H9" s="96"/>
      <c r="I9" s="10" t="s">
        <v>2645</v>
      </c>
      <c r="J9" s="41" t="s">
        <v>250</v>
      </c>
      <c r="K9" s="9" t="s">
        <v>249</v>
      </c>
      <c r="L9" s="9" t="s">
        <v>23</v>
      </c>
      <c r="M9" s="9">
        <v>2024.0</v>
      </c>
      <c r="N9" s="9">
        <f>-(501-525)</f>
        <v>24</v>
      </c>
      <c r="O9" s="95" t="s">
        <v>2604</v>
      </c>
      <c r="P9" s="59"/>
    </row>
    <row r="10">
      <c r="A10" s="92">
        <f t="shared" si="1"/>
        <v>4.5</v>
      </c>
      <c r="B10" s="93">
        <v>1.0</v>
      </c>
      <c r="C10" s="93">
        <v>1.0</v>
      </c>
      <c r="D10" s="93">
        <v>1.0</v>
      </c>
      <c r="E10" s="93">
        <v>0.5</v>
      </c>
      <c r="F10" s="93">
        <v>1.0</v>
      </c>
      <c r="G10" s="94"/>
      <c r="H10" s="96"/>
      <c r="I10" s="10" t="s">
        <v>2646</v>
      </c>
      <c r="J10" s="41" t="s">
        <v>258</v>
      </c>
      <c r="K10" s="9" t="s">
        <v>257</v>
      </c>
      <c r="L10" s="9" t="s">
        <v>23</v>
      </c>
      <c r="M10" s="9">
        <v>2025.0</v>
      </c>
      <c r="N10" s="9">
        <f>-(195-209)</f>
        <v>14</v>
      </c>
      <c r="O10" s="95" t="s">
        <v>2604</v>
      </c>
      <c r="P10" s="59"/>
    </row>
    <row r="11">
      <c r="A11" s="92">
        <f t="shared" si="1"/>
        <v>5</v>
      </c>
      <c r="B11" s="93">
        <v>1.0</v>
      </c>
      <c r="C11" s="93">
        <v>1.0</v>
      </c>
      <c r="D11" s="93">
        <v>1.0</v>
      </c>
      <c r="E11" s="93">
        <v>1.0</v>
      </c>
      <c r="F11" s="93">
        <v>1.0</v>
      </c>
      <c r="G11" s="94"/>
      <c r="H11" s="96"/>
      <c r="I11" s="10" t="s">
        <v>2647</v>
      </c>
      <c r="J11" s="41" t="s">
        <v>318</v>
      </c>
      <c r="K11" s="9" t="s">
        <v>317</v>
      </c>
      <c r="L11" s="9" t="s">
        <v>23</v>
      </c>
      <c r="M11" s="9">
        <v>2022.0</v>
      </c>
      <c r="N11" s="9">
        <f>-(149-166)</f>
        <v>17</v>
      </c>
      <c r="O11" s="95" t="s">
        <v>2604</v>
      </c>
      <c r="P11" s="59"/>
    </row>
    <row r="12">
      <c r="A12" s="92">
        <f t="shared" si="1"/>
        <v>5</v>
      </c>
      <c r="B12" s="93">
        <v>1.0</v>
      </c>
      <c r="C12" s="93">
        <v>1.0</v>
      </c>
      <c r="D12" s="93">
        <v>1.0</v>
      </c>
      <c r="E12" s="93">
        <v>1.0</v>
      </c>
      <c r="F12" s="93">
        <v>1.0</v>
      </c>
      <c r="G12" s="94"/>
      <c r="H12" s="96"/>
      <c r="I12" s="10" t="s">
        <v>2648</v>
      </c>
      <c r="J12" s="41" t="s">
        <v>356</v>
      </c>
      <c r="K12" s="9" t="s">
        <v>355</v>
      </c>
      <c r="L12" s="9" t="s">
        <v>23</v>
      </c>
      <c r="M12" s="9">
        <v>2026.0</v>
      </c>
      <c r="N12" s="9">
        <v>36.0</v>
      </c>
      <c r="O12" s="95" t="s">
        <v>2604</v>
      </c>
      <c r="P12" s="59"/>
    </row>
    <row r="13">
      <c r="A13" s="92">
        <f t="shared" si="1"/>
        <v>5</v>
      </c>
      <c r="B13" s="93">
        <v>1.0</v>
      </c>
      <c r="C13" s="93">
        <v>1.0</v>
      </c>
      <c r="D13" s="93">
        <v>1.0</v>
      </c>
      <c r="E13" s="93">
        <v>1.0</v>
      </c>
      <c r="F13" s="93">
        <v>1.0</v>
      </c>
      <c r="G13" s="94"/>
      <c r="H13" s="96"/>
      <c r="I13" s="10" t="s">
        <v>2649</v>
      </c>
      <c r="J13" s="41" t="s">
        <v>439</v>
      </c>
      <c r="K13" s="9" t="s">
        <v>438</v>
      </c>
      <c r="L13" s="9" t="s">
        <v>23</v>
      </c>
      <c r="M13" s="9">
        <v>2026.0</v>
      </c>
      <c r="N13" s="9">
        <f>-(7-33)</f>
        <v>26</v>
      </c>
      <c r="O13" s="95" t="s">
        <v>2604</v>
      </c>
      <c r="P13" s="59"/>
    </row>
    <row r="14">
      <c r="A14" s="92">
        <f t="shared" si="1"/>
        <v>4.5</v>
      </c>
      <c r="B14" s="93">
        <v>1.0</v>
      </c>
      <c r="C14" s="93">
        <v>1.0</v>
      </c>
      <c r="D14" s="93">
        <v>1.0</v>
      </c>
      <c r="E14" s="93">
        <v>0.5</v>
      </c>
      <c r="F14" s="93">
        <v>1.0</v>
      </c>
      <c r="G14" s="94"/>
      <c r="H14" s="96"/>
      <c r="I14" s="10" t="s">
        <v>2650</v>
      </c>
      <c r="J14" s="41" t="s">
        <v>507</v>
      </c>
      <c r="K14" s="9" t="s">
        <v>506</v>
      </c>
      <c r="L14" s="9" t="s">
        <v>23</v>
      </c>
      <c r="M14" s="9">
        <v>2025.0</v>
      </c>
      <c r="N14" s="9">
        <v>23.0</v>
      </c>
      <c r="O14" s="95" t="s">
        <v>2604</v>
      </c>
      <c r="P14" s="59"/>
    </row>
    <row r="15">
      <c r="A15" s="92">
        <f t="shared" si="1"/>
        <v>4.5</v>
      </c>
      <c r="B15" s="93">
        <v>1.0</v>
      </c>
      <c r="C15" s="93">
        <v>1.0</v>
      </c>
      <c r="D15" s="93">
        <v>1.0</v>
      </c>
      <c r="E15" s="93">
        <v>1.0</v>
      </c>
      <c r="F15" s="93">
        <v>0.5</v>
      </c>
      <c r="G15" s="94"/>
      <c r="H15" s="96"/>
      <c r="I15" s="10" t="s">
        <v>2651</v>
      </c>
      <c r="J15" s="41" t="s">
        <v>514</v>
      </c>
      <c r="K15" s="9" t="s">
        <v>513</v>
      </c>
      <c r="L15" s="9" t="s">
        <v>23</v>
      </c>
      <c r="M15" s="9">
        <v>2022.0</v>
      </c>
      <c r="N15" s="9">
        <v>12.0</v>
      </c>
      <c r="O15" s="95" t="s">
        <v>2604</v>
      </c>
      <c r="P15" s="59"/>
    </row>
    <row r="16">
      <c r="A16" s="92">
        <f t="shared" si="1"/>
        <v>5</v>
      </c>
      <c r="B16" s="93">
        <v>1.0</v>
      </c>
      <c r="C16" s="93">
        <v>1.0</v>
      </c>
      <c r="D16" s="93">
        <v>1.0</v>
      </c>
      <c r="E16" s="93">
        <v>1.0</v>
      </c>
      <c r="F16" s="93">
        <v>1.0</v>
      </c>
      <c r="G16" s="94"/>
      <c r="H16" s="96"/>
      <c r="I16" s="10" t="s">
        <v>2652</v>
      </c>
      <c r="J16" s="41" t="s">
        <v>537</v>
      </c>
      <c r="K16" s="9" t="s">
        <v>536</v>
      </c>
      <c r="L16" s="9" t="s">
        <v>23</v>
      </c>
      <c r="M16" s="9">
        <v>2021.0</v>
      </c>
      <c r="N16" s="9">
        <f>-(683-747)</f>
        <v>64</v>
      </c>
      <c r="O16" s="95" t="s">
        <v>2604</v>
      </c>
      <c r="P16" s="59"/>
    </row>
    <row r="17">
      <c r="A17" s="97">
        <f t="shared" si="1"/>
        <v>0</v>
      </c>
      <c r="B17" s="98"/>
      <c r="C17" s="98"/>
      <c r="D17" s="98"/>
      <c r="E17" s="98"/>
      <c r="F17" s="98"/>
      <c r="G17" s="99"/>
      <c r="H17" s="100"/>
      <c r="I17" s="101" t="s">
        <v>2653</v>
      </c>
      <c r="J17" s="102" t="s">
        <v>604</v>
      </c>
      <c r="K17" s="103" t="s">
        <v>602</v>
      </c>
      <c r="L17" s="103" t="s">
        <v>603</v>
      </c>
      <c r="M17" s="103">
        <v>2021.0</v>
      </c>
      <c r="N17" s="104">
        <v>46174.0</v>
      </c>
      <c r="O17" s="105" t="s">
        <v>2605</v>
      </c>
      <c r="P17" s="106" t="s">
        <v>2654</v>
      </c>
      <c r="Q17" s="107"/>
      <c r="R17" s="108"/>
      <c r="S17" s="107"/>
      <c r="T17" s="107"/>
      <c r="U17" s="107"/>
      <c r="V17" s="107"/>
      <c r="W17" s="107"/>
      <c r="X17" s="107"/>
      <c r="Y17" s="107"/>
      <c r="Z17" s="107"/>
    </row>
    <row r="18">
      <c r="A18" s="92">
        <f t="shared" si="1"/>
        <v>3.5</v>
      </c>
      <c r="B18" s="93">
        <v>0.5</v>
      </c>
      <c r="C18" s="93">
        <v>1.0</v>
      </c>
      <c r="D18" s="93">
        <v>1.0</v>
      </c>
      <c r="E18" s="93">
        <v>0.5</v>
      </c>
      <c r="F18" s="93">
        <v>0.5</v>
      </c>
      <c r="G18" s="94"/>
      <c r="H18" s="96"/>
      <c r="I18" s="10" t="s">
        <v>2655</v>
      </c>
      <c r="J18" s="41" t="s">
        <v>613</v>
      </c>
      <c r="K18" s="9" t="s">
        <v>611</v>
      </c>
      <c r="L18" s="9" t="s">
        <v>612</v>
      </c>
      <c r="M18" s="9">
        <v>2023.0</v>
      </c>
      <c r="N18" s="9">
        <f>-(397-401)</f>
        <v>4</v>
      </c>
      <c r="O18" s="95" t="s">
        <v>2605</v>
      </c>
      <c r="P18" s="8"/>
      <c r="R18" s="109"/>
    </row>
    <row r="19">
      <c r="A19" s="92">
        <f t="shared" si="1"/>
        <v>2.5</v>
      </c>
      <c r="B19" s="93">
        <v>0.5</v>
      </c>
      <c r="C19" s="93">
        <v>0.5</v>
      </c>
      <c r="D19" s="93">
        <v>0.5</v>
      </c>
      <c r="E19" s="93">
        <v>0.5</v>
      </c>
      <c r="F19" s="93">
        <v>0.5</v>
      </c>
      <c r="G19" s="94"/>
      <c r="H19" s="96"/>
      <c r="I19" s="10" t="s">
        <v>2656</v>
      </c>
      <c r="J19" s="41" t="s">
        <v>641</v>
      </c>
      <c r="K19" s="9" t="s">
        <v>639</v>
      </c>
      <c r="L19" s="9" t="s">
        <v>640</v>
      </c>
      <c r="M19" s="9">
        <v>2023.0</v>
      </c>
      <c r="N19" s="110">
        <v>46143.0</v>
      </c>
      <c r="O19" s="95" t="s">
        <v>2605</v>
      </c>
      <c r="P19" s="8"/>
      <c r="R19" s="109"/>
    </row>
    <row r="20">
      <c r="A20" s="92">
        <f t="shared" si="1"/>
        <v>4</v>
      </c>
      <c r="B20" s="93">
        <v>1.0</v>
      </c>
      <c r="C20" s="93">
        <v>1.0</v>
      </c>
      <c r="D20" s="93">
        <v>1.0</v>
      </c>
      <c r="E20" s="93">
        <v>0.5</v>
      </c>
      <c r="F20" s="93">
        <v>0.5</v>
      </c>
      <c r="G20" s="94"/>
      <c r="H20" s="96"/>
      <c r="I20" s="10" t="s">
        <v>2657</v>
      </c>
      <c r="J20" s="41" t="s">
        <v>658</v>
      </c>
      <c r="K20" s="9" t="s">
        <v>657</v>
      </c>
      <c r="L20" s="9" t="s">
        <v>612</v>
      </c>
      <c r="M20" s="9">
        <v>2023.0</v>
      </c>
      <c r="N20" s="9">
        <f>-(348-352)</f>
        <v>4</v>
      </c>
      <c r="O20" s="95" t="s">
        <v>2605</v>
      </c>
      <c r="P20" s="8"/>
      <c r="R20" s="109"/>
    </row>
    <row r="21">
      <c r="A21" s="92">
        <f t="shared" si="1"/>
        <v>5</v>
      </c>
      <c r="B21" s="93">
        <v>1.0</v>
      </c>
      <c r="C21" s="93">
        <v>1.0</v>
      </c>
      <c r="D21" s="93">
        <v>1.0</v>
      </c>
      <c r="E21" s="93">
        <v>1.0</v>
      </c>
      <c r="F21" s="93">
        <v>1.0</v>
      </c>
      <c r="G21" s="94"/>
      <c r="H21" s="94"/>
      <c r="I21" s="10" t="s">
        <v>2658</v>
      </c>
      <c r="J21" s="41" t="s">
        <v>691</v>
      </c>
      <c r="K21" s="9" t="s">
        <v>690</v>
      </c>
      <c r="L21" s="9" t="s">
        <v>648</v>
      </c>
      <c r="M21" s="9">
        <v>2025.0</v>
      </c>
      <c r="N21" s="9">
        <f>-(175410-175426)</f>
        <v>16</v>
      </c>
      <c r="O21" s="95" t="s">
        <v>2605</v>
      </c>
      <c r="P21" s="8"/>
      <c r="R21" s="109"/>
    </row>
    <row r="22">
      <c r="A22" s="92">
        <f t="shared" si="1"/>
        <v>4</v>
      </c>
      <c r="B22" s="93">
        <v>0.5</v>
      </c>
      <c r="C22" s="93">
        <v>1.0</v>
      </c>
      <c r="D22" s="93">
        <v>1.0</v>
      </c>
      <c r="E22" s="93">
        <v>1.0</v>
      </c>
      <c r="F22" s="93">
        <v>0.5</v>
      </c>
      <c r="G22" s="94"/>
      <c r="H22" s="96"/>
      <c r="I22" s="10" t="s">
        <v>2659</v>
      </c>
      <c r="J22" s="41" t="s">
        <v>700</v>
      </c>
      <c r="K22" s="9" t="s">
        <v>698</v>
      </c>
      <c r="L22" s="9" t="s">
        <v>699</v>
      </c>
      <c r="M22" s="9">
        <v>2022.0</v>
      </c>
      <c r="N22" s="9">
        <f>-(13-17)</f>
        <v>4</v>
      </c>
      <c r="O22" s="95" t="s">
        <v>2605</v>
      </c>
      <c r="P22" s="8"/>
      <c r="R22" s="109"/>
    </row>
    <row r="23">
      <c r="A23" s="92">
        <f t="shared" si="1"/>
        <v>5</v>
      </c>
      <c r="B23" s="93">
        <v>1.0</v>
      </c>
      <c r="C23" s="93">
        <v>1.0</v>
      </c>
      <c r="D23" s="93">
        <v>1.0</v>
      </c>
      <c r="E23" s="93">
        <v>1.0</v>
      </c>
      <c r="F23" s="93">
        <v>1.0</v>
      </c>
      <c r="G23" s="94"/>
      <c r="H23" s="96"/>
      <c r="I23" s="10" t="s">
        <v>2660</v>
      </c>
      <c r="J23" s="41" t="s">
        <v>708</v>
      </c>
      <c r="K23" s="9" t="s">
        <v>707</v>
      </c>
      <c r="L23" s="9" t="s">
        <v>648</v>
      </c>
      <c r="M23" s="9">
        <v>2025.0</v>
      </c>
      <c r="N23" s="9">
        <f>-(117385-117403)</f>
        <v>18</v>
      </c>
      <c r="O23" s="95" t="s">
        <v>2605</v>
      </c>
      <c r="P23" s="8"/>
      <c r="R23" s="109"/>
    </row>
    <row r="24">
      <c r="A24" s="92">
        <f t="shared" si="1"/>
        <v>3</v>
      </c>
      <c r="B24" s="95">
        <v>0.5</v>
      </c>
      <c r="C24" s="95">
        <v>0.5</v>
      </c>
      <c r="D24" s="95">
        <v>0.5</v>
      </c>
      <c r="E24" s="95">
        <v>0.5</v>
      </c>
      <c r="F24" s="95">
        <v>1.0</v>
      </c>
      <c r="G24" s="94"/>
      <c r="H24" s="96"/>
      <c r="I24" s="10" t="s">
        <v>2661</v>
      </c>
      <c r="J24" s="41" t="s">
        <v>717</v>
      </c>
      <c r="K24" s="9" t="s">
        <v>715</v>
      </c>
      <c r="L24" s="9" t="s">
        <v>716</v>
      </c>
      <c r="M24" s="9">
        <v>2025.0</v>
      </c>
      <c r="N24" s="9" t="s">
        <v>719</v>
      </c>
      <c r="O24" s="95" t="s">
        <v>2605</v>
      </c>
      <c r="P24" s="8"/>
      <c r="R24" s="109"/>
    </row>
    <row r="25">
      <c r="A25" s="92">
        <f t="shared" si="1"/>
        <v>4.5</v>
      </c>
      <c r="B25" s="93">
        <v>1.0</v>
      </c>
      <c r="C25" s="93">
        <v>1.0</v>
      </c>
      <c r="D25" s="93">
        <v>1.0</v>
      </c>
      <c r="E25" s="93">
        <v>1.0</v>
      </c>
      <c r="F25" s="93">
        <v>0.5</v>
      </c>
      <c r="G25" s="94"/>
      <c r="H25" s="96"/>
      <c r="I25" s="10" t="s">
        <v>2662</v>
      </c>
      <c r="J25" s="41" t="s">
        <v>726</v>
      </c>
      <c r="K25" s="9" t="s">
        <v>724</v>
      </c>
      <c r="L25" s="9" t="s">
        <v>725</v>
      </c>
      <c r="M25" s="9">
        <v>2023.0</v>
      </c>
      <c r="N25" s="9">
        <v>6.0</v>
      </c>
      <c r="O25" s="95" t="s">
        <v>2605</v>
      </c>
      <c r="P25" s="8"/>
      <c r="R25" s="109"/>
    </row>
    <row r="26">
      <c r="A26" s="92">
        <f t="shared" si="1"/>
        <v>4</v>
      </c>
      <c r="B26" s="93">
        <v>0.5</v>
      </c>
      <c r="C26" s="93">
        <v>1.0</v>
      </c>
      <c r="D26" s="93">
        <v>1.0</v>
      </c>
      <c r="E26" s="93">
        <v>0.5</v>
      </c>
      <c r="F26" s="93">
        <v>1.0</v>
      </c>
      <c r="G26" s="94"/>
      <c r="H26" s="96"/>
      <c r="I26" s="10" t="s">
        <v>2663</v>
      </c>
      <c r="J26" s="41" t="s">
        <v>742</v>
      </c>
      <c r="K26" s="9" t="s">
        <v>740</v>
      </c>
      <c r="L26" s="9" t="s">
        <v>741</v>
      </c>
      <c r="M26" s="9">
        <v>2023.0</v>
      </c>
      <c r="N26" s="9">
        <f>-(1704-1708)</f>
        <v>4</v>
      </c>
      <c r="O26" s="95" t="s">
        <v>2605</v>
      </c>
      <c r="P26" s="8"/>
      <c r="R26" s="109"/>
    </row>
    <row r="27">
      <c r="A27" s="92">
        <f t="shared" si="1"/>
        <v>4.5</v>
      </c>
      <c r="B27" s="93">
        <v>1.0</v>
      </c>
      <c r="C27" s="93">
        <v>1.0</v>
      </c>
      <c r="D27" s="93">
        <v>1.0</v>
      </c>
      <c r="E27" s="93">
        <v>1.0</v>
      </c>
      <c r="F27" s="93">
        <v>0.5</v>
      </c>
      <c r="G27" s="94"/>
      <c r="H27" s="96"/>
      <c r="I27" s="10" t="s">
        <v>2664</v>
      </c>
      <c r="J27" s="41" t="s">
        <v>822</v>
      </c>
      <c r="K27" s="9" t="s">
        <v>820</v>
      </c>
      <c r="L27" s="9" t="s">
        <v>821</v>
      </c>
      <c r="M27" s="9">
        <v>2024.0</v>
      </c>
      <c r="N27" s="9">
        <f>-(237-242)</f>
        <v>5</v>
      </c>
      <c r="O27" s="95" t="s">
        <v>2605</v>
      </c>
      <c r="P27" s="8"/>
      <c r="R27" s="109"/>
    </row>
    <row r="28">
      <c r="A28" s="92">
        <f t="shared" si="1"/>
        <v>5</v>
      </c>
      <c r="B28" s="95">
        <v>1.0</v>
      </c>
      <c r="C28" s="95">
        <v>1.0</v>
      </c>
      <c r="D28" s="95">
        <v>1.0</v>
      </c>
      <c r="E28" s="95">
        <v>1.0</v>
      </c>
      <c r="F28" s="95">
        <v>1.0</v>
      </c>
      <c r="G28" s="94"/>
      <c r="H28" s="96"/>
      <c r="I28" s="10" t="s">
        <v>2665</v>
      </c>
      <c r="J28" s="41" t="s">
        <v>859</v>
      </c>
      <c r="K28" s="9" t="s">
        <v>857</v>
      </c>
      <c r="L28" s="9" t="s">
        <v>858</v>
      </c>
      <c r="M28" s="9">
        <v>2025.0</v>
      </c>
      <c r="N28" s="9">
        <v>5.0</v>
      </c>
      <c r="O28" s="95" t="s">
        <v>2605</v>
      </c>
      <c r="P28" s="8"/>
      <c r="R28" s="109"/>
    </row>
    <row r="29">
      <c r="A29" s="92">
        <f t="shared" si="1"/>
        <v>5</v>
      </c>
      <c r="B29" s="93">
        <v>1.0</v>
      </c>
      <c r="C29" s="93">
        <v>1.0</v>
      </c>
      <c r="D29" s="93">
        <v>1.0</v>
      </c>
      <c r="E29" s="93">
        <v>1.0</v>
      </c>
      <c r="F29" s="93">
        <v>1.0</v>
      </c>
      <c r="G29" s="94"/>
      <c r="H29" s="96"/>
      <c r="I29" s="10" t="s">
        <v>2666</v>
      </c>
      <c r="J29" s="41" t="s">
        <v>883</v>
      </c>
      <c r="K29" s="9" t="s">
        <v>881</v>
      </c>
      <c r="L29" s="9" t="s">
        <v>882</v>
      </c>
      <c r="M29" s="9">
        <v>2025.0</v>
      </c>
      <c r="N29" s="9">
        <f>-(166-170)</f>
        <v>4</v>
      </c>
      <c r="O29" s="95" t="s">
        <v>2605</v>
      </c>
      <c r="P29" s="8"/>
      <c r="R29" s="109"/>
    </row>
    <row r="30">
      <c r="A30" s="92">
        <f t="shared" si="1"/>
        <v>4.5</v>
      </c>
      <c r="B30" s="95">
        <v>1.0</v>
      </c>
      <c r="C30" s="95">
        <v>1.0</v>
      </c>
      <c r="D30" s="95">
        <v>1.0</v>
      </c>
      <c r="E30" s="95">
        <v>1.0</v>
      </c>
      <c r="F30" s="95">
        <v>0.5</v>
      </c>
      <c r="G30" s="94"/>
      <c r="H30" s="96"/>
      <c r="I30" s="10" t="s">
        <v>2667</v>
      </c>
      <c r="J30" s="41" t="s">
        <v>926</v>
      </c>
      <c r="K30" s="9" t="s">
        <v>924</v>
      </c>
      <c r="L30" s="9" t="s">
        <v>925</v>
      </c>
      <c r="M30" s="9">
        <v>2023.0</v>
      </c>
      <c r="N30" s="9">
        <v>5.0</v>
      </c>
      <c r="O30" s="95" t="s">
        <v>2605</v>
      </c>
      <c r="P30" s="8"/>
      <c r="R30" s="109"/>
    </row>
    <row r="31">
      <c r="A31" s="92">
        <f t="shared" si="1"/>
        <v>5</v>
      </c>
      <c r="B31" s="93">
        <v>1.0</v>
      </c>
      <c r="C31" s="93">
        <v>1.0</v>
      </c>
      <c r="D31" s="93">
        <v>1.0</v>
      </c>
      <c r="E31" s="93">
        <v>1.0</v>
      </c>
      <c r="F31" s="93">
        <v>1.0</v>
      </c>
      <c r="G31" s="94"/>
      <c r="H31" s="96"/>
      <c r="I31" s="10" t="s">
        <v>2668</v>
      </c>
      <c r="J31" s="41" t="s">
        <v>944</v>
      </c>
      <c r="K31" s="9" t="s">
        <v>942</v>
      </c>
      <c r="L31" s="9" t="s">
        <v>943</v>
      </c>
      <c r="M31" s="9">
        <v>2025.0</v>
      </c>
      <c r="N31" s="9">
        <v>6.0</v>
      </c>
      <c r="O31" s="95" t="s">
        <v>2605</v>
      </c>
      <c r="P31" s="8"/>
      <c r="R31" s="109"/>
    </row>
    <row r="32">
      <c r="A32" s="92">
        <f t="shared" si="1"/>
        <v>4</v>
      </c>
      <c r="B32" s="93">
        <v>1.0</v>
      </c>
      <c r="C32" s="93">
        <v>1.0</v>
      </c>
      <c r="D32" s="93">
        <v>1.0</v>
      </c>
      <c r="E32" s="93">
        <v>0.5</v>
      </c>
      <c r="F32" s="93">
        <v>0.5</v>
      </c>
      <c r="G32" s="94"/>
      <c r="H32" s="96"/>
      <c r="I32" s="10" t="s">
        <v>2669</v>
      </c>
      <c r="J32" s="41" t="s">
        <v>962</v>
      </c>
      <c r="K32" s="9" t="s">
        <v>960</v>
      </c>
      <c r="L32" s="9" t="s">
        <v>961</v>
      </c>
      <c r="M32" s="9">
        <v>2025.0</v>
      </c>
      <c r="N32" s="9">
        <f>-(1004-1010)</f>
        <v>6</v>
      </c>
      <c r="O32" s="95" t="s">
        <v>2605</v>
      </c>
      <c r="P32" s="8"/>
      <c r="R32" s="109"/>
    </row>
    <row r="33">
      <c r="A33" s="92">
        <f t="shared" si="1"/>
        <v>5</v>
      </c>
      <c r="B33" s="93">
        <v>1.0</v>
      </c>
      <c r="C33" s="93">
        <v>1.0</v>
      </c>
      <c r="D33" s="93">
        <v>1.0</v>
      </c>
      <c r="E33" s="93">
        <v>1.0</v>
      </c>
      <c r="F33" s="93">
        <v>1.0</v>
      </c>
      <c r="G33" s="94"/>
      <c r="H33" s="96"/>
      <c r="I33" s="10" t="s">
        <v>2670</v>
      </c>
      <c r="J33" s="41" t="s">
        <v>997</v>
      </c>
      <c r="K33" s="9" t="s">
        <v>996</v>
      </c>
      <c r="L33" s="9" t="s">
        <v>648</v>
      </c>
      <c r="M33" s="9">
        <v>2026.0</v>
      </c>
      <c r="N33" s="9">
        <f>-(45882-45895)</f>
        <v>13</v>
      </c>
      <c r="O33" s="95" t="s">
        <v>2605</v>
      </c>
      <c r="P33" s="8"/>
      <c r="R33" s="109"/>
    </row>
    <row r="34">
      <c r="A34" s="92">
        <f t="shared" si="1"/>
        <v>3.5</v>
      </c>
      <c r="B34" s="93">
        <v>0.5</v>
      </c>
      <c r="C34" s="93">
        <v>1.0</v>
      </c>
      <c r="D34" s="93">
        <v>1.0</v>
      </c>
      <c r="E34" s="93">
        <v>0.5</v>
      </c>
      <c r="F34" s="93">
        <v>0.5</v>
      </c>
      <c r="G34" s="94"/>
      <c r="H34" s="96"/>
      <c r="I34" s="10" t="s">
        <v>2671</v>
      </c>
      <c r="J34" s="41" t="s">
        <v>1014</v>
      </c>
      <c r="K34" s="9" t="s">
        <v>1012</v>
      </c>
      <c r="L34" s="9" t="s">
        <v>1013</v>
      </c>
      <c r="M34" s="9">
        <v>2022.0</v>
      </c>
      <c r="N34" s="9">
        <f>-(322-329)</f>
        <v>7</v>
      </c>
      <c r="O34" s="95" t="s">
        <v>2605</v>
      </c>
      <c r="P34" s="8"/>
      <c r="R34" s="109"/>
    </row>
    <row r="35">
      <c r="A35" s="92">
        <f t="shared" si="1"/>
        <v>5</v>
      </c>
      <c r="B35" s="93">
        <v>1.0</v>
      </c>
      <c r="C35" s="93">
        <v>1.0</v>
      </c>
      <c r="D35" s="93">
        <v>1.0</v>
      </c>
      <c r="E35" s="93">
        <v>1.0</v>
      </c>
      <c r="F35" s="93">
        <v>1.0</v>
      </c>
      <c r="G35" s="94"/>
      <c r="H35" s="96"/>
      <c r="I35" s="10" t="s">
        <v>2672</v>
      </c>
      <c r="J35" s="41" t="s">
        <v>1093</v>
      </c>
      <c r="K35" s="9" t="s">
        <v>1091</v>
      </c>
      <c r="L35" s="9" t="s">
        <v>1092</v>
      </c>
      <c r="M35" s="9">
        <v>2022.0</v>
      </c>
      <c r="N35" s="9">
        <v>5.0</v>
      </c>
      <c r="O35" s="95" t="s">
        <v>2605</v>
      </c>
      <c r="P35" s="8"/>
      <c r="R35" s="109"/>
    </row>
    <row r="36">
      <c r="A36" s="92">
        <f t="shared" si="1"/>
        <v>4.5</v>
      </c>
      <c r="B36" s="93">
        <v>1.0</v>
      </c>
      <c r="C36" s="93">
        <v>1.0</v>
      </c>
      <c r="D36" s="93">
        <v>1.0</v>
      </c>
      <c r="E36" s="93">
        <v>1.0</v>
      </c>
      <c r="F36" s="93">
        <v>0.5</v>
      </c>
      <c r="G36" s="94"/>
      <c r="H36" s="96"/>
      <c r="I36" s="10" t="s">
        <v>2673</v>
      </c>
      <c r="J36" s="41" t="s">
        <v>1117</v>
      </c>
      <c r="K36" s="9" t="s">
        <v>1115</v>
      </c>
      <c r="L36" s="9" t="s">
        <v>1116</v>
      </c>
      <c r="M36" s="9">
        <v>2021.0</v>
      </c>
      <c r="N36" s="9">
        <f>-(16-29)</f>
        <v>13</v>
      </c>
      <c r="O36" s="95" t="s">
        <v>2605</v>
      </c>
      <c r="P36" s="8"/>
      <c r="R36" s="109"/>
    </row>
    <row r="37">
      <c r="A37" s="92">
        <f t="shared" si="1"/>
        <v>5</v>
      </c>
      <c r="B37" s="93">
        <v>1.0</v>
      </c>
      <c r="C37" s="93">
        <v>1.0</v>
      </c>
      <c r="D37" s="93">
        <v>1.0</v>
      </c>
      <c r="E37" s="93">
        <v>1.0</v>
      </c>
      <c r="F37" s="93">
        <v>1.0</v>
      </c>
      <c r="G37" s="94"/>
      <c r="H37" s="96"/>
      <c r="I37" s="10" t="s">
        <v>2674</v>
      </c>
      <c r="J37" s="41" t="s">
        <v>1160</v>
      </c>
      <c r="K37" s="9" t="s">
        <v>1159</v>
      </c>
      <c r="L37" s="9" t="s">
        <v>648</v>
      </c>
      <c r="M37" s="9">
        <v>2021.0</v>
      </c>
      <c r="N37" s="9">
        <f>-(65044-65065)</f>
        <v>21</v>
      </c>
      <c r="O37" s="95" t="s">
        <v>2605</v>
      </c>
      <c r="P37" s="8"/>
      <c r="R37" s="109"/>
    </row>
    <row r="38">
      <c r="A38" s="92">
        <f t="shared" si="1"/>
        <v>4</v>
      </c>
      <c r="B38" s="93">
        <v>1.0</v>
      </c>
      <c r="C38" s="93">
        <v>1.0</v>
      </c>
      <c r="D38" s="93">
        <v>1.0</v>
      </c>
      <c r="E38" s="93">
        <v>0.5</v>
      </c>
      <c r="F38" s="93">
        <v>0.5</v>
      </c>
      <c r="G38" s="94"/>
      <c r="H38" s="96"/>
      <c r="I38" s="10" t="s">
        <v>2675</v>
      </c>
      <c r="J38" s="41" t="s">
        <v>1246</v>
      </c>
      <c r="K38" s="9" t="s">
        <v>1244</v>
      </c>
      <c r="L38" s="9" t="s">
        <v>1245</v>
      </c>
      <c r="M38" s="9">
        <v>2023.0</v>
      </c>
      <c r="N38" s="9">
        <v>6.0</v>
      </c>
      <c r="O38" s="95" t="s">
        <v>2605</v>
      </c>
      <c r="P38" s="8"/>
      <c r="R38" s="109"/>
    </row>
    <row r="39">
      <c r="A39" s="92">
        <f t="shared" si="1"/>
        <v>5</v>
      </c>
      <c r="B39" s="93">
        <v>1.0</v>
      </c>
      <c r="C39" s="93">
        <v>1.0</v>
      </c>
      <c r="D39" s="93">
        <v>1.0</v>
      </c>
      <c r="E39" s="93">
        <v>1.0</v>
      </c>
      <c r="F39" s="93">
        <v>1.0</v>
      </c>
      <c r="G39" s="94"/>
      <c r="H39" s="96"/>
      <c r="I39" s="10" t="s">
        <v>2676</v>
      </c>
      <c r="J39" s="41" t="s">
        <v>1253</v>
      </c>
      <c r="K39" s="9" t="s">
        <v>1252</v>
      </c>
      <c r="L39" s="9" t="s">
        <v>648</v>
      </c>
      <c r="M39" s="9">
        <v>2025.0</v>
      </c>
      <c r="N39" s="9">
        <f>-(166241-166253)</f>
        <v>12</v>
      </c>
      <c r="O39" s="95" t="s">
        <v>2605</v>
      </c>
      <c r="P39" s="8"/>
      <c r="R39" s="109"/>
    </row>
    <row r="40">
      <c r="A40" s="92">
        <f t="shared" si="1"/>
        <v>5</v>
      </c>
      <c r="B40" s="95">
        <v>1.0</v>
      </c>
      <c r="C40" s="95">
        <v>1.0</v>
      </c>
      <c r="D40" s="95">
        <v>1.0</v>
      </c>
      <c r="E40" s="95">
        <v>1.0</v>
      </c>
      <c r="F40" s="95">
        <v>1.0</v>
      </c>
      <c r="G40" s="94"/>
      <c r="H40" s="96"/>
      <c r="I40" s="10" t="s">
        <v>2677</v>
      </c>
      <c r="J40" s="111" t="s">
        <v>1278</v>
      </c>
      <c r="K40" s="9" t="s">
        <v>1277</v>
      </c>
      <c r="L40" s="9" t="s">
        <v>23</v>
      </c>
      <c r="M40" s="112">
        <v>2021.0</v>
      </c>
      <c r="N40" s="9">
        <v>16.0</v>
      </c>
      <c r="O40" s="95" t="s">
        <v>2678</v>
      </c>
      <c r="P40" s="59"/>
      <c r="R40" s="109"/>
    </row>
    <row r="41">
      <c r="A41" s="92">
        <f t="shared" si="1"/>
        <v>4</v>
      </c>
      <c r="B41" s="93">
        <v>1.0</v>
      </c>
      <c r="C41" s="93">
        <v>1.0</v>
      </c>
      <c r="D41" s="93">
        <v>1.0</v>
      </c>
      <c r="E41" s="93">
        <v>0.5</v>
      </c>
      <c r="F41" s="93">
        <v>0.5</v>
      </c>
      <c r="G41" s="94"/>
      <c r="H41" s="96"/>
      <c r="I41" s="10" t="s">
        <v>2679</v>
      </c>
      <c r="J41" s="111" t="s">
        <v>1292</v>
      </c>
      <c r="K41" s="9" t="s">
        <v>1291</v>
      </c>
      <c r="L41" s="9" t="s">
        <v>23</v>
      </c>
      <c r="M41" s="112">
        <v>2023.0</v>
      </c>
      <c r="N41" s="9">
        <v>10.0</v>
      </c>
      <c r="O41" s="95" t="s">
        <v>2678</v>
      </c>
      <c r="P41" s="59"/>
      <c r="R41" s="109"/>
    </row>
    <row r="42">
      <c r="A42" s="92">
        <f t="shared" si="1"/>
        <v>5</v>
      </c>
      <c r="B42" s="95">
        <v>1.0</v>
      </c>
      <c r="C42" s="95">
        <v>1.0</v>
      </c>
      <c r="D42" s="95">
        <v>1.0</v>
      </c>
      <c r="E42" s="95">
        <v>1.0</v>
      </c>
      <c r="F42" s="95">
        <v>1.0</v>
      </c>
      <c r="G42" s="94"/>
      <c r="H42" s="96"/>
      <c r="I42" s="10" t="s">
        <v>2680</v>
      </c>
      <c r="J42" s="111" t="s">
        <v>1321</v>
      </c>
      <c r="K42" s="9" t="s">
        <v>1320</v>
      </c>
      <c r="L42" s="9" t="s">
        <v>23</v>
      </c>
      <c r="M42" s="112">
        <v>2023.0</v>
      </c>
      <c r="N42" s="9">
        <v>23.0</v>
      </c>
      <c r="O42" s="95" t="s">
        <v>2678</v>
      </c>
      <c r="P42" s="59"/>
      <c r="R42" s="109"/>
    </row>
    <row r="43">
      <c r="A43" s="92">
        <f t="shared" si="1"/>
        <v>3</v>
      </c>
      <c r="B43" s="93">
        <v>0.5</v>
      </c>
      <c r="C43" s="93">
        <v>1.0</v>
      </c>
      <c r="D43" s="93">
        <v>0.5</v>
      </c>
      <c r="E43" s="93">
        <v>0.5</v>
      </c>
      <c r="F43" s="93">
        <v>0.5</v>
      </c>
      <c r="G43" s="94"/>
      <c r="H43" s="96"/>
      <c r="I43" s="10" t="s">
        <v>2681</v>
      </c>
      <c r="J43" s="111" t="s">
        <v>1342</v>
      </c>
      <c r="K43" s="9" t="s">
        <v>1341</v>
      </c>
      <c r="L43" s="9" t="s">
        <v>23</v>
      </c>
      <c r="M43" s="112">
        <v>2021.0</v>
      </c>
      <c r="N43" s="9" t="s">
        <v>1344</v>
      </c>
      <c r="O43" s="95" t="s">
        <v>2678</v>
      </c>
      <c r="P43" s="59"/>
      <c r="R43" s="109"/>
    </row>
    <row r="44">
      <c r="A44" s="92">
        <f t="shared" si="1"/>
        <v>5</v>
      </c>
      <c r="B44" s="95">
        <v>1.0</v>
      </c>
      <c r="C44" s="95">
        <v>1.0</v>
      </c>
      <c r="D44" s="95">
        <v>1.0</v>
      </c>
      <c r="E44" s="95">
        <v>1.0</v>
      </c>
      <c r="F44" s="95">
        <v>1.0</v>
      </c>
      <c r="G44" s="94"/>
      <c r="H44" s="96"/>
      <c r="I44" s="10" t="s">
        <v>2682</v>
      </c>
      <c r="J44" s="111" t="s">
        <v>1350</v>
      </c>
      <c r="K44" s="9" t="s">
        <v>1349</v>
      </c>
      <c r="L44" s="9" t="s">
        <v>23</v>
      </c>
      <c r="M44" s="112">
        <v>2024.0</v>
      </c>
      <c r="N44" s="9">
        <f>-(393-415)</f>
        <v>22</v>
      </c>
      <c r="O44" s="95" t="s">
        <v>2678</v>
      </c>
      <c r="P44" s="8"/>
      <c r="R44" s="109"/>
    </row>
    <row r="45">
      <c r="A45" s="92">
        <f t="shared" si="1"/>
        <v>5</v>
      </c>
      <c r="B45" s="93">
        <v>1.0</v>
      </c>
      <c r="C45" s="93">
        <v>1.0</v>
      </c>
      <c r="D45" s="93">
        <v>1.0</v>
      </c>
      <c r="E45" s="93">
        <v>1.0</v>
      </c>
      <c r="F45" s="93">
        <v>1.0</v>
      </c>
      <c r="G45" s="94"/>
      <c r="H45" s="96"/>
      <c r="I45" s="10" t="s">
        <v>2683</v>
      </c>
      <c r="J45" s="111" t="s">
        <v>1367</v>
      </c>
      <c r="K45" s="9" t="s">
        <v>1366</v>
      </c>
      <c r="L45" s="9" t="s">
        <v>23</v>
      </c>
      <c r="M45" s="112">
        <v>2025.0</v>
      </c>
      <c r="N45" s="9">
        <v>18.0</v>
      </c>
      <c r="O45" s="95" t="s">
        <v>2678</v>
      </c>
      <c r="P45" s="8"/>
      <c r="R45" s="109"/>
    </row>
    <row r="46">
      <c r="A46" s="92">
        <f t="shared" si="1"/>
        <v>5</v>
      </c>
      <c r="B46" s="95">
        <v>1.0</v>
      </c>
      <c r="C46" s="95">
        <v>1.0</v>
      </c>
      <c r="D46" s="95">
        <v>1.0</v>
      </c>
      <c r="E46" s="95">
        <v>1.0</v>
      </c>
      <c r="F46" s="95">
        <v>1.0</v>
      </c>
      <c r="G46" s="94"/>
      <c r="H46" s="96"/>
      <c r="I46" s="10" t="s">
        <v>2684</v>
      </c>
      <c r="J46" s="111" t="s">
        <v>1374</v>
      </c>
      <c r="K46" s="9" t="s">
        <v>1373</v>
      </c>
      <c r="L46" s="9" t="s">
        <v>23</v>
      </c>
      <c r="M46" s="112">
        <v>2022.0</v>
      </c>
      <c r="N46" s="9">
        <f>-(117-132)</f>
        <v>15</v>
      </c>
      <c r="O46" s="95" t="s">
        <v>2678</v>
      </c>
      <c r="P46" s="59"/>
      <c r="R46" s="109"/>
    </row>
    <row r="47">
      <c r="A47" s="92">
        <f t="shared" si="1"/>
        <v>3.5</v>
      </c>
      <c r="B47" s="95">
        <v>0.5</v>
      </c>
      <c r="C47" s="95">
        <v>1.0</v>
      </c>
      <c r="D47" s="95">
        <v>1.0</v>
      </c>
      <c r="E47" s="95">
        <v>0.5</v>
      </c>
      <c r="F47" s="95">
        <v>0.5</v>
      </c>
      <c r="G47" s="94"/>
      <c r="H47" s="96"/>
      <c r="I47" s="10" t="s">
        <v>2685</v>
      </c>
      <c r="J47" s="111" t="s">
        <v>1411</v>
      </c>
      <c r="K47" s="9" t="s">
        <v>1410</v>
      </c>
      <c r="L47" s="9" t="s">
        <v>23</v>
      </c>
      <c r="M47" s="112">
        <v>2024.0</v>
      </c>
      <c r="N47" s="9">
        <f>-(2030-2037)</f>
        <v>7</v>
      </c>
      <c r="O47" s="95" t="s">
        <v>2678</v>
      </c>
      <c r="P47" s="59"/>
      <c r="R47" s="109"/>
    </row>
    <row r="48">
      <c r="A48" s="92">
        <f t="shared" si="1"/>
        <v>5</v>
      </c>
      <c r="B48" s="95">
        <v>1.0</v>
      </c>
      <c r="C48" s="95">
        <v>1.0</v>
      </c>
      <c r="D48" s="95">
        <v>1.0</v>
      </c>
      <c r="E48" s="95">
        <v>1.0</v>
      </c>
      <c r="F48" s="95">
        <v>1.0</v>
      </c>
      <c r="G48" s="94"/>
      <c r="H48" s="94"/>
      <c r="I48" s="10" t="s">
        <v>2686</v>
      </c>
      <c r="J48" s="111" t="s">
        <v>1442</v>
      </c>
      <c r="K48" s="9" t="s">
        <v>1441</v>
      </c>
      <c r="L48" s="9" t="s">
        <v>23</v>
      </c>
      <c r="M48" s="112">
        <v>2023.0</v>
      </c>
      <c r="N48" s="9">
        <f>-(892-901)</f>
        <v>9</v>
      </c>
      <c r="O48" s="95" t="s">
        <v>2678</v>
      </c>
      <c r="P48" s="59"/>
      <c r="R48" s="109"/>
    </row>
    <row r="49">
      <c r="A49" s="92">
        <f t="shared" si="1"/>
        <v>5</v>
      </c>
      <c r="B49" s="95">
        <v>1.0</v>
      </c>
      <c r="C49" s="95">
        <v>1.0</v>
      </c>
      <c r="D49" s="95">
        <v>1.0</v>
      </c>
      <c r="E49" s="95">
        <v>1.0</v>
      </c>
      <c r="F49" s="95">
        <v>1.0</v>
      </c>
      <c r="G49" s="94"/>
      <c r="H49" s="96"/>
      <c r="I49" s="10" t="s">
        <v>2687</v>
      </c>
      <c r="J49" s="111" t="s">
        <v>1538</v>
      </c>
      <c r="K49" s="9" t="s">
        <v>1537</v>
      </c>
      <c r="L49" s="9" t="s">
        <v>23</v>
      </c>
      <c r="M49" s="112">
        <v>2021.0</v>
      </c>
      <c r="N49" s="9">
        <v>17.0</v>
      </c>
      <c r="O49" s="95" t="s">
        <v>2678</v>
      </c>
      <c r="P49" s="59"/>
      <c r="R49" s="109"/>
    </row>
    <row r="50">
      <c r="A50" s="92">
        <f t="shared" si="1"/>
        <v>4.5</v>
      </c>
      <c r="B50" s="95">
        <v>1.0</v>
      </c>
      <c r="C50" s="95">
        <v>1.0</v>
      </c>
      <c r="D50" s="95">
        <v>1.0</v>
      </c>
      <c r="E50" s="95">
        <v>1.0</v>
      </c>
      <c r="F50" s="95">
        <v>0.5</v>
      </c>
      <c r="G50" s="94"/>
      <c r="H50" s="96"/>
      <c r="I50" s="10" t="s">
        <v>2688</v>
      </c>
      <c r="J50" s="111" t="s">
        <v>1552</v>
      </c>
      <c r="K50" s="9" t="s">
        <v>1551</v>
      </c>
      <c r="L50" s="9" t="s">
        <v>23</v>
      </c>
      <c r="M50" s="112">
        <v>2026.0</v>
      </c>
      <c r="N50" s="9">
        <f>-(366-375)</f>
        <v>9</v>
      </c>
      <c r="O50" s="95" t="s">
        <v>2678</v>
      </c>
      <c r="P50" s="8"/>
      <c r="R50" s="109"/>
    </row>
    <row r="51">
      <c r="A51" s="92">
        <f t="shared" si="1"/>
        <v>3.5</v>
      </c>
      <c r="B51" s="93">
        <v>0.5</v>
      </c>
      <c r="C51" s="93">
        <v>1.0</v>
      </c>
      <c r="D51" s="93">
        <v>1.0</v>
      </c>
      <c r="E51" s="93">
        <v>0.5</v>
      </c>
      <c r="F51" s="93">
        <v>0.5</v>
      </c>
      <c r="G51" s="94"/>
      <c r="H51" s="96"/>
      <c r="I51" s="10" t="s">
        <v>2689</v>
      </c>
      <c r="J51" s="111" t="s">
        <v>1599</v>
      </c>
      <c r="K51" s="9" t="s">
        <v>1598</v>
      </c>
      <c r="L51" s="9" t="s">
        <v>23</v>
      </c>
      <c r="M51" s="112">
        <v>2025.0</v>
      </c>
      <c r="N51" s="9">
        <f>-(54-59)</f>
        <v>5</v>
      </c>
      <c r="O51" s="95" t="s">
        <v>2678</v>
      </c>
      <c r="P51" s="8"/>
      <c r="R51" s="109"/>
    </row>
    <row r="52">
      <c r="A52" s="92">
        <f t="shared" si="1"/>
        <v>5</v>
      </c>
      <c r="B52" s="95">
        <v>1.0</v>
      </c>
      <c r="C52" s="95">
        <v>1.0</v>
      </c>
      <c r="D52" s="95">
        <v>1.0</v>
      </c>
      <c r="E52" s="95">
        <v>1.0</v>
      </c>
      <c r="F52" s="95">
        <v>1.0</v>
      </c>
      <c r="G52" s="94"/>
      <c r="H52" s="94"/>
      <c r="I52" s="10" t="s">
        <v>2690</v>
      </c>
      <c r="J52" s="41" t="s">
        <v>1727</v>
      </c>
      <c r="K52" s="9" t="s">
        <v>1726</v>
      </c>
      <c r="L52" s="9" t="s">
        <v>23</v>
      </c>
      <c r="M52" s="112">
        <v>2026.0</v>
      </c>
      <c r="N52" s="9">
        <f>-(1-24)</f>
        <v>23</v>
      </c>
      <c r="O52" s="1" t="s">
        <v>2607</v>
      </c>
      <c r="P52" s="8"/>
      <c r="R52" s="109"/>
    </row>
    <row r="53">
      <c r="A53" s="92">
        <f t="shared" si="1"/>
        <v>4.5</v>
      </c>
      <c r="B53" s="95">
        <v>1.0</v>
      </c>
      <c r="C53" s="95">
        <v>1.0</v>
      </c>
      <c r="D53" s="95">
        <v>1.0</v>
      </c>
      <c r="E53" s="95">
        <v>1.0</v>
      </c>
      <c r="F53" s="95">
        <v>0.5</v>
      </c>
      <c r="G53" s="94"/>
      <c r="H53" s="94"/>
      <c r="I53" s="10" t="s">
        <v>2691</v>
      </c>
      <c r="J53" s="41" t="s">
        <v>1735</v>
      </c>
      <c r="K53" s="9" t="s">
        <v>1734</v>
      </c>
      <c r="L53" s="9" t="s">
        <v>23</v>
      </c>
      <c r="M53" s="112">
        <v>2026.0</v>
      </c>
      <c r="N53" s="9">
        <f>-(1-23)</f>
        <v>22</v>
      </c>
      <c r="O53" s="1" t="s">
        <v>2607</v>
      </c>
      <c r="P53" s="8"/>
      <c r="R53" s="109"/>
    </row>
    <row r="54">
      <c r="A54" s="92">
        <f t="shared" si="1"/>
        <v>5</v>
      </c>
      <c r="B54" s="95">
        <v>1.0</v>
      </c>
      <c r="C54" s="95">
        <v>1.0</v>
      </c>
      <c r="D54" s="95">
        <v>1.0</v>
      </c>
      <c r="E54" s="95">
        <v>1.0</v>
      </c>
      <c r="F54" s="95">
        <v>1.0</v>
      </c>
      <c r="G54" s="94"/>
      <c r="H54" s="94"/>
      <c r="I54" s="10" t="s">
        <v>2692</v>
      </c>
      <c r="J54" s="41" t="s">
        <v>1767</v>
      </c>
      <c r="K54" s="9" t="s">
        <v>1766</v>
      </c>
      <c r="L54" s="9" t="s">
        <v>23</v>
      </c>
      <c r="M54" s="112">
        <v>2026.0</v>
      </c>
      <c r="N54" s="9">
        <f>-(1-34)</f>
        <v>33</v>
      </c>
      <c r="O54" s="1" t="s">
        <v>2607</v>
      </c>
      <c r="P54" s="8"/>
      <c r="R54" s="109"/>
    </row>
    <row r="55">
      <c r="A55" s="92">
        <f t="shared" si="1"/>
        <v>5</v>
      </c>
      <c r="B55" s="95">
        <v>1.0</v>
      </c>
      <c r="C55" s="95">
        <v>1.0</v>
      </c>
      <c r="D55" s="95">
        <v>1.0</v>
      </c>
      <c r="E55" s="95">
        <v>1.0</v>
      </c>
      <c r="F55" s="95">
        <v>1.0</v>
      </c>
      <c r="G55" s="94"/>
      <c r="H55" s="94"/>
      <c r="I55" s="10" t="s">
        <v>2693</v>
      </c>
      <c r="J55" s="41" t="s">
        <v>1359</v>
      </c>
      <c r="K55" s="9" t="s">
        <v>1358</v>
      </c>
      <c r="L55" s="9" t="s">
        <v>23</v>
      </c>
      <c r="M55" s="112">
        <v>2025.0</v>
      </c>
      <c r="N55" s="9">
        <f>-(244-266)</f>
        <v>22</v>
      </c>
      <c r="O55" s="1" t="s">
        <v>2607</v>
      </c>
      <c r="P55" s="8"/>
      <c r="R55" s="109"/>
    </row>
    <row r="56">
      <c r="A56" s="92">
        <f t="shared" si="1"/>
        <v>5</v>
      </c>
      <c r="B56" s="95">
        <v>1.0</v>
      </c>
      <c r="C56" s="95">
        <v>1.0</v>
      </c>
      <c r="D56" s="95">
        <v>1.0</v>
      </c>
      <c r="E56" s="95">
        <v>1.0</v>
      </c>
      <c r="F56" s="95">
        <v>1.0</v>
      </c>
      <c r="G56" s="94"/>
      <c r="H56" s="94"/>
      <c r="I56" s="10" t="s">
        <v>2694</v>
      </c>
      <c r="J56" s="41" t="s">
        <v>1832</v>
      </c>
      <c r="K56" s="9" t="s">
        <v>1831</v>
      </c>
      <c r="L56" s="9" t="s">
        <v>23</v>
      </c>
      <c r="M56" s="112">
        <v>2025.0</v>
      </c>
      <c r="N56" s="9">
        <f>-(1-26)</f>
        <v>25</v>
      </c>
      <c r="O56" s="1" t="s">
        <v>2607</v>
      </c>
      <c r="P56" s="8"/>
      <c r="R56" s="109"/>
    </row>
    <row r="57">
      <c r="A57" s="92">
        <f t="shared" si="1"/>
        <v>5</v>
      </c>
      <c r="B57" s="95">
        <v>1.0</v>
      </c>
      <c r="C57" s="95">
        <v>1.0</v>
      </c>
      <c r="D57" s="95">
        <v>1.0</v>
      </c>
      <c r="E57" s="95">
        <v>1.0</v>
      </c>
      <c r="F57" s="95">
        <v>1.0</v>
      </c>
      <c r="G57" s="94"/>
      <c r="H57" s="94"/>
      <c r="I57" s="10" t="s">
        <v>2695</v>
      </c>
      <c r="J57" s="41" t="s">
        <v>1864</v>
      </c>
      <c r="K57" s="9" t="s">
        <v>1863</v>
      </c>
      <c r="L57" s="9" t="s">
        <v>23</v>
      </c>
      <c r="M57" s="112">
        <v>2025.0</v>
      </c>
      <c r="N57" s="9">
        <f>-(1663-1683)</f>
        <v>20</v>
      </c>
      <c r="O57" s="1" t="s">
        <v>2607</v>
      </c>
      <c r="P57" s="8"/>
      <c r="R57" s="109"/>
    </row>
    <row r="58">
      <c r="A58" s="92">
        <f t="shared" si="1"/>
        <v>5</v>
      </c>
      <c r="B58" s="95">
        <v>1.0</v>
      </c>
      <c r="C58" s="95">
        <v>1.0</v>
      </c>
      <c r="D58" s="95">
        <v>1.0</v>
      </c>
      <c r="E58" s="95">
        <v>1.0</v>
      </c>
      <c r="F58" s="95">
        <v>1.0</v>
      </c>
      <c r="G58" s="94"/>
      <c r="H58" s="94"/>
      <c r="I58" s="10" t="s">
        <v>2696</v>
      </c>
      <c r="J58" s="41" t="s">
        <v>1690</v>
      </c>
      <c r="K58" s="9" t="s">
        <v>1689</v>
      </c>
      <c r="L58" s="9" t="s">
        <v>23</v>
      </c>
      <c r="M58" s="112">
        <v>2025.0</v>
      </c>
      <c r="N58" s="9">
        <f>-(67-103)</f>
        <v>36</v>
      </c>
      <c r="O58" s="1" t="s">
        <v>2607</v>
      </c>
      <c r="P58" s="8"/>
      <c r="R58" s="109"/>
    </row>
    <row r="59">
      <c r="A59" s="92">
        <f t="shared" si="1"/>
        <v>5</v>
      </c>
      <c r="B59" s="95">
        <v>1.0</v>
      </c>
      <c r="C59" s="95">
        <v>1.0</v>
      </c>
      <c r="D59" s="95">
        <v>1.0</v>
      </c>
      <c r="E59" s="95">
        <v>1.0</v>
      </c>
      <c r="F59" s="95">
        <v>1.0</v>
      </c>
      <c r="G59" s="94"/>
      <c r="H59" s="94"/>
      <c r="I59" s="10" t="s">
        <v>2697</v>
      </c>
      <c r="J59" s="41" t="s">
        <v>1896</v>
      </c>
      <c r="K59" s="9" t="s">
        <v>1895</v>
      </c>
      <c r="L59" s="9" t="s">
        <v>23</v>
      </c>
      <c r="M59" s="112">
        <v>2025.0</v>
      </c>
      <c r="N59" s="9">
        <f>-(198-219)</f>
        <v>21</v>
      </c>
      <c r="O59" s="1" t="s">
        <v>2607</v>
      </c>
      <c r="P59" s="8"/>
      <c r="R59" s="109"/>
    </row>
    <row r="60">
      <c r="A60" s="92">
        <f t="shared" si="1"/>
        <v>5</v>
      </c>
      <c r="B60" s="95">
        <v>1.0</v>
      </c>
      <c r="C60" s="95">
        <v>1.0</v>
      </c>
      <c r="D60" s="95">
        <v>1.0</v>
      </c>
      <c r="E60" s="95">
        <v>1.0</v>
      </c>
      <c r="F60" s="95">
        <v>1.0</v>
      </c>
      <c r="G60" s="94"/>
      <c r="H60" s="94"/>
      <c r="I60" s="10" t="s">
        <v>2698</v>
      </c>
      <c r="J60" s="41" t="s">
        <v>1675</v>
      </c>
      <c r="K60" s="9" t="s">
        <v>1674</v>
      </c>
      <c r="L60" s="9" t="s">
        <v>23</v>
      </c>
      <c r="M60" s="112">
        <v>2024.0</v>
      </c>
      <c r="N60" s="9">
        <f>-(3165-3191)</f>
        <v>26</v>
      </c>
      <c r="O60" s="1" t="s">
        <v>2607</v>
      </c>
      <c r="P60" s="8"/>
      <c r="R60" s="109"/>
    </row>
    <row r="61">
      <c r="A61" s="92">
        <f t="shared" si="1"/>
        <v>5</v>
      </c>
      <c r="B61" s="95">
        <v>1.0</v>
      </c>
      <c r="C61" s="95">
        <v>1.0</v>
      </c>
      <c r="D61" s="95">
        <v>1.0</v>
      </c>
      <c r="E61" s="95">
        <v>1.0</v>
      </c>
      <c r="F61" s="95">
        <v>1.0</v>
      </c>
      <c r="G61" s="94"/>
      <c r="H61" s="94"/>
      <c r="I61" s="10" t="s">
        <v>2699</v>
      </c>
      <c r="J61" s="41" t="s">
        <v>1481</v>
      </c>
      <c r="K61" s="9" t="s">
        <v>1480</v>
      </c>
      <c r="L61" s="9" t="s">
        <v>23</v>
      </c>
      <c r="M61" s="112">
        <v>2024.0</v>
      </c>
      <c r="N61" s="9">
        <f>-(799-842)</f>
        <v>43</v>
      </c>
      <c r="O61" s="1" t="s">
        <v>2607</v>
      </c>
      <c r="P61" s="8"/>
      <c r="R61" s="109"/>
    </row>
    <row r="62">
      <c r="A62" s="92">
        <f t="shared" si="1"/>
        <v>3.5</v>
      </c>
      <c r="B62" s="95">
        <v>0.5</v>
      </c>
      <c r="C62" s="95">
        <v>1.0</v>
      </c>
      <c r="D62" s="95">
        <v>1.0</v>
      </c>
      <c r="E62" s="95">
        <v>0.5</v>
      </c>
      <c r="F62" s="95">
        <v>0.5</v>
      </c>
      <c r="G62" s="94"/>
      <c r="H62" s="94"/>
      <c r="I62" s="10" t="s">
        <v>2700</v>
      </c>
      <c r="J62" s="41" t="s">
        <v>1473</v>
      </c>
      <c r="K62" s="9" t="s">
        <v>1472</v>
      </c>
      <c r="L62" s="9" t="s">
        <v>23</v>
      </c>
      <c r="M62" s="112">
        <v>2024.0</v>
      </c>
      <c r="N62" s="9">
        <f>-(843-859)</f>
        <v>16</v>
      </c>
      <c r="O62" s="1" t="s">
        <v>2607</v>
      </c>
      <c r="P62" s="8"/>
      <c r="R62" s="109"/>
    </row>
    <row r="63">
      <c r="A63" s="92">
        <f t="shared" si="1"/>
        <v>5</v>
      </c>
      <c r="B63" s="95">
        <v>1.0</v>
      </c>
      <c r="C63" s="95">
        <v>1.0</v>
      </c>
      <c r="D63" s="95">
        <v>1.0</v>
      </c>
      <c r="E63" s="95">
        <v>1.0</v>
      </c>
      <c r="F63" s="95">
        <v>1.0</v>
      </c>
      <c r="G63" s="94"/>
      <c r="H63" s="94"/>
      <c r="I63" s="10" t="s">
        <v>2701</v>
      </c>
      <c r="J63" s="41" t="s">
        <v>1963</v>
      </c>
      <c r="K63" s="9" t="s">
        <v>1962</v>
      </c>
      <c r="L63" s="9" t="s">
        <v>23</v>
      </c>
      <c r="M63" s="112">
        <v>2024.0</v>
      </c>
      <c r="N63" s="9">
        <f>-(1-26)</f>
        <v>25</v>
      </c>
      <c r="O63" s="1" t="s">
        <v>2607</v>
      </c>
      <c r="P63" s="8"/>
      <c r="R63" s="109"/>
    </row>
    <row r="64">
      <c r="A64" s="92">
        <f t="shared" si="1"/>
        <v>5</v>
      </c>
      <c r="B64" s="95">
        <v>1.0</v>
      </c>
      <c r="C64" s="95">
        <v>1.0</v>
      </c>
      <c r="D64" s="95">
        <v>1.0</v>
      </c>
      <c r="E64" s="95">
        <v>1.0</v>
      </c>
      <c r="F64" s="95">
        <v>1.0</v>
      </c>
      <c r="G64" s="94"/>
      <c r="H64" s="94"/>
      <c r="I64" s="10" t="s">
        <v>2702</v>
      </c>
      <c r="J64" s="41" t="s">
        <v>1978</v>
      </c>
      <c r="K64" s="9" t="s">
        <v>1977</v>
      </c>
      <c r="L64" s="9" t="s">
        <v>23</v>
      </c>
      <c r="M64" s="112">
        <v>2023.0</v>
      </c>
      <c r="N64" s="9">
        <f>-(60-91)</f>
        <v>31</v>
      </c>
      <c r="O64" s="1" t="s">
        <v>2607</v>
      </c>
      <c r="P64" s="8"/>
      <c r="R64" s="109"/>
    </row>
    <row r="65">
      <c r="A65" s="92">
        <f t="shared" si="1"/>
        <v>5</v>
      </c>
      <c r="B65" s="95">
        <v>1.0</v>
      </c>
      <c r="C65" s="95">
        <v>1.0</v>
      </c>
      <c r="D65" s="95">
        <v>1.0</v>
      </c>
      <c r="E65" s="95">
        <v>1.0</v>
      </c>
      <c r="F65" s="95">
        <v>1.0</v>
      </c>
      <c r="G65" s="94"/>
      <c r="H65" s="94"/>
      <c r="I65" s="10" t="s">
        <v>2703</v>
      </c>
      <c r="J65" s="41" t="s">
        <v>1994</v>
      </c>
      <c r="K65" s="9" t="s">
        <v>1993</v>
      </c>
      <c r="L65" s="9" t="s">
        <v>23</v>
      </c>
      <c r="M65" s="112">
        <v>2023.0</v>
      </c>
      <c r="N65" s="9">
        <f>-(230-259)</f>
        <v>29</v>
      </c>
      <c r="O65" s="1" t="s">
        <v>2607</v>
      </c>
      <c r="P65" s="8"/>
      <c r="R65" s="109"/>
    </row>
    <row r="66">
      <c r="A66" s="92">
        <f t="shared" si="1"/>
        <v>5</v>
      </c>
      <c r="B66" s="95">
        <v>1.0</v>
      </c>
      <c r="C66" s="95">
        <v>1.0</v>
      </c>
      <c r="D66" s="95">
        <v>1.0</v>
      </c>
      <c r="E66" s="95">
        <v>1.0</v>
      </c>
      <c r="F66" s="95">
        <v>1.0</v>
      </c>
      <c r="G66" s="94"/>
      <c r="H66" s="94"/>
      <c r="I66" s="10" t="s">
        <v>2704</v>
      </c>
      <c r="J66" s="41" t="s">
        <v>1607</v>
      </c>
      <c r="K66" s="9" t="s">
        <v>1606</v>
      </c>
      <c r="L66" s="9" t="s">
        <v>23</v>
      </c>
      <c r="M66" s="112">
        <v>2022.0</v>
      </c>
      <c r="N66" s="9">
        <f>-(325-347)</f>
        <v>22</v>
      </c>
      <c r="O66" s="1" t="s">
        <v>2607</v>
      </c>
      <c r="P66" s="8"/>
      <c r="R66" s="109"/>
    </row>
    <row r="67">
      <c r="A67" s="92">
        <f t="shared" si="1"/>
        <v>4.5</v>
      </c>
      <c r="B67" s="95">
        <v>1.0</v>
      </c>
      <c r="C67" s="95">
        <v>1.0</v>
      </c>
      <c r="D67" s="95">
        <v>1.0</v>
      </c>
      <c r="E67" s="95">
        <v>1.0</v>
      </c>
      <c r="F67" s="95">
        <v>0.5</v>
      </c>
      <c r="G67" s="94"/>
      <c r="H67" s="94"/>
      <c r="I67" s="10" t="s">
        <v>2705</v>
      </c>
      <c r="J67" s="41" t="s">
        <v>1457</v>
      </c>
      <c r="K67" s="9" t="s">
        <v>1456</v>
      </c>
      <c r="L67" s="9" t="s">
        <v>23</v>
      </c>
      <c r="M67" s="112">
        <v>2021.0</v>
      </c>
      <c r="N67" s="9">
        <f>-(597-616)</f>
        <v>19</v>
      </c>
      <c r="O67" s="1" t="s">
        <v>2607</v>
      </c>
      <c r="P67" s="8"/>
      <c r="R67" s="109"/>
    </row>
    <row r="68">
      <c r="A68" s="92">
        <f t="shared" si="1"/>
        <v>4</v>
      </c>
      <c r="B68" s="95">
        <v>0.5</v>
      </c>
      <c r="C68" s="95">
        <v>1.0</v>
      </c>
      <c r="D68" s="95">
        <v>1.0</v>
      </c>
      <c r="E68" s="95">
        <v>0.5</v>
      </c>
      <c r="F68" s="95">
        <v>1.0</v>
      </c>
      <c r="G68" s="94"/>
      <c r="H68" s="94"/>
      <c r="I68" s="10" t="s">
        <v>2706</v>
      </c>
      <c r="J68" s="41" t="s">
        <v>850</v>
      </c>
      <c r="K68" s="50" t="s">
        <v>2141</v>
      </c>
      <c r="L68" s="9" t="s">
        <v>2117</v>
      </c>
      <c r="M68" s="9">
        <v>2022.0</v>
      </c>
      <c r="N68" s="6">
        <f>(S68-R68)</f>
        <v>0</v>
      </c>
      <c r="O68" s="1" t="s">
        <v>2608</v>
      </c>
    </row>
    <row r="69">
      <c r="A69" s="92">
        <f t="shared" si="1"/>
        <v>4</v>
      </c>
      <c r="B69" s="95">
        <v>0.5</v>
      </c>
      <c r="C69" s="95">
        <v>1.0</v>
      </c>
      <c r="D69" s="95">
        <v>1.0</v>
      </c>
      <c r="E69" s="95">
        <v>1.0</v>
      </c>
      <c r="F69" s="95">
        <v>0.5</v>
      </c>
      <c r="G69" s="94"/>
      <c r="H69" s="94"/>
      <c r="I69" s="10" t="s">
        <v>2707</v>
      </c>
      <c r="J69" s="41" t="s">
        <v>2147</v>
      </c>
      <c r="K69" s="50" t="s">
        <v>2146</v>
      </c>
      <c r="L69" s="9" t="s">
        <v>2117</v>
      </c>
      <c r="M69" s="9">
        <v>2025.0</v>
      </c>
      <c r="N69" s="48">
        <v>10.0</v>
      </c>
      <c r="O69" s="1" t="s">
        <v>2608</v>
      </c>
    </row>
    <row r="70">
      <c r="A70" s="92">
        <f t="shared" si="1"/>
        <v>5</v>
      </c>
      <c r="B70" s="95">
        <v>1.0</v>
      </c>
      <c r="C70" s="95">
        <v>1.0</v>
      </c>
      <c r="D70" s="95">
        <v>1.0</v>
      </c>
      <c r="E70" s="95">
        <v>1.0</v>
      </c>
      <c r="F70" s="95">
        <v>1.0</v>
      </c>
      <c r="G70" s="94"/>
      <c r="H70" s="94"/>
      <c r="I70" s="10" t="s">
        <v>2708</v>
      </c>
      <c r="J70" s="41" t="s">
        <v>1306</v>
      </c>
      <c r="K70" s="50" t="s">
        <v>2171</v>
      </c>
      <c r="L70" s="9" t="s">
        <v>2124</v>
      </c>
      <c r="M70" s="9">
        <v>2021.0</v>
      </c>
      <c r="N70" s="48">
        <v>15.0</v>
      </c>
      <c r="O70" s="1" t="s">
        <v>2608</v>
      </c>
    </row>
    <row r="71">
      <c r="A71" s="92">
        <f t="shared" si="1"/>
        <v>3.5</v>
      </c>
      <c r="B71" s="95">
        <v>0.5</v>
      </c>
      <c r="C71" s="95">
        <v>1.0</v>
      </c>
      <c r="D71" s="95">
        <v>1.0</v>
      </c>
      <c r="E71" s="95">
        <v>0.5</v>
      </c>
      <c r="F71" s="95">
        <v>0.5</v>
      </c>
      <c r="G71" s="94"/>
      <c r="H71" s="94"/>
      <c r="I71" s="10" t="s">
        <v>2709</v>
      </c>
      <c r="J71" s="41" t="s">
        <v>2177</v>
      </c>
      <c r="K71" s="50" t="s">
        <v>2176</v>
      </c>
      <c r="L71" s="9" t="s">
        <v>2117</v>
      </c>
      <c r="M71" s="9">
        <v>2024.0</v>
      </c>
      <c r="N71" s="48">
        <v>17.0</v>
      </c>
      <c r="O71" s="1" t="s">
        <v>2608</v>
      </c>
    </row>
    <row r="72">
      <c r="A72" s="92">
        <f t="shared" si="1"/>
        <v>5</v>
      </c>
      <c r="B72" s="95">
        <v>1.0</v>
      </c>
      <c r="C72" s="95">
        <v>1.0</v>
      </c>
      <c r="D72" s="95">
        <v>1.0</v>
      </c>
      <c r="E72" s="95">
        <v>1.0</v>
      </c>
      <c r="F72" s="95">
        <v>1.0</v>
      </c>
      <c r="G72" s="94"/>
      <c r="H72" s="94"/>
      <c r="I72" s="42" t="s">
        <v>2710</v>
      </c>
      <c r="J72" s="41" t="s">
        <v>2213</v>
      </c>
      <c r="K72" s="50" t="s">
        <v>2212</v>
      </c>
      <c r="L72" s="9" t="s">
        <v>2124</v>
      </c>
      <c r="M72" s="9">
        <v>2022.0</v>
      </c>
      <c r="N72" s="6">
        <f>(S72-R72)</f>
        <v>0</v>
      </c>
      <c r="O72" s="1" t="s">
        <v>2608</v>
      </c>
    </row>
    <row r="73">
      <c r="A73" s="92">
        <f t="shared" si="1"/>
        <v>4.5</v>
      </c>
      <c r="B73" s="95">
        <v>0.5</v>
      </c>
      <c r="C73" s="95">
        <v>1.0</v>
      </c>
      <c r="D73" s="95">
        <v>1.0</v>
      </c>
      <c r="E73" s="95">
        <v>1.0</v>
      </c>
      <c r="F73" s="95">
        <v>1.0</v>
      </c>
      <c r="G73" s="94"/>
      <c r="H73" s="94"/>
      <c r="I73" s="10" t="s">
        <v>2711</v>
      </c>
      <c r="J73" s="41" t="s">
        <v>2220</v>
      </c>
      <c r="K73" s="50" t="s">
        <v>2219</v>
      </c>
      <c r="L73" s="9" t="s">
        <v>2124</v>
      </c>
      <c r="M73" s="9">
        <v>2025.0</v>
      </c>
      <c r="N73" s="48">
        <v>35.0</v>
      </c>
      <c r="O73" s="1" t="s">
        <v>2608</v>
      </c>
    </row>
    <row r="74">
      <c r="A74" s="92">
        <f t="shared" si="1"/>
        <v>5</v>
      </c>
      <c r="B74" s="95">
        <v>1.0</v>
      </c>
      <c r="C74" s="95">
        <v>1.0</v>
      </c>
      <c r="D74" s="95">
        <v>1.0</v>
      </c>
      <c r="E74" s="95">
        <v>1.0</v>
      </c>
      <c r="F74" s="95">
        <v>1.0</v>
      </c>
      <c r="G74" s="94"/>
      <c r="H74" s="94"/>
      <c r="I74" s="10" t="s">
        <v>2712</v>
      </c>
      <c r="J74" s="41" t="s">
        <v>2269</v>
      </c>
      <c r="K74" s="50" t="s">
        <v>2268</v>
      </c>
      <c r="L74" s="9" t="s">
        <v>2124</v>
      </c>
      <c r="M74" s="9">
        <v>2026.0</v>
      </c>
      <c r="N74" s="48">
        <v>34.0</v>
      </c>
      <c r="O74" s="1" t="s">
        <v>2608</v>
      </c>
    </row>
    <row r="75">
      <c r="A75" s="92">
        <f t="shared" si="1"/>
        <v>5</v>
      </c>
      <c r="B75" s="95">
        <v>1.0</v>
      </c>
      <c r="C75" s="95">
        <v>1.0</v>
      </c>
      <c r="D75" s="95">
        <v>1.0</v>
      </c>
      <c r="E75" s="95">
        <v>1.0</v>
      </c>
      <c r="F75" s="95">
        <v>1.0</v>
      </c>
      <c r="G75" s="94"/>
      <c r="H75" s="94"/>
      <c r="I75" s="10" t="s">
        <v>2713</v>
      </c>
      <c r="J75" s="41" t="s">
        <v>1466</v>
      </c>
      <c r="K75" s="50" t="s">
        <v>2311</v>
      </c>
      <c r="L75" s="9" t="s">
        <v>2124</v>
      </c>
      <c r="M75" s="9">
        <v>2022.0</v>
      </c>
      <c r="N75" s="48">
        <v>19.0</v>
      </c>
      <c r="O75" s="1" t="s">
        <v>2608</v>
      </c>
    </row>
    <row r="76">
      <c r="A76" s="92">
        <f t="shared" si="1"/>
        <v>5</v>
      </c>
      <c r="B76" s="95">
        <v>1.0</v>
      </c>
      <c r="C76" s="95">
        <v>1.0</v>
      </c>
      <c r="D76" s="95">
        <v>1.0</v>
      </c>
      <c r="E76" s="95">
        <v>1.0</v>
      </c>
      <c r="F76" s="95">
        <v>1.0</v>
      </c>
      <c r="G76" s="94"/>
      <c r="H76" s="94"/>
      <c r="I76" s="10" t="s">
        <v>2714</v>
      </c>
      <c r="J76" s="41" t="s">
        <v>2325</v>
      </c>
      <c r="K76" s="50" t="s">
        <v>2324</v>
      </c>
      <c r="L76" s="9" t="s">
        <v>2124</v>
      </c>
      <c r="M76" s="9">
        <v>2023.0</v>
      </c>
      <c r="N76" s="48">
        <v>19.0</v>
      </c>
      <c r="O76" s="1" t="s">
        <v>2608</v>
      </c>
    </row>
    <row r="77">
      <c r="A77" s="92">
        <f t="shared" si="1"/>
        <v>5</v>
      </c>
      <c r="B77" s="95">
        <v>1.0</v>
      </c>
      <c r="C77" s="95">
        <v>1.0</v>
      </c>
      <c r="D77" s="95">
        <v>1.0</v>
      </c>
      <c r="E77" s="95">
        <v>1.0</v>
      </c>
      <c r="F77" s="95">
        <v>1.0</v>
      </c>
      <c r="G77" s="94"/>
      <c r="H77" s="94"/>
      <c r="I77" s="10" t="s">
        <v>2715</v>
      </c>
      <c r="J77" s="41" t="s">
        <v>2339</v>
      </c>
      <c r="K77" s="50" t="s">
        <v>2338</v>
      </c>
      <c r="L77" s="9" t="s">
        <v>2124</v>
      </c>
      <c r="M77" s="9">
        <v>2021.0</v>
      </c>
      <c r="N77" s="48">
        <v>14.0</v>
      </c>
      <c r="O77" s="1" t="s">
        <v>2608</v>
      </c>
    </row>
    <row r="78">
      <c r="A78" s="92">
        <f t="shared" si="1"/>
        <v>4.5</v>
      </c>
      <c r="B78" s="95">
        <v>1.0</v>
      </c>
      <c r="C78" s="95">
        <v>1.0</v>
      </c>
      <c r="D78" s="95">
        <v>1.0</v>
      </c>
      <c r="E78" s="95">
        <v>1.0</v>
      </c>
      <c r="F78" s="95">
        <v>0.5</v>
      </c>
      <c r="G78" s="94"/>
      <c r="H78" s="94"/>
      <c r="I78" s="10" t="s">
        <v>2716</v>
      </c>
      <c r="J78" s="41" t="s">
        <v>2363</v>
      </c>
      <c r="K78" s="50" t="s">
        <v>2362</v>
      </c>
      <c r="L78" s="9" t="s">
        <v>2117</v>
      </c>
      <c r="M78" s="9">
        <v>2022.0</v>
      </c>
      <c r="N78" s="48">
        <v>9.0</v>
      </c>
      <c r="O78" s="1" t="s">
        <v>2608</v>
      </c>
    </row>
    <row r="79">
      <c r="A79" s="97">
        <f t="shared" si="1"/>
        <v>0</v>
      </c>
      <c r="B79" s="113"/>
      <c r="C79" s="113"/>
      <c r="D79" s="113"/>
      <c r="E79" s="113"/>
      <c r="F79" s="113"/>
      <c r="G79" s="99"/>
      <c r="H79" s="114" t="s">
        <v>2717</v>
      </c>
      <c r="I79" s="115" t="s">
        <v>2718</v>
      </c>
      <c r="J79" s="102" t="s">
        <v>2378</v>
      </c>
      <c r="K79" s="116" t="s">
        <v>2377</v>
      </c>
      <c r="L79" s="103" t="s">
        <v>2117</v>
      </c>
      <c r="M79" s="103">
        <v>2022.0</v>
      </c>
      <c r="N79" s="117">
        <f>(S79-R79)</f>
        <v>0</v>
      </c>
      <c r="O79" s="118" t="s">
        <v>2608</v>
      </c>
      <c r="P79" s="118" t="s">
        <v>2719</v>
      </c>
      <c r="Q79" s="107"/>
      <c r="R79" s="107"/>
      <c r="S79" s="107"/>
      <c r="T79" s="107"/>
      <c r="U79" s="107"/>
      <c r="V79" s="107"/>
      <c r="W79" s="107"/>
      <c r="X79" s="107"/>
      <c r="Y79" s="107"/>
      <c r="Z79" s="107"/>
    </row>
    <row r="80">
      <c r="A80" s="92">
        <f t="shared" si="1"/>
        <v>5</v>
      </c>
      <c r="B80" s="95">
        <v>1.0</v>
      </c>
      <c r="C80" s="95">
        <v>1.0</v>
      </c>
      <c r="D80" s="95">
        <v>1.0</v>
      </c>
      <c r="E80" s="95">
        <v>1.0</v>
      </c>
      <c r="F80" s="95">
        <v>1.0</v>
      </c>
      <c r="G80" s="94"/>
      <c r="H80" s="94"/>
      <c r="I80" s="10" t="s">
        <v>2720</v>
      </c>
      <c r="J80" s="41" t="s">
        <v>2385</v>
      </c>
      <c r="K80" s="50" t="s">
        <v>2384</v>
      </c>
      <c r="L80" s="9" t="s">
        <v>2124</v>
      </c>
      <c r="M80" s="9">
        <v>2025.0</v>
      </c>
      <c r="N80" s="48">
        <v>15.0</v>
      </c>
      <c r="O80" s="1" t="s">
        <v>2608</v>
      </c>
    </row>
    <row r="81">
      <c r="A81" s="92">
        <f t="shared" si="1"/>
        <v>4.5</v>
      </c>
      <c r="B81" s="95">
        <v>1.0</v>
      </c>
      <c r="C81" s="95">
        <v>1.0</v>
      </c>
      <c r="D81" s="95">
        <v>1.0</v>
      </c>
      <c r="E81" s="95">
        <v>1.0</v>
      </c>
      <c r="F81" s="95">
        <v>0.5</v>
      </c>
      <c r="G81" s="94"/>
      <c r="H81" s="94"/>
      <c r="I81" s="10" t="s">
        <v>2721</v>
      </c>
      <c r="J81" s="41" t="s">
        <v>2397</v>
      </c>
      <c r="K81" s="50" t="s">
        <v>2396</v>
      </c>
      <c r="L81" s="9" t="s">
        <v>2124</v>
      </c>
      <c r="M81" s="9">
        <v>2021.0</v>
      </c>
      <c r="N81" s="48">
        <v>17.0</v>
      </c>
      <c r="O81" s="1" t="s">
        <v>2608</v>
      </c>
    </row>
    <row r="82">
      <c r="A82" s="92">
        <f t="shared" si="1"/>
        <v>5</v>
      </c>
      <c r="B82" s="95">
        <v>1.0</v>
      </c>
      <c r="C82" s="95">
        <v>1.0</v>
      </c>
      <c r="D82" s="95">
        <v>1.0</v>
      </c>
      <c r="E82" s="95">
        <v>1.0</v>
      </c>
      <c r="F82" s="95">
        <v>1.0</v>
      </c>
      <c r="G82" s="94"/>
      <c r="H82" s="94"/>
      <c r="I82" s="10" t="s">
        <v>2722</v>
      </c>
      <c r="J82" s="41" t="s">
        <v>2404</v>
      </c>
      <c r="K82" s="50" t="s">
        <v>2403</v>
      </c>
      <c r="L82" s="9" t="s">
        <v>2124</v>
      </c>
      <c r="M82" s="9">
        <v>2026.0</v>
      </c>
      <c r="N82" s="48">
        <v>19.0</v>
      </c>
      <c r="O82" s="1" t="s">
        <v>2608</v>
      </c>
    </row>
    <row r="83">
      <c r="A83" s="92">
        <f t="shared" si="1"/>
        <v>4</v>
      </c>
      <c r="B83" s="95">
        <v>1.0</v>
      </c>
      <c r="C83" s="95">
        <v>1.0</v>
      </c>
      <c r="D83" s="95">
        <v>1.0</v>
      </c>
      <c r="E83" s="95">
        <v>0.5</v>
      </c>
      <c r="F83" s="95">
        <v>0.5</v>
      </c>
      <c r="G83" s="94"/>
      <c r="H83" s="94"/>
      <c r="I83" s="10" t="s">
        <v>2723</v>
      </c>
      <c r="J83" s="41" t="s">
        <v>2487</v>
      </c>
      <c r="K83" s="50" t="s">
        <v>2486</v>
      </c>
      <c r="L83" s="9" t="s">
        <v>2124</v>
      </c>
      <c r="M83" s="9">
        <v>2024.0</v>
      </c>
      <c r="N83" s="6">
        <f>(S83-R83)</f>
        <v>0</v>
      </c>
      <c r="O83" s="1" t="s">
        <v>2608</v>
      </c>
    </row>
    <row r="84">
      <c r="A84" s="92">
        <f t="shared" si="1"/>
        <v>5</v>
      </c>
      <c r="B84" s="95">
        <v>1.0</v>
      </c>
      <c r="C84" s="95">
        <v>1.0</v>
      </c>
      <c r="D84" s="95">
        <v>1.0</v>
      </c>
      <c r="E84" s="95">
        <v>1.0</v>
      </c>
      <c r="F84" s="95">
        <v>1.0</v>
      </c>
      <c r="G84" s="94"/>
      <c r="H84" s="94"/>
      <c r="I84" s="10" t="s">
        <v>2724</v>
      </c>
      <c r="J84" s="41" t="s">
        <v>2494</v>
      </c>
      <c r="K84" s="50" t="s">
        <v>2493</v>
      </c>
      <c r="L84" s="9" t="s">
        <v>2117</v>
      </c>
      <c r="M84" s="9">
        <v>2023.0</v>
      </c>
      <c r="N84" s="48">
        <v>10.0</v>
      </c>
      <c r="O84" s="1" t="s">
        <v>2608</v>
      </c>
    </row>
    <row r="85">
      <c r="A85" s="92">
        <f t="shared" si="1"/>
        <v>3</v>
      </c>
      <c r="B85" s="95">
        <v>0.5</v>
      </c>
      <c r="C85" s="95">
        <v>1.0</v>
      </c>
      <c r="D85" s="95">
        <v>0.5</v>
      </c>
      <c r="E85" s="95">
        <v>0.5</v>
      </c>
      <c r="F85" s="95">
        <v>0.5</v>
      </c>
      <c r="G85" s="94"/>
      <c r="H85" s="94"/>
      <c r="I85" s="10" t="s">
        <v>2725</v>
      </c>
      <c r="J85" s="41" t="s">
        <v>2513</v>
      </c>
      <c r="K85" s="50" t="s">
        <v>2512</v>
      </c>
      <c r="L85" s="9" t="s">
        <v>2117</v>
      </c>
      <c r="M85" s="9">
        <v>2024.0</v>
      </c>
      <c r="N85" s="6">
        <f>(S85-R85)</f>
        <v>0</v>
      </c>
      <c r="O85" s="1" t="s">
        <v>2608</v>
      </c>
    </row>
    <row r="86">
      <c r="A86" s="92">
        <f t="shared" si="1"/>
        <v>3.5</v>
      </c>
      <c r="B86" s="95">
        <v>0.5</v>
      </c>
      <c r="C86" s="95">
        <v>1.0</v>
      </c>
      <c r="D86" s="95">
        <v>1.0</v>
      </c>
      <c r="E86" s="95">
        <v>0.5</v>
      </c>
      <c r="F86" s="95">
        <v>0.5</v>
      </c>
      <c r="G86" s="94"/>
      <c r="H86" s="94"/>
      <c r="I86" s="10" t="s">
        <v>2726</v>
      </c>
      <c r="J86" s="41" t="s">
        <v>2519</v>
      </c>
      <c r="K86" s="50" t="s">
        <v>2518</v>
      </c>
      <c r="L86" s="9" t="s">
        <v>2124</v>
      </c>
      <c r="M86" s="9">
        <v>2025.0</v>
      </c>
      <c r="N86" s="48">
        <v>15.0</v>
      </c>
      <c r="O86" s="1" t="s">
        <v>2608</v>
      </c>
    </row>
    <row r="87">
      <c r="A87" s="97">
        <f t="shared" si="1"/>
        <v>0</v>
      </c>
      <c r="B87" s="113"/>
      <c r="C87" s="113"/>
      <c r="D87" s="113"/>
      <c r="E87" s="113"/>
      <c r="F87" s="113"/>
      <c r="G87" s="99"/>
      <c r="H87" s="114" t="s">
        <v>2717</v>
      </c>
      <c r="I87" s="101" t="s">
        <v>2727</v>
      </c>
      <c r="J87" s="102" t="s">
        <v>2538</v>
      </c>
      <c r="K87" s="116" t="s">
        <v>2537</v>
      </c>
      <c r="L87" s="103" t="s">
        <v>2117</v>
      </c>
      <c r="M87" s="103">
        <v>2023.0</v>
      </c>
      <c r="N87" s="117">
        <f>(S87-R87)</f>
        <v>0</v>
      </c>
      <c r="O87" s="118" t="s">
        <v>2608</v>
      </c>
      <c r="P87" s="118" t="s">
        <v>2719</v>
      </c>
      <c r="Q87" s="107"/>
      <c r="R87" s="107"/>
      <c r="S87" s="107"/>
      <c r="T87" s="107"/>
      <c r="U87" s="107"/>
      <c r="V87" s="107"/>
      <c r="W87" s="107"/>
      <c r="X87" s="107"/>
      <c r="Y87" s="107"/>
      <c r="Z87" s="107"/>
    </row>
    <row r="88" hidden="1">
      <c r="I88" s="6"/>
      <c r="J88" s="119"/>
      <c r="K88" s="6"/>
      <c r="L88" s="6"/>
      <c r="M88" s="6"/>
      <c r="N88" s="6"/>
    </row>
    <row r="89" hidden="1">
      <c r="I89" s="6"/>
      <c r="J89" s="119"/>
      <c r="K89" s="6"/>
      <c r="L89" s="6"/>
      <c r="M89" s="6"/>
      <c r="N89" s="6"/>
    </row>
    <row r="90" hidden="1">
      <c r="I90" s="6"/>
      <c r="J90" s="119"/>
      <c r="K90" s="6"/>
      <c r="L90" s="6"/>
      <c r="M90" s="6"/>
      <c r="N90" s="6"/>
    </row>
    <row r="91" hidden="1">
      <c r="I91" s="6"/>
      <c r="J91" s="119"/>
      <c r="K91" s="6"/>
      <c r="L91" s="6"/>
      <c r="M91" s="6"/>
      <c r="N91" s="6"/>
    </row>
    <row r="92" hidden="1">
      <c r="I92" s="6"/>
      <c r="J92" s="119"/>
      <c r="K92" s="6"/>
      <c r="L92" s="6"/>
      <c r="M92" s="6"/>
      <c r="N92" s="6"/>
    </row>
    <row r="93" hidden="1">
      <c r="I93" s="6"/>
      <c r="J93" s="119"/>
      <c r="K93" s="6"/>
      <c r="L93" s="6"/>
      <c r="M93" s="6"/>
      <c r="N93" s="6"/>
    </row>
    <row r="94" hidden="1">
      <c r="I94" s="6"/>
      <c r="J94" s="119"/>
      <c r="K94" s="6"/>
      <c r="L94" s="6"/>
      <c r="M94" s="6"/>
      <c r="N94" s="6"/>
    </row>
    <row r="95" hidden="1">
      <c r="I95" s="6"/>
      <c r="J95" s="119"/>
      <c r="K95" s="6"/>
      <c r="L95" s="6"/>
      <c r="M95" s="6"/>
      <c r="N95" s="6"/>
    </row>
    <row r="96" hidden="1">
      <c r="I96" s="6"/>
      <c r="J96" s="119"/>
      <c r="K96" s="6"/>
      <c r="L96" s="6"/>
      <c r="M96" s="6"/>
      <c r="N96" s="6"/>
    </row>
    <row r="97" hidden="1">
      <c r="I97" s="6"/>
      <c r="J97" s="119"/>
      <c r="K97" s="6"/>
      <c r="L97" s="6"/>
      <c r="M97" s="6"/>
      <c r="N97" s="6"/>
    </row>
    <row r="98" hidden="1">
      <c r="I98" s="6"/>
      <c r="J98" s="119"/>
      <c r="K98" s="6"/>
      <c r="L98" s="6"/>
      <c r="M98" s="6"/>
      <c r="N98" s="6"/>
    </row>
    <row r="99" hidden="1">
      <c r="I99" s="6"/>
      <c r="J99" s="119"/>
      <c r="K99" s="6"/>
      <c r="L99" s="6"/>
      <c r="M99" s="6"/>
      <c r="N99" s="6"/>
    </row>
    <row r="100" hidden="1">
      <c r="I100" s="6"/>
      <c r="J100" s="119"/>
      <c r="K100" s="6"/>
      <c r="L100" s="6"/>
      <c r="M100" s="6"/>
      <c r="N100" s="6"/>
    </row>
    <row r="101" hidden="1">
      <c r="I101" s="6"/>
      <c r="J101" s="119"/>
      <c r="K101" s="6"/>
      <c r="L101" s="6"/>
      <c r="M101" s="6"/>
      <c r="N101" s="6"/>
    </row>
    <row r="102" hidden="1">
      <c r="I102" s="6"/>
      <c r="J102" s="119"/>
      <c r="K102" s="6"/>
      <c r="L102" s="6"/>
      <c r="M102" s="6"/>
      <c r="N102" s="6"/>
    </row>
    <row r="103" hidden="1">
      <c r="I103" s="6"/>
      <c r="J103" s="119"/>
      <c r="K103" s="6"/>
      <c r="L103" s="6"/>
      <c r="M103" s="6"/>
      <c r="N103" s="6"/>
    </row>
    <row r="104" hidden="1">
      <c r="I104" s="6"/>
      <c r="J104" s="119"/>
      <c r="K104" s="6"/>
      <c r="L104" s="6"/>
      <c r="M104" s="6"/>
      <c r="N104" s="6"/>
    </row>
    <row r="105" hidden="1">
      <c r="I105" s="6"/>
      <c r="J105" s="119"/>
      <c r="K105" s="6"/>
      <c r="L105" s="6"/>
      <c r="M105" s="6"/>
      <c r="N105" s="6"/>
    </row>
    <row r="106" hidden="1">
      <c r="I106" s="6"/>
      <c r="J106" s="119"/>
      <c r="K106" s="6"/>
      <c r="L106" s="6"/>
      <c r="M106" s="6"/>
      <c r="N106" s="6"/>
    </row>
    <row r="107" hidden="1">
      <c r="I107" s="6"/>
      <c r="J107" s="119"/>
      <c r="K107" s="6"/>
      <c r="L107" s="6"/>
      <c r="M107" s="6"/>
      <c r="N107" s="6"/>
    </row>
    <row r="108" hidden="1">
      <c r="I108" s="6"/>
      <c r="J108" s="119"/>
      <c r="K108" s="6"/>
      <c r="L108" s="6"/>
      <c r="M108" s="6"/>
      <c r="N108" s="6"/>
    </row>
    <row r="109" hidden="1">
      <c r="I109" s="6"/>
      <c r="J109" s="119"/>
      <c r="K109" s="6"/>
      <c r="L109" s="6"/>
      <c r="M109" s="6"/>
      <c r="N109" s="6"/>
    </row>
    <row r="110" hidden="1">
      <c r="I110" s="6"/>
      <c r="J110" s="119"/>
      <c r="K110" s="6"/>
      <c r="L110" s="6"/>
      <c r="M110" s="6"/>
      <c r="N110" s="6"/>
    </row>
    <row r="111" hidden="1">
      <c r="I111" s="6"/>
      <c r="J111" s="119"/>
      <c r="K111" s="6"/>
      <c r="L111" s="6"/>
      <c r="M111" s="6"/>
      <c r="N111" s="6"/>
    </row>
    <row r="112" hidden="1">
      <c r="I112" s="6"/>
      <c r="J112" s="119"/>
      <c r="K112" s="6"/>
      <c r="L112" s="6"/>
      <c r="M112" s="6"/>
      <c r="N112" s="6"/>
    </row>
    <row r="113" hidden="1">
      <c r="I113" s="6"/>
      <c r="J113" s="119"/>
      <c r="K113" s="6"/>
      <c r="L113" s="6"/>
      <c r="M113" s="6"/>
      <c r="N113" s="6"/>
    </row>
    <row r="114" hidden="1">
      <c r="I114" s="6"/>
      <c r="J114" s="119"/>
      <c r="K114" s="6"/>
      <c r="L114" s="6"/>
      <c r="M114" s="6"/>
      <c r="N114" s="6"/>
    </row>
    <row r="115" hidden="1">
      <c r="I115" s="6"/>
      <c r="J115" s="119"/>
      <c r="K115" s="6"/>
      <c r="L115" s="6"/>
      <c r="M115" s="6"/>
      <c r="N115" s="6"/>
    </row>
    <row r="116" hidden="1">
      <c r="I116" s="6"/>
      <c r="J116" s="119"/>
      <c r="K116" s="6"/>
      <c r="L116" s="6"/>
      <c r="M116" s="6"/>
      <c r="N116" s="6"/>
    </row>
    <row r="117" hidden="1">
      <c r="I117" s="6"/>
      <c r="J117" s="119"/>
      <c r="K117" s="6"/>
      <c r="L117" s="6"/>
      <c r="M117" s="6"/>
      <c r="N117" s="6"/>
    </row>
    <row r="118" hidden="1">
      <c r="I118" s="6"/>
      <c r="J118" s="119"/>
      <c r="K118" s="6"/>
      <c r="L118" s="6"/>
      <c r="M118" s="6"/>
      <c r="N118" s="6"/>
    </row>
    <row r="119" hidden="1">
      <c r="I119" s="6"/>
      <c r="J119" s="119"/>
      <c r="K119" s="6"/>
      <c r="L119" s="6"/>
      <c r="M119" s="6"/>
      <c r="N119" s="6"/>
    </row>
    <row r="120" hidden="1">
      <c r="I120" s="6"/>
      <c r="J120" s="119"/>
      <c r="K120" s="6"/>
      <c r="L120" s="6"/>
      <c r="M120" s="6"/>
      <c r="N120" s="6"/>
    </row>
    <row r="121" hidden="1">
      <c r="I121" s="6"/>
      <c r="J121" s="119"/>
      <c r="K121" s="6"/>
      <c r="L121" s="6"/>
      <c r="M121" s="6"/>
      <c r="N121" s="6"/>
    </row>
    <row r="122" hidden="1">
      <c r="I122" s="6"/>
      <c r="J122" s="119"/>
      <c r="K122" s="6"/>
      <c r="L122" s="6"/>
      <c r="M122" s="6"/>
      <c r="N122" s="6"/>
    </row>
    <row r="123" hidden="1">
      <c r="I123" s="6"/>
      <c r="J123" s="119"/>
      <c r="K123" s="6"/>
      <c r="L123" s="6"/>
      <c r="M123" s="6"/>
      <c r="N123" s="6"/>
    </row>
    <row r="124" hidden="1">
      <c r="I124" s="6"/>
      <c r="J124" s="119"/>
      <c r="K124" s="6"/>
      <c r="L124" s="6"/>
      <c r="M124" s="6"/>
      <c r="N124" s="6"/>
    </row>
    <row r="125" hidden="1">
      <c r="I125" s="6"/>
      <c r="J125" s="119"/>
      <c r="K125" s="6"/>
      <c r="L125" s="6"/>
      <c r="M125" s="6"/>
      <c r="N125" s="6"/>
    </row>
    <row r="126" hidden="1">
      <c r="I126" s="6"/>
      <c r="J126" s="119"/>
      <c r="K126" s="6"/>
      <c r="L126" s="6"/>
      <c r="M126" s="6"/>
      <c r="N126" s="6"/>
    </row>
    <row r="127" hidden="1">
      <c r="I127" s="6"/>
      <c r="J127" s="119"/>
      <c r="K127" s="6"/>
      <c r="L127" s="6"/>
      <c r="M127" s="6"/>
      <c r="N127" s="6"/>
    </row>
    <row r="128" hidden="1">
      <c r="I128" s="6"/>
      <c r="J128" s="119"/>
      <c r="K128" s="6"/>
      <c r="L128" s="6"/>
      <c r="M128" s="6"/>
      <c r="N128" s="6"/>
    </row>
    <row r="129" hidden="1">
      <c r="I129" s="6"/>
      <c r="J129" s="119"/>
      <c r="K129" s="6"/>
      <c r="L129" s="6"/>
      <c r="M129" s="6"/>
      <c r="N129" s="6"/>
    </row>
    <row r="130" hidden="1">
      <c r="I130" s="6"/>
      <c r="J130" s="119"/>
      <c r="K130" s="6"/>
      <c r="L130" s="6"/>
      <c r="M130" s="6"/>
      <c r="N130" s="6"/>
    </row>
    <row r="131" hidden="1">
      <c r="I131" s="6"/>
      <c r="J131" s="119"/>
      <c r="K131" s="6"/>
      <c r="L131" s="6"/>
      <c r="M131" s="6"/>
      <c r="N131" s="6"/>
    </row>
    <row r="132" hidden="1">
      <c r="I132" s="6"/>
      <c r="J132" s="119"/>
      <c r="K132" s="6"/>
      <c r="L132" s="6"/>
      <c r="M132" s="6"/>
      <c r="N132" s="6"/>
    </row>
    <row r="133" hidden="1">
      <c r="I133" s="6"/>
      <c r="J133" s="119"/>
      <c r="K133" s="6"/>
      <c r="L133" s="6"/>
      <c r="M133" s="6"/>
      <c r="N133" s="6"/>
    </row>
    <row r="134" hidden="1">
      <c r="I134" s="6"/>
      <c r="J134" s="119"/>
      <c r="K134" s="6"/>
      <c r="L134" s="6"/>
      <c r="M134" s="6"/>
      <c r="N134" s="6"/>
    </row>
    <row r="135" hidden="1">
      <c r="I135" s="6"/>
      <c r="J135" s="119"/>
      <c r="K135" s="6"/>
      <c r="L135" s="6"/>
      <c r="M135" s="6"/>
      <c r="N135" s="6"/>
    </row>
    <row r="136" hidden="1">
      <c r="I136" s="6"/>
      <c r="J136" s="119"/>
      <c r="K136" s="6"/>
      <c r="L136" s="6"/>
      <c r="M136" s="6"/>
      <c r="N136" s="6"/>
    </row>
    <row r="137" hidden="1">
      <c r="I137" s="6"/>
      <c r="J137" s="119"/>
      <c r="K137" s="6"/>
      <c r="L137" s="6"/>
      <c r="M137" s="6"/>
      <c r="N137" s="6"/>
    </row>
    <row r="138" hidden="1">
      <c r="I138" s="6"/>
      <c r="J138" s="119"/>
      <c r="K138" s="6"/>
      <c r="L138" s="6"/>
      <c r="M138" s="6"/>
      <c r="N138" s="6"/>
    </row>
    <row r="139" hidden="1">
      <c r="I139" s="6"/>
      <c r="J139" s="119"/>
      <c r="K139" s="6"/>
      <c r="L139" s="6"/>
      <c r="M139" s="6"/>
      <c r="N139" s="6"/>
    </row>
    <row r="140" hidden="1">
      <c r="I140" s="6"/>
      <c r="J140" s="119"/>
      <c r="K140" s="6"/>
      <c r="L140" s="6"/>
      <c r="M140" s="6"/>
      <c r="N140" s="6"/>
    </row>
    <row r="141" hidden="1">
      <c r="I141" s="6"/>
      <c r="J141" s="119"/>
      <c r="K141" s="6"/>
      <c r="L141" s="6"/>
      <c r="M141" s="6"/>
      <c r="N141" s="6"/>
    </row>
    <row r="142" hidden="1">
      <c r="I142" s="6"/>
      <c r="J142" s="119"/>
      <c r="K142" s="6"/>
      <c r="L142" s="6"/>
      <c r="M142" s="6"/>
      <c r="N142" s="6"/>
    </row>
    <row r="143" hidden="1">
      <c r="I143" s="6"/>
      <c r="J143" s="119"/>
      <c r="K143" s="6"/>
      <c r="L143" s="6"/>
      <c r="M143" s="6"/>
      <c r="N143" s="6"/>
    </row>
    <row r="144" hidden="1">
      <c r="I144" s="6"/>
      <c r="J144" s="119"/>
      <c r="K144" s="6"/>
      <c r="L144" s="6"/>
      <c r="M144" s="6"/>
      <c r="N144" s="6"/>
    </row>
    <row r="145" hidden="1">
      <c r="I145" s="6"/>
      <c r="J145" s="119"/>
      <c r="K145" s="6"/>
      <c r="L145" s="6"/>
      <c r="M145" s="6"/>
      <c r="N145" s="6"/>
    </row>
    <row r="146" hidden="1">
      <c r="I146" s="6"/>
      <c r="J146" s="119"/>
      <c r="K146" s="6"/>
      <c r="L146" s="6"/>
      <c r="M146" s="6"/>
      <c r="N146" s="6"/>
    </row>
    <row r="147" hidden="1">
      <c r="I147" s="6"/>
      <c r="J147" s="119"/>
      <c r="K147" s="6"/>
      <c r="L147" s="6"/>
      <c r="M147" s="6"/>
      <c r="N147" s="6"/>
    </row>
    <row r="148" hidden="1">
      <c r="I148" s="6"/>
      <c r="J148" s="119"/>
      <c r="K148" s="6"/>
      <c r="L148" s="6"/>
      <c r="M148" s="6"/>
      <c r="N148" s="6"/>
    </row>
    <row r="149" hidden="1">
      <c r="I149" s="6"/>
      <c r="J149" s="119"/>
      <c r="K149" s="6"/>
      <c r="L149" s="6"/>
      <c r="M149" s="6"/>
      <c r="N149" s="6"/>
    </row>
    <row r="150" hidden="1">
      <c r="I150" s="6"/>
      <c r="J150" s="119"/>
      <c r="K150" s="6"/>
      <c r="L150" s="6"/>
      <c r="M150" s="6"/>
      <c r="N150" s="6"/>
    </row>
    <row r="151" hidden="1">
      <c r="I151" s="6"/>
      <c r="J151" s="119"/>
      <c r="K151" s="6"/>
      <c r="L151" s="6"/>
      <c r="M151" s="6"/>
      <c r="N151" s="6"/>
    </row>
    <row r="152" hidden="1">
      <c r="I152" s="6"/>
      <c r="J152" s="119"/>
      <c r="K152" s="6"/>
      <c r="L152" s="6"/>
      <c r="M152" s="6"/>
      <c r="N152" s="6"/>
    </row>
    <row r="153" hidden="1">
      <c r="I153" s="6"/>
      <c r="J153" s="119"/>
      <c r="K153" s="6"/>
      <c r="L153" s="6"/>
      <c r="M153" s="6"/>
      <c r="N153" s="6"/>
    </row>
    <row r="154" hidden="1">
      <c r="I154" s="6"/>
      <c r="J154" s="119"/>
      <c r="K154" s="6"/>
      <c r="L154" s="6"/>
      <c r="M154" s="6"/>
      <c r="N154" s="6"/>
    </row>
    <row r="155" hidden="1">
      <c r="I155" s="6"/>
      <c r="J155" s="119"/>
      <c r="K155" s="6"/>
      <c r="L155" s="6"/>
      <c r="M155" s="6"/>
      <c r="N155" s="6"/>
    </row>
    <row r="156" hidden="1">
      <c r="I156" s="6"/>
      <c r="J156" s="119"/>
      <c r="K156" s="6"/>
      <c r="L156" s="6"/>
      <c r="M156" s="6"/>
      <c r="N156" s="6"/>
    </row>
    <row r="157" hidden="1">
      <c r="I157" s="6"/>
      <c r="J157" s="119"/>
      <c r="K157" s="6"/>
      <c r="L157" s="6"/>
      <c r="M157" s="6"/>
      <c r="N157" s="6"/>
    </row>
    <row r="158" hidden="1">
      <c r="I158" s="6"/>
      <c r="J158" s="119"/>
      <c r="K158" s="6"/>
      <c r="L158" s="6"/>
      <c r="M158" s="6"/>
      <c r="N158" s="6"/>
    </row>
    <row r="159" hidden="1">
      <c r="I159" s="6"/>
      <c r="J159" s="119"/>
      <c r="K159" s="6"/>
      <c r="L159" s="6"/>
      <c r="M159" s="6"/>
      <c r="N159" s="6"/>
    </row>
    <row r="160" hidden="1">
      <c r="I160" s="6"/>
      <c r="J160" s="119"/>
      <c r="K160" s="6"/>
      <c r="L160" s="6"/>
      <c r="M160" s="6"/>
      <c r="N160" s="6"/>
    </row>
    <row r="161" hidden="1">
      <c r="I161" s="6"/>
      <c r="J161" s="119"/>
      <c r="K161" s="6"/>
      <c r="L161" s="6"/>
      <c r="M161" s="6"/>
      <c r="N161" s="6"/>
    </row>
    <row r="162" hidden="1">
      <c r="I162" s="6"/>
      <c r="J162" s="119"/>
      <c r="K162" s="6"/>
      <c r="L162" s="6"/>
      <c r="M162" s="6"/>
      <c r="N162" s="6"/>
    </row>
    <row r="163" hidden="1">
      <c r="I163" s="6"/>
      <c r="J163" s="119"/>
      <c r="K163" s="6"/>
      <c r="L163" s="6"/>
      <c r="M163" s="6"/>
      <c r="N163" s="6"/>
    </row>
    <row r="164" hidden="1">
      <c r="I164" s="6"/>
      <c r="J164" s="119"/>
      <c r="K164" s="6"/>
      <c r="L164" s="6"/>
      <c r="M164" s="6"/>
      <c r="N164" s="6"/>
    </row>
    <row r="165" hidden="1">
      <c r="I165" s="6"/>
      <c r="J165" s="119"/>
      <c r="K165" s="6"/>
      <c r="L165" s="6"/>
      <c r="M165" s="6"/>
      <c r="N165" s="6"/>
    </row>
    <row r="166" hidden="1">
      <c r="I166" s="6"/>
      <c r="J166" s="119"/>
      <c r="K166" s="6"/>
      <c r="L166" s="6"/>
      <c r="M166" s="6"/>
      <c r="N166" s="6"/>
    </row>
    <row r="167" hidden="1">
      <c r="I167" s="6"/>
      <c r="J167" s="119"/>
      <c r="K167" s="6"/>
      <c r="L167" s="6"/>
      <c r="M167" s="6"/>
      <c r="N167" s="6"/>
    </row>
    <row r="168" hidden="1">
      <c r="I168" s="6"/>
      <c r="J168" s="119"/>
      <c r="K168" s="6"/>
      <c r="L168" s="6"/>
      <c r="M168" s="6"/>
      <c r="N168" s="6"/>
    </row>
    <row r="169" hidden="1">
      <c r="I169" s="6"/>
      <c r="J169" s="119"/>
      <c r="K169" s="6"/>
      <c r="L169" s="6"/>
      <c r="M169" s="6"/>
      <c r="N169" s="6"/>
    </row>
    <row r="170" hidden="1">
      <c r="I170" s="6"/>
      <c r="J170" s="119"/>
      <c r="K170" s="6"/>
      <c r="L170" s="6"/>
      <c r="M170" s="6"/>
      <c r="N170" s="6"/>
    </row>
    <row r="171" hidden="1">
      <c r="I171" s="6"/>
      <c r="J171" s="119"/>
      <c r="K171" s="6"/>
      <c r="L171" s="6"/>
      <c r="M171" s="6"/>
      <c r="N171" s="6"/>
    </row>
    <row r="172" hidden="1">
      <c r="I172" s="6"/>
      <c r="J172" s="119"/>
      <c r="K172" s="6"/>
      <c r="L172" s="6"/>
      <c r="M172" s="6"/>
      <c r="N172" s="6"/>
    </row>
    <row r="173" hidden="1">
      <c r="I173" s="6"/>
      <c r="J173" s="119"/>
      <c r="K173" s="6"/>
      <c r="L173" s="6"/>
      <c r="M173" s="6"/>
      <c r="N173" s="6"/>
    </row>
    <row r="174" hidden="1">
      <c r="I174" s="6"/>
      <c r="J174" s="119"/>
      <c r="K174" s="6"/>
      <c r="L174" s="6"/>
      <c r="M174" s="6"/>
      <c r="N174" s="6"/>
    </row>
    <row r="175" hidden="1">
      <c r="I175" s="6"/>
      <c r="J175" s="119"/>
      <c r="K175" s="6"/>
      <c r="L175" s="6"/>
      <c r="M175" s="6"/>
      <c r="N175" s="6"/>
    </row>
    <row r="176" hidden="1">
      <c r="I176" s="6"/>
      <c r="J176" s="119"/>
      <c r="K176" s="6"/>
      <c r="L176" s="6"/>
      <c r="M176" s="6"/>
      <c r="N176" s="6"/>
    </row>
    <row r="177" hidden="1">
      <c r="I177" s="6"/>
      <c r="J177" s="119"/>
      <c r="K177" s="6"/>
      <c r="L177" s="6"/>
      <c r="M177" s="6"/>
      <c r="N177" s="6"/>
    </row>
    <row r="178" hidden="1">
      <c r="I178" s="6"/>
      <c r="J178" s="119"/>
      <c r="K178" s="6"/>
      <c r="L178" s="6"/>
      <c r="M178" s="6"/>
      <c r="N178" s="6"/>
    </row>
    <row r="179" hidden="1">
      <c r="I179" s="6"/>
      <c r="J179" s="119"/>
      <c r="K179" s="6"/>
      <c r="L179" s="6"/>
      <c r="M179" s="6"/>
      <c r="N179" s="6"/>
    </row>
    <row r="180" hidden="1">
      <c r="I180" s="6"/>
      <c r="J180" s="119"/>
      <c r="K180" s="6"/>
      <c r="L180" s="6"/>
      <c r="M180" s="6"/>
      <c r="N180" s="6"/>
    </row>
    <row r="181" hidden="1">
      <c r="I181" s="6"/>
      <c r="J181" s="119"/>
      <c r="K181" s="6"/>
      <c r="L181" s="6"/>
      <c r="M181" s="6"/>
      <c r="N181" s="6"/>
    </row>
    <row r="182" hidden="1">
      <c r="I182" s="6"/>
      <c r="J182" s="119"/>
      <c r="K182" s="6"/>
      <c r="L182" s="6"/>
      <c r="M182" s="6"/>
      <c r="N182" s="6"/>
    </row>
    <row r="183" hidden="1">
      <c r="I183" s="6"/>
      <c r="J183" s="119"/>
      <c r="K183" s="6"/>
      <c r="L183" s="6"/>
      <c r="M183" s="6"/>
      <c r="N183" s="6"/>
    </row>
    <row r="184" hidden="1">
      <c r="I184" s="6"/>
      <c r="J184" s="119"/>
      <c r="K184" s="6"/>
      <c r="L184" s="6"/>
      <c r="M184" s="6"/>
      <c r="N184" s="6"/>
    </row>
    <row r="185" hidden="1">
      <c r="I185" s="6"/>
      <c r="J185" s="119"/>
      <c r="K185" s="6"/>
      <c r="L185" s="6"/>
      <c r="M185" s="6"/>
      <c r="N185" s="6"/>
    </row>
    <row r="186" hidden="1">
      <c r="I186" s="6"/>
      <c r="J186" s="119"/>
      <c r="K186" s="6"/>
      <c r="L186" s="6"/>
      <c r="M186" s="6"/>
      <c r="N186" s="6"/>
    </row>
    <row r="187" hidden="1">
      <c r="I187" s="6"/>
      <c r="J187" s="119"/>
      <c r="K187" s="6"/>
      <c r="L187" s="6"/>
      <c r="M187" s="6"/>
      <c r="N187" s="6"/>
    </row>
    <row r="188" hidden="1">
      <c r="I188" s="6"/>
      <c r="J188" s="119"/>
      <c r="K188" s="6"/>
      <c r="L188" s="6"/>
      <c r="M188" s="6"/>
      <c r="N188" s="6"/>
    </row>
    <row r="189" hidden="1">
      <c r="I189" s="6"/>
      <c r="J189" s="119"/>
      <c r="K189" s="6"/>
      <c r="L189" s="6"/>
      <c r="M189" s="6"/>
      <c r="N189" s="6"/>
    </row>
    <row r="190" hidden="1">
      <c r="I190" s="6"/>
      <c r="J190" s="119"/>
      <c r="K190" s="6"/>
      <c r="L190" s="6"/>
      <c r="M190" s="6"/>
      <c r="N190" s="6"/>
    </row>
    <row r="191" hidden="1">
      <c r="I191" s="6"/>
      <c r="J191" s="119"/>
      <c r="K191" s="6"/>
      <c r="L191" s="6"/>
      <c r="M191" s="6"/>
      <c r="N191" s="6"/>
    </row>
    <row r="192" hidden="1">
      <c r="I192" s="6"/>
      <c r="J192" s="119"/>
      <c r="K192" s="6"/>
      <c r="L192" s="6"/>
      <c r="M192" s="6"/>
      <c r="N192" s="6"/>
    </row>
    <row r="193" hidden="1">
      <c r="I193" s="6"/>
      <c r="J193" s="119"/>
      <c r="K193" s="6"/>
      <c r="L193" s="6"/>
      <c r="M193" s="6"/>
      <c r="N193" s="6"/>
    </row>
    <row r="194" hidden="1">
      <c r="I194" s="6"/>
      <c r="J194" s="119"/>
      <c r="K194" s="6"/>
      <c r="L194" s="6"/>
      <c r="M194" s="6"/>
      <c r="N194" s="6"/>
    </row>
    <row r="195" hidden="1">
      <c r="I195" s="6"/>
      <c r="J195" s="119"/>
      <c r="K195" s="6"/>
      <c r="L195" s="6"/>
      <c r="M195" s="6"/>
      <c r="N195" s="6"/>
    </row>
    <row r="196" hidden="1">
      <c r="I196" s="6"/>
      <c r="J196" s="119"/>
      <c r="K196" s="6"/>
      <c r="L196" s="6"/>
      <c r="M196" s="6"/>
      <c r="N196" s="6"/>
    </row>
    <row r="197" hidden="1">
      <c r="I197" s="6"/>
      <c r="J197" s="119"/>
      <c r="K197" s="6"/>
      <c r="L197" s="6"/>
      <c r="M197" s="6"/>
      <c r="N197" s="6"/>
    </row>
    <row r="198" hidden="1">
      <c r="I198" s="6"/>
      <c r="J198" s="119"/>
      <c r="K198" s="6"/>
      <c r="L198" s="6"/>
      <c r="M198" s="6"/>
      <c r="N198" s="6"/>
    </row>
    <row r="199" hidden="1">
      <c r="I199" s="6"/>
      <c r="J199" s="119"/>
      <c r="K199" s="6"/>
      <c r="L199" s="6"/>
      <c r="M199" s="6"/>
      <c r="N199" s="6"/>
    </row>
    <row r="200" hidden="1">
      <c r="I200" s="6"/>
      <c r="J200" s="119"/>
      <c r="K200" s="6"/>
      <c r="L200" s="6"/>
      <c r="M200" s="6"/>
      <c r="N200" s="6"/>
    </row>
    <row r="201" hidden="1">
      <c r="I201" s="6"/>
      <c r="J201" s="119"/>
      <c r="K201" s="6"/>
      <c r="L201" s="6"/>
      <c r="M201" s="6"/>
      <c r="N201" s="6"/>
    </row>
    <row r="202" hidden="1">
      <c r="I202" s="6"/>
      <c r="J202" s="119"/>
      <c r="K202" s="6"/>
      <c r="L202" s="6"/>
      <c r="M202" s="6"/>
      <c r="N202" s="6"/>
    </row>
    <row r="203" hidden="1">
      <c r="I203" s="6"/>
      <c r="J203" s="119"/>
      <c r="K203" s="6"/>
      <c r="L203" s="6"/>
      <c r="M203" s="6"/>
      <c r="N203" s="6"/>
    </row>
    <row r="204" hidden="1">
      <c r="I204" s="6"/>
      <c r="J204" s="119"/>
      <c r="K204" s="6"/>
      <c r="L204" s="6"/>
      <c r="M204" s="6"/>
      <c r="N204" s="6"/>
    </row>
    <row r="205" hidden="1">
      <c r="I205" s="6"/>
      <c r="J205" s="119"/>
      <c r="K205" s="6"/>
      <c r="L205" s="6"/>
      <c r="M205" s="6"/>
      <c r="N205" s="6"/>
    </row>
    <row r="206" hidden="1">
      <c r="I206" s="6"/>
      <c r="J206" s="119"/>
      <c r="K206" s="6"/>
      <c r="L206" s="6"/>
      <c r="M206" s="6"/>
      <c r="N206" s="6"/>
    </row>
    <row r="207" hidden="1">
      <c r="I207" s="6"/>
      <c r="J207" s="119"/>
      <c r="K207" s="6"/>
      <c r="L207" s="6"/>
      <c r="M207" s="6"/>
      <c r="N207" s="6"/>
    </row>
    <row r="208" hidden="1">
      <c r="I208" s="6"/>
      <c r="J208" s="119"/>
      <c r="K208" s="6"/>
      <c r="L208" s="6"/>
      <c r="M208" s="6"/>
      <c r="N208" s="6"/>
    </row>
    <row r="209" hidden="1">
      <c r="I209" s="6"/>
      <c r="J209" s="119"/>
      <c r="K209" s="6"/>
      <c r="L209" s="6"/>
      <c r="M209" s="6"/>
      <c r="N209" s="6"/>
    </row>
    <row r="210" hidden="1">
      <c r="I210" s="6"/>
      <c r="J210" s="119"/>
      <c r="K210" s="6"/>
      <c r="L210" s="6"/>
      <c r="M210" s="6"/>
      <c r="N210" s="6"/>
    </row>
    <row r="211" hidden="1">
      <c r="I211" s="6"/>
      <c r="J211" s="119"/>
      <c r="K211" s="6"/>
      <c r="L211" s="6"/>
      <c r="M211" s="6"/>
      <c r="N211" s="6"/>
    </row>
    <row r="212" hidden="1">
      <c r="I212" s="6"/>
      <c r="J212" s="119"/>
      <c r="K212" s="6"/>
      <c r="L212" s="6"/>
      <c r="M212" s="6"/>
      <c r="N212" s="6"/>
    </row>
    <row r="213" hidden="1">
      <c r="I213" s="6"/>
      <c r="J213" s="119"/>
      <c r="K213" s="6"/>
      <c r="L213" s="6"/>
      <c r="M213" s="6"/>
      <c r="N213" s="6"/>
    </row>
    <row r="214" hidden="1">
      <c r="I214" s="6"/>
      <c r="J214" s="119"/>
      <c r="K214" s="6"/>
      <c r="L214" s="6"/>
      <c r="M214" s="6"/>
      <c r="N214" s="6"/>
    </row>
    <row r="215" hidden="1">
      <c r="I215" s="6"/>
      <c r="J215" s="119"/>
      <c r="K215" s="6"/>
      <c r="L215" s="6"/>
      <c r="M215" s="6"/>
      <c r="N215" s="6"/>
    </row>
    <row r="216" hidden="1">
      <c r="I216" s="6"/>
      <c r="J216" s="119"/>
      <c r="K216" s="6"/>
      <c r="L216" s="6"/>
      <c r="M216" s="6"/>
      <c r="N216" s="6"/>
    </row>
    <row r="217" hidden="1">
      <c r="I217" s="6"/>
      <c r="J217" s="119"/>
      <c r="K217" s="6"/>
      <c r="L217" s="6"/>
      <c r="M217" s="6"/>
      <c r="N217" s="6"/>
    </row>
    <row r="218" hidden="1">
      <c r="I218" s="6"/>
      <c r="J218" s="119"/>
      <c r="K218" s="6"/>
      <c r="L218" s="6"/>
      <c r="M218" s="6"/>
      <c r="N218" s="6"/>
    </row>
    <row r="219" hidden="1">
      <c r="I219" s="6"/>
      <c r="J219" s="119"/>
      <c r="K219" s="6"/>
      <c r="L219" s="6"/>
      <c r="M219" s="6"/>
      <c r="N219" s="6"/>
    </row>
    <row r="220" hidden="1">
      <c r="I220" s="6"/>
      <c r="J220" s="119"/>
      <c r="K220" s="6"/>
      <c r="L220" s="6"/>
      <c r="M220" s="6"/>
      <c r="N220" s="6"/>
    </row>
    <row r="221" hidden="1">
      <c r="I221" s="6"/>
      <c r="J221" s="119"/>
      <c r="K221" s="6"/>
      <c r="L221" s="6"/>
      <c r="M221" s="6"/>
      <c r="N221" s="6"/>
    </row>
    <row r="222" hidden="1">
      <c r="I222" s="6"/>
      <c r="J222" s="119"/>
      <c r="K222" s="6"/>
      <c r="L222" s="6"/>
      <c r="M222" s="6"/>
      <c r="N222" s="6"/>
    </row>
    <row r="223" hidden="1">
      <c r="I223" s="6"/>
      <c r="J223" s="119"/>
      <c r="K223" s="6"/>
      <c r="L223" s="6"/>
      <c r="M223" s="6"/>
      <c r="N223" s="6"/>
    </row>
    <row r="224" hidden="1">
      <c r="I224" s="6"/>
      <c r="J224" s="119"/>
      <c r="K224" s="6"/>
      <c r="L224" s="6"/>
      <c r="M224" s="6"/>
      <c r="N224" s="6"/>
    </row>
    <row r="225" hidden="1">
      <c r="I225" s="6"/>
      <c r="J225" s="119"/>
      <c r="K225" s="6"/>
      <c r="L225" s="6"/>
      <c r="M225" s="6"/>
      <c r="N225" s="6"/>
    </row>
    <row r="226" hidden="1">
      <c r="I226" s="6"/>
      <c r="J226" s="119"/>
      <c r="K226" s="6"/>
      <c r="L226" s="6"/>
      <c r="M226" s="6"/>
      <c r="N226" s="6"/>
    </row>
    <row r="227" hidden="1">
      <c r="I227" s="6"/>
      <c r="J227" s="119"/>
      <c r="K227" s="6"/>
      <c r="L227" s="6"/>
      <c r="M227" s="6"/>
      <c r="N227" s="6"/>
    </row>
  </sheetData>
  <autoFilter ref="$A$1:$Z$227"/>
  <conditionalFormatting sqref="I16:N16 I38:N39 I67:N67">
    <cfRule type="expression" dxfId="0" priority="1">
      <formula>COUNTIF($F16,"Conforme")</formula>
    </cfRule>
  </conditionalFormatting>
  <conditionalFormatting sqref="I16:N16 I38:N39 I67:N67">
    <cfRule type="expression" dxfId="1" priority="2">
      <formula>COUNTIF($F16,"Inconforme")</formula>
    </cfRule>
  </conditionalFormatting>
  <conditionalFormatting sqref="I16:N16">
    <cfRule type="expression" dxfId="2" priority="3">
      <formula>$E16= "Duvida"</formula>
    </cfRule>
  </conditionalFormatting>
  <conditionalFormatting sqref="I14:N15">
    <cfRule type="expression" dxfId="0" priority="4">
      <formula>COUNTIF($F14,"Conforme")</formula>
    </cfRule>
  </conditionalFormatting>
  <conditionalFormatting sqref="I14:N15">
    <cfRule type="expression" dxfId="1" priority="5">
      <formula>COUNTIF($F14,"Inconforme")</formula>
    </cfRule>
  </conditionalFormatting>
  <conditionalFormatting sqref="I14:N15">
    <cfRule type="expression" dxfId="2" priority="6">
      <formula>$E14= "Duvida"</formula>
    </cfRule>
  </conditionalFormatting>
  <conditionalFormatting sqref="I13:N13">
    <cfRule type="expression" dxfId="0" priority="7">
      <formula>COUNTIF($F13,"Conforme")</formula>
    </cfRule>
  </conditionalFormatting>
  <conditionalFormatting sqref="I13:N13">
    <cfRule type="expression" dxfId="1" priority="8">
      <formula>COUNTIF($F13,"Inconforme")</formula>
    </cfRule>
  </conditionalFormatting>
  <conditionalFormatting sqref="I13:N13">
    <cfRule type="expression" dxfId="2" priority="9">
      <formula>$E13= "Duvida"</formula>
    </cfRule>
  </conditionalFormatting>
  <conditionalFormatting sqref="I12:N12">
    <cfRule type="expression" dxfId="0" priority="10">
      <formula>COUNTIF($F12,"Conforme")</formula>
    </cfRule>
  </conditionalFormatting>
  <conditionalFormatting sqref="I12:N12">
    <cfRule type="expression" dxfId="1" priority="11">
      <formula>COUNTIF($F12,"Inconforme")</formula>
    </cfRule>
  </conditionalFormatting>
  <conditionalFormatting sqref="I12:N12">
    <cfRule type="expression" dxfId="2" priority="12">
      <formula>$E12= "Duvida"</formula>
    </cfRule>
  </conditionalFormatting>
  <conditionalFormatting sqref="I11:N11">
    <cfRule type="expression" dxfId="0" priority="13">
      <formula>COUNTIF($F11,"Conforme")</formula>
    </cfRule>
  </conditionalFormatting>
  <conditionalFormatting sqref="I11:N11">
    <cfRule type="expression" dxfId="1" priority="14">
      <formula>COUNTIF($F11,"Inconforme")</formula>
    </cfRule>
  </conditionalFormatting>
  <conditionalFormatting sqref="I11:N11">
    <cfRule type="expression" dxfId="2" priority="15">
      <formula>$E11= "Duvida"</formula>
    </cfRule>
  </conditionalFormatting>
  <conditionalFormatting sqref="I9:N10">
    <cfRule type="expression" dxfId="0" priority="16">
      <formula>COUNTIF($F9,"Conforme")</formula>
    </cfRule>
  </conditionalFormatting>
  <conditionalFormatting sqref="I9:N10">
    <cfRule type="expression" dxfId="1" priority="17">
      <formula>COUNTIF($F9,"Inconforme")</formula>
    </cfRule>
  </conditionalFormatting>
  <conditionalFormatting sqref="I9:N10">
    <cfRule type="expression" dxfId="2" priority="18">
      <formula>$E9= "Duvida"</formula>
    </cfRule>
  </conditionalFormatting>
  <conditionalFormatting sqref="I7:N8">
    <cfRule type="expression" dxfId="0" priority="19">
      <formula>COUNTIF($F7,"Conforme")</formula>
    </cfRule>
  </conditionalFormatting>
  <conditionalFormatting sqref="I7:N8">
    <cfRule type="expression" dxfId="1" priority="20">
      <formula>COUNTIF($F7,"Inconforme")</formula>
    </cfRule>
  </conditionalFormatting>
  <conditionalFormatting sqref="I7:N8">
    <cfRule type="expression" dxfId="2" priority="21">
      <formula>$E7= "Duvida"</formula>
    </cfRule>
  </conditionalFormatting>
  <conditionalFormatting sqref="I6:N6">
    <cfRule type="expression" dxfId="0" priority="22">
      <formula>COUNTIF($F6,"Conforme")</formula>
    </cfRule>
  </conditionalFormatting>
  <conditionalFormatting sqref="I6:N6">
    <cfRule type="expression" dxfId="1" priority="23">
      <formula>COUNTIF($F6,"Inconforme")</formula>
    </cfRule>
  </conditionalFormatting>
  <conditionalFormatting sqref="I6:N6">
    <cfRule type="expression" dxfId="2" priority="24">
      <formula>$E6= "Duvida"</formula>
    </cfRule>
  </conditionalFormatting>
  <conditionalFormatting sqref="I5:N5">
    <cfRule type="expression" dxfId="0" priority="25">
      <formula>COUNTIF($F5,"Conforme")</formula>
    </cfRule>
  </conditionalFormatting>
  <conditionalFormatting sqref="I5:N5">
    <cfRule type="expression" dxfId="1" priority="26">
      <formula>COUNTIF($F5,"Inconforme")</formula>
    </cfRule>
  </conditionalFormatting>
  <conditionalFormatting sqref="I5:N5">
    <cfRule type="expression" dxfId="2" priority="27">
      <formula>$E5= "Duvida"</formula>
    </cfRule>
  </conditionalFormatting>
  <conditionalFormatting sqref="I2:N4">
    <cfRule type="expression" dxfId="0" priority="28">
      <formula>COUNTIF($F2,"Conforme")</formula>
    </cfRule>
  </conditionalFormatting>
  <conditionalFormatting sqref="I2:N4">
    <cfRule type="expression" dxfId="1" priority="29">
      <formula>COUNTIF($F2,"Inconforme")</formula>
    </cfRule>
  </conditionalFormatting>
  <conditionalFormatting sqref="I2:N4">
    <cfRule type="expression" dxfId="2" priority="30">
      <formula>$E2= "Duvida"</formula>
    </cfRule>
  </conditionalFormatting>
  <conditionalFormatting sqref="I65:N67">
    <cfRule type="expression" dxfId="0" priority="31">
      <formula>COUNTIF($A65:$C65,"Conforme")&gt;=2</formula>
    </cfRule>
  </conditionalFormatting>
  <conditionalFormatting sqref="I65:N67">
    <cfRule type="expression" dxfId="1" priority="32">
      <formula>COUNTIF($A65:$C65,"Inconforme")&gt;=2</formula>
    </cfRule>
  </conditionalFormatting>
  <conditionalFormatting sqref="I16:N16">
    <cfRule type="expression" dxfId="0" priority="33">
      <formula>COUNTIF($A16:$C16,"Conforme")&gt;=2</formula>
    </cfRule>
  </conditionalFormatting>
  <conditionalFormatting sqref="I16:M16">
    <cfRule type="expression" dxfId="1" priority="34">
      <formula>COUNTIF($A16:$C16,"Inconforme")&gt;=2</formula>
    </cfRule>
  </conditionalFormatting>
  <conditionalFormatting sqref="I16:N16">
    <cfRule type="expression" dxfId="2" priority="35">
      <formula>$C16= "Duvida"</formula>
    </cfRule>
  </conditionalFormatting>
  <conditionalFormatting sqref="I15:N15">
    <cfRule type="expression" dxfId="0" priority="36">
      <formula>COUNTIF($A15:$C15,"Conforme")&gt;=2</formula>
    </cfRule>
  </conditionalFormatting>
  <conditionalFormatting sqref="I15:M15">
    <cfRule type="expression" dxfId="1" priority="37">
      <formula>COUNTIF($A15:$C15,"Inconforme")&gt;=2</formula>
    </cfRule>
  </conditionalFormatting>
  <conditionalFormatting sqref="I15:N15">
    <cfRule type="expression" dxfId="2" priority="38">
      <formula>$C15= "Duvida"</formula>
    </cfRule>
  </conditionalFormatting>
  <conditionalFormatting sqref="I14:N14">
    <cfRule type="expression" dxfId="0" priority="39">
      <formula>COUNTIF($A14:$C14,"Conforme")&gt;=2</formula>
    </cfRule>
  </conditionalFormatting>
  <conditionalFormatting sqref="I14:M14">
    <cfRule type="expression" dxfId="1" priority="40">
      <formula>COUNTIF($A14:$C14,"Inconforme")&gt;=2</formula>
    </cfRule>
  </conditionalFormatting>
  <conditionalFormatting sqref="I14:N14">
    <cfRule type="expression" dxfId="2" priority="41">
      <formula>$C14= "Duvida"</formula>
    </cfRule>
  </conditionalFormatting>
  <conditionalFormatting sqref="I13:N13">
    <cfRule type="expression" dxfId="0" priority="42">
      <formula>COUNTIF($A13:$C13,"Conforme")&gt;=2</formula>
    </cfRule>
  </conditionalFormatting>
  <conditionalFormatting sqref="I13:M13">
    <cfRule type="expression" dxfId="1" priority="43">
      <formula>COUNTIF($A13:$C13,"Inconforme")&gt;=2</formula>
    </cfRule>
  </conditionalFormatting>
  <conditionalFormatting sqref="I13:N13">
    <cfRule type="expression" dxfId="2" priority="44">
      <formula>$C13= "Duvida"</formula>
    </cfRule>
  </conditionalFormatting>
  <conditionalFormatting sqref="I12:N12">
    <cfRule type="expression" dxfId="0" priority="45">
      <formula>COUNTIF($A12:$C12,"Conforme")&gt;=2</formula>
    </cfRule>
  </conditionalFormatting>
  <conditionalFormatting sqref="I12:M12">
    <cfRule type="expression" dxfId="1" priority="46">
      <formula>COUNTIF($A12:$C12,"Inconforme")&gt;=2</formula>
    </cfRule>
  </conditionalFormatting>
  <conditionalFormatting sqref="I12:N12">
    <cfRule type="expression" dxfId="2" priority="47">
      <formula>$C12= "Duvida"</formula>
    </cfRule>
  </conditionalFormatting>
  <conditionalFormatting sqref="I11:N11">
    <cfRule type="expression" dxfId="0" priority="48">
      <formula>COUNTIF($A11:$C11,"Conforme")&gt;=2</formula>
    </cfRule>
  </conditionalFormatting>
  <conditionalFormatting sqref="I11:M11">
    <cfRule type="expression" dxfId="1" priority="49">
      <formula>COUNTIF($A11:$C11,"Inconforme")&gt;=2</formula>
    </cfRule>
  </conditionalFormatting>
  <conditionalFormatting sqref="I11:N11">
    <cfRule type="expression" dxfId="2" priority="50">
      <formula>$C11= "Duvida"</formula>
    </cfRule>
  </conditionalFormatting>
  <conditionalFormatting sqref="I10:N10">
    <cfRule type="expression" dxfId="0" priority="51">
      <formula>COUNTIF($A10:$C10,"Conforme")&gt;=2</formula>
    </cfRule>
  </conditionalFormatting>
  <conditionalFormatting sqref="I10:M10">
    <cfRule type="expression" dxfId="1" priority="52">
      <formula>COUNTIF($A10:$C10,"Inconforme")&gt;=2</formula>
    </cfRule>
  </conditionalFormatting>
  <conditionalFormatting sqref="I10:N10">
    <cfRule type="expression" dxfId="2" priority="53">
      <formula>$C10= "Duvida"</formula>
    </cfRule>
  </conditionalFormatting>
  <conditionalFormatting sqref="I9:N9">
    <cfRule type="expression" dxfId="0" priority="54">
      <formula>COUNTIF($A9:$C9,"Conforme")&gt;=2</formula>
    </cfRule>
  </conditionalFormatting>
  <conditionalFormatting sqref="I9:M9">
    <cfRule type="expression" dxfId="1" priority="55">
      <formula>COUNTIF($A9:$C9,"Inconforme")&gt;=2</formula>
    </cfRule>
  </conditionalFormatting>
  <conditionalFormatting sqref="I9:N9">
    <cfRule type="expression" dxfId="2" priority="56">
      <formula>$C9= "Duvida"</formula>
    </cfRule>
  </conditionalFormatting>
  <conditionalFormatting sqref="I8:N8">
    <cfRule type="expression" dxfId="0" priority="57">
      <formula>COUNTIF($A8:$C8,"Conforme")&gt;=2</formula>
    </cfRule>
  </conditionalFormatting>
  <conditionalFormatting sqref="I8:M8">
    <cfRule type="expression" dxfId="1" priority="58">
      <formula>COUNTIF($A8:$C8,"Inconforme")&gt;=2</formula>
    </cfRule>
  </conditionalFormatting>
  <conditionalFormatting sqref="I8:N8">
    <cfRule type="expression" dxfId="2" priority="59">
      <formula>$C8= "Duvida"</formula>
    </cfRule>
  </conditionalFormatting>
  <conditionalFormatting sqref="I7:N7">
    <cfRule type="expression" dxfId="0" priority="60">
      <formula>COUNTIF($A7:$C7,"Conforme")&gt;=2</formula>
    </cfRule>
  </conditionalFormatting>
  <conditionalFormatting sqref="I7:M7">
    <cfRule type="expression" dxfId="1" priority="61">
      <formula>COUNTIF($A7:$C7,"Inconforme")&gt;=2</formula>
    </cfRule>
  </conditionalFormatting>
  <conditionalFormatting sqref="I7:N7">
    <cfRule type="expression" dxfId="2" priority="62">
      <formula>$C7= "Duvida"</formula>
    </cfRule>
  </conditionalFormatting>
  <conditionalFormatting sqref="I6:N6">
    <cfRule type="expression" dxfId="0" priority="63">
      <formula>COUNTIF($A6:$C6,"Conforme")&gt;=2</formula>
    </cfRule>
  </conditionalFormatting>
  <conditionalFormatting sqref="I6:M6">
    <cfRule type="expression" dxfId="1" priority="64">
      <formula>COUNTIF($A6:$C6,"Inconforme")&gt;=2</formula>
    </cfRule>
  </conditionalFormatting>
  <conditionalFormatting sqref="I6:N6">
    <cfRule type="expression" dxfId="2" priority="65">
      <formula>$C6= "Duvida"</formula>
    </cfRule>
  </conditionalFormatting>
  <conditionalFormatting sqref="I5:N5">
    <cfRule type="expression" dxfId="0" priority="66">
      <formula>COUNTIF($A5:$C5,"Conforme")&gt;=2</formula>
    </cfRule>
  </conditionalFormatting>
  <conditionalFormatting sqref="I5:M5">
    <cfRule type="expression" dxfId="1" priority="67">
      <formula>COUNTIF($A5:$C5,"Inconforme")&gt;=2</formula>
    </cfRule>
  </conditionalFormatting>
  <conditionalFormatting sqref="I5:N5">
    <cfRule type="expression" dxfId="2" priority="68">
      <formula>$C5= "Duvida"</formula>
    </cfRule>
  </conditionalFormatting>
  <conditionalFormatting sqref="I4:N4">
    <cfRule type="expression" dxfId="0" priority="69">
      <formula>COUNTIF($A4:$C4,"Conforme")&gt;=2</formula>
    </cfRule>
  </conditionalFormatting>
  <conditionalFormatting sqref="I4:M4">
    <cfRule type="expression" dxfId="1" priority="70">
      <formula>COUNTIF($A4:$C4,"Inconforme")&gt;=2</formula>
    </cfRule>
  </conditionalFormatting>
  <conditionalFormatting sqref="I4:N4">
    <cfRule type="expression" dxfId="2" priority="71">
      <formula>$C4= "Duvida"</formula>
    </cfRule>
  </conditionalFormatting>
  <conditionalFormatting sqref="I3:N3">
    <cfRule type="expression" dxfId="0" priority="72">
      <formula>COUNTIF($A3:$C3,"Conforme")&gt;=2</formula>
    </cfRule>
  </conditionalFormatting>
  <conditionalFormatting sqref="I3:M3">
    <cfRule type="expression" dxfId="1" priority="73">
      <formula>COUNTIF($A3:$C3,"Inconforme")&gt;=2</formula>
    </cfRule>
  </conditionalFormatting>
  <conditionalFormatting sqref="I3:N3">
    <cfRule type="expression" dxfId="2" priority="74">
      <formula>$C3= "Duvida"</formula>
    </cfRule>
  </conditionalFormatting>
  <conditionalFormatting sqref="I2:N2">
    <cfRule type="expression" dxfId="0" priority="75">
      <formula>COUNTIF($A2:$C2,"Conforme")&gt;=2</formula>
    </cfRule>
  </conditionalFormatting>
  <conditionalFormatting sqref="I2:M2">
    <cfRule type="expression" dxfId="1" priority="76">
      <formula>COUNTIF($A2:$C2,"Inconforme")&gt;=2</formula>
    </cfRule>
  </conditionalFormatting>
  <conditionalFormatting sqref="I2:N2">
    <cfRule type="expression" dxfId="2" priority="77">
      <formula>$C2= "Duvida"</formula>
    </cfRule>
  </conditionalFormatting>
  <conditionalFormatting sqref="J2:J86">
    <cfRule type="expression" dxfId="1" priority="78">
      <formula>COUNTIF($J:$J, $J2) &gt; 1</formula>
    </cfRule>
  </conditionalFormatting>
  <dataValidations>
    <dataValidation type="list" allowBlank="1" showErrorMessage="1" sqref="B2:F87">
      <formula1>"0,0,5,1"</formula1>
    </dataValidation>
  </dataValidations>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 r:id="rId73" ref="I74"/>
    <hyperlink r:id="rId74" ref="I75"/>
    <hyperlink r:id="rId75" ref="I76"/>
    <hyperlink r:id="rId76" ref="I77"/>
    <hyperlink r:id="rId77" ref="I78"/>
    <hyperlink r:id="rId78" ref="I79"/>
    <hyperlink r:id="rId79" ref="I80"/>
    <hyperlink r:id="rId80" ref="I81"/>
    <hyperlink r:id="rId81" ref="I82"/>
    <hyperlink r:id="rId82" ref="I83"/>
    <hyperlink r:id="rId83" ref="I84"/>
    <hyperlink r:id="rId84" ref="I85"/>
    <hyperlink r:id="rId85" ref="I86"/>
    <hyperlink r:id="rId86" ref="I87"/>
  </hyperlinks>
  <drawing r:id="rId8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0" t="s">
        <v>2728</v>
      </c>
      <c r="B1" s="120" t="s">
        <v>2729</v>
      </c>
      <c r="C1" s="121" t="s">
        <v>2104</v>
      </c>
      <c r="D1" s="121" t="s">
        <v>2105</v>
      </c>
    </row>
    <row r="2">
      <c r="A2" s="122" t="s">
        <v>2730</v>
      </c>
      <c r="B2" s="41" t="s">
        <v>537</v>
      </c>
      <c r="C2" s="9" t="s">
        <v>536</v>
      </c>
      <c r="D2" s="9">
        <v>2021.0</v>
      </c>
    </row>
    <row r="3">
      <c r="A3" s="122" t="s">
        <v>2731</v>
      </c>
      <c r="B3" s="41" t="s">
        <v>1117</v>
      </c>
      <c r="C3" s="9" t="s">
        <v>1115</v>
      </c>
      <c r="D3" s="9">
        <v>2021.0</v>
      </c>
    </row>
    <row r="4">
      <c r="A4" s="122" t="s">
        <v>2732</v>
      </c>
      <c r="B4" s="41" t="s">
        <v>1160</v>
      </c>
      <c r="C4" s="9" t="s">
        <v>1159</v>
      </c>
      <c r="D4" s="9">
        <v>2021.0</v>
      </c>
    </row>
    <row r="5">
      <c r="A5" s="122" t="s">
        <v>2733</v>
      </c>
      <c r="B5" s="111" t="s">
        <v>1278</v>
      </c>
      <c r="C5" s="9" t="s">
        <v>1277</v>
      </c>
      <c r="D5" s="112">
        <v>2021.0</v>
      </c>
    </row>
    <row r="6">
      <c r="A6" s="122" t="s">
        <v>2734</v>
      </c>
      <c r="B6" s="111" t="s">
        <v>1538</v>
      </c>
      <c r="C6" s="9" t="s">
        <v>1537</v>
      </c>
      <c r="D6" s="112">
        <v>2021.0</v>
      </c>
    </row>
    <row r="7">
      <c r="A7" s="122" t="s">
        <v>2735</v>
      </c>
      <c r="B7" s="41" t="s">
        <v>1457</v>
      </c>
      <c r="C7" s="9" t="s">
        <v>1456</v>
      </c>
      <c r="D7" s="112">
        <v>2021.0</v>
      </c>
    </row>
    <row r="8">
      <c r="A8" s="122" t="s">
        <v>2736</v>
      </c>
      <c r="B8" s="41" t="s">
        <v>1306</v>
      </c>
      <c r="C8" s="50" t="s">
        <v>2171</v>
      </c>
      <c r="D8" s="9">
        <v>2021.0</v>
      </c>
    </row>
    <row r="9">
      <c r="A9" s="122" t="s">
        <v>2737</v>
      </c>
      <c r="B9" s="41" t="s">
        <v>2339</v>
      </c>
      <c r="C9" s="50" t="s">
        <v>2338</v>
      </c>
      <c r="D9" s="9">
        <v>2021.0</v>
      </c>
    </row>
    <row r="10">
      <c r="A10" s="122" t="s">
        <v>2738</v>
      </c>
      <c r="B10" s="41" t="s">
        <v>2397</v>
      </c>
      <c r="C10" s="50" t="s">
        <v>2396</v>
      </c>
      <c r="D10" s="9">
        <v>2021.0</v>
      </c>
    </row>
    <row r="11">
      <c r="A11" s="122" t="s">
        <v>2739</v>
      </c>
      <c r="B11" s="41" t="s">
        <v>115</v>
      </c>
      <c r="C11" s="9" t="s">
        <v>114</v>
      </c>
      <c r="D11" s="9">
        <v>2022.0</v>
      </c>
    </row>
    <row r="12">
      <c r="A12" s="122" t="s">
        <v>2740</v>
      </c>
      <c r="B12" s="41" t="s">
        <v>218</v>
      </c>
      <c r="C12" s="9" t="s">
        <v>217</v>
      </c>
      <c r="D12" s="9">
        <v>2022.0</v>
      </c>
    </row>
    <row r="13">
      <c r="A13" s="122" t="s">
        <v>2741</v>
      </c>
      <c r="B13" s="41" t="s">
        <v>318</v>
      </c>
      <c r="C13" s="9" t="s">
        <v>317</v>
      </c>
      <c r="D13" s="9">
        <v>2022.0</v>
      </c>
    </row>
    <row r="14">
      <c r="A14" s="122" t="s">
        <v>2742</v>
      </c>
      <c r="B14" s="41" t="s">
        <v>514</v>
      </c>
      <c r="C14" s="9" t="s">
        <v>513</v>
      </c>
      <c r="D14" s="9">
        <v>2022.0</v>
      </c>
    </row>
    <row r="15">
      <c r="A15" s="122" t="s">
        <v>2743</v>
      </c>
      <c r="B15" s="41" t="s">
        <v>700</v>
      </c>
      <c r="C15" s="9" t="s">
        <v>698</v>
      </c>
      <c r="D15" s="9">
        <v>2022.0</v>
      </c>
    </row>
    <row r="16">
      <c r="A16" s="122" t="s">
        <v>2744</v>
      </c>
      <c r="B16" s="41" t="s">
        <v>1014</v>
      </c>
      <c r="C16" s="9" t="s">
        <v>1012</v>
      </c>
      <c r="D16" s="9">
        <v>2022.0</v>
      </c>
    </row>
    <row r="17">
      <c r="A17" s="122" t="s">
        <v>2745</v>
      </c>
      <c r="B17" s="41" t="s">
        <v>1093</v>
      </c>
      <c r="C17" s="9" t="s">
        <v>1091</v>
      </c>
      <c r="D17" s="9">
        <v>2022.0</v>
      </c>
    </row>
    <row r="18">
      <c r="A18" s="122" t="s">
        <v>2746</v>
      </c>
      <c r="B18" s="111" t="s">
        <v>1374</v>
      </c>
      <c r="C18" s="9" t="s">
        <v>1373</v>
      </c>
      <c r="D18" s="112">
        <v>2022.0</v>
      </c>
    </row>
    <row r="19">
      <c r="A19" s="122" t="s">
        <v>2747</v>
      </c>
      <c r="B19" s="41" t="s">
        <v>1607</v>
      </c>
      <c r="C19" s="9" t="s">
        <v>1606</v>
      </c>
      <c r="D19" s="112">
        <v>2022.0</v>
      </c>
    </row>
    <row r="20">
      <c r="A20" s="122" t="s">
        <v>2748</v>
      </c>
      <c r="B20" s="41" t="s">
        <v>1466</v>
      </c>
      <c r="C20" s="50" t="s">
        <v>2311</v>
      </c>
      <c r="D20" s="9">
        <v>2022.0</v>
      </c>
    </row>
    <row r="21">
      <c r="A21" s="122" t="s">
        <v>2749</v>
      </c>
      <c r="B21" s="41" t="s">
        <v>2363</v>
      </c>
      <c r="C21" s="50" t="s">
        <v>2362</v>
      </c>
      <c r="D21" s="9">
        <v>2022.0</v>
      </c>
    </row>
    <row r="22">
      <c r="A22" s="122" t="s">
        <v>2750</v>
      </c>
      <c r="B22" s="41" t="s">
        <v>850</v>
      </c>
      <c r="C22" s="50" t="s">
        <v>2141</v>
      </c>
      <c r="D22" s="9">
        <v>2022.0</v>
      </c>
      <c r="E22" s="109"/>
    </row>
    <row r="23">
      <c r="A23" s="122" t="s">
        <v>2751</v>
      </c>
      <c r="B23" s="41" t="s">
        <v>2213</v>
      </c>
      <c r="C23" s="50" t="s">
        <v>2212</v>
      </c>
      <c r="D23" s="9">
        <v>2022.0</v>
      </c>
      <c r="E23" s="109"/>
    </row>
    <row r="24">
      <c r="A24" s="122" t="s">
        <v>2752</v>
      </c>
      <c r="B24" s="41" t="s">
        <v>613</v>
      </c>
      <c r="C24" s="9" t="s">
        <v>611</v>
      </c>
      <c r="D24" s="9">
        <v>2023.0</v>
      </c>
    </row>
    <row r="25">
      <c r="A25" s="122" t="s">
        <v>2753</v>
      </c>
      <c r="B25" s="41" t="s">
        <v>658</v>
      </c>
      <c r="C25" s="9" t="s">
        <v>657</v>
      </c>
      <c r="D25" s="9">
        <v>2023.0</v>
      </c>
    </row>
    <row r="26">
      <c r="A26" s="122" t="s">
        <v>2754</v>
      </c>
      <c r="B26" s="41" t="s">
        <v>726</v>
      </c>
      <c r="C26" s="9" t="s">
        <v>724</v>
      </c>
      <c r="D26" s="9">
        <v>2023.0</v>
      </c>
    </row>
    <row r="27">
      <c r="A27" s="122" t="s">
        <v>2755</v>
      </c>
      <c r="B27" s="41" t="s">
        <v>742</v>
      </c>
      <c r="C27" s="9" t="s">
        <v>740</v>
      </c>
      <c r="D27" s="9">
        <v>2023.0</v>
      </c>
    </row>
    <row r="28">
      <c r="A28" s="122" t="s">
        <v>2756</v>
      </c>
      <c r="B28" s="41" t="s">
        <v>926</v>
      </c>
      <c r="C28" s="9" t="s">
        <v>924</v>
      </c>
      <c r="D28" s="9">
        <v>2023.0</v>
      </c>
    </row>
    <row r="29">
      <c r="A29" s="122" t="s">
        <v>2757</v>
      </c>
      <c r="B29" s="41" t="s">
        <v>1246</v>
      </c>
      <c r="C29" s="9" t="s">
        <v>1244</v>
      </c>
      <c r="D29" s="9">
        <v>2023.0</v>
      </c>
    </row>
    <row r="30">
      <c r="A30" s="122" t="s">
        <v>2758</v>
      </c>
      <c r="B30" s="111" t="s">
        <v>1292</v>
      </c>
      <c r="C30" s="9" t="s">
        <v>1291</v>
      </c>
      <c r="D30" s="112">
        <v>2023.0</v>
      </c>
    </row>
    <row r="31">
      <c r="A31" s="122" t="s">
        <v>2759</v>
      </c>
      <c r="B31" s="111" t="s">
        <v>1321</v>
      </c>
      <c r="C31" s="9" t="s">
        <v>1320</v>
      </c>
      <c r="D31" s="112">
        <v>2023.0</v>
      </c>
    </row>
    <row r="32">
      <c r="A32" s="122" t="s">
        <v>2760</v>
      </c>
      <c r="B32" s="111" t="s">
        <v>1442</v>
      </c>
      <c r="C32" s="9" t="s">
        <v>1441</v>
      </c>
      <c r="D32" s="112">
        <v>2023.0</v>
      </c>
    </row>
    <row r="33">
      <c r="A33" s="122" t="s">
        <v>2761</v>
      </c>
      <c r="B33" s="41" t="s">
        <v>1978</v>
      </c>
      <c r="C33" s="9" t="s">
        <v>1977</v>
      </c>
      <c r="D33" s="112">
        <v>2023.0</v>
      </c>
    </row>
    <row r="34">
      <c r="A34" s="122" t="s">
        <v>2762</v>
      </c>
      <c r="B34" s="41" t="s">
        <v>1994</v>
      </c>
      <c r="C34" s="9" t="s">
        <v>1993</v>
      </c>
      <c r="D34" s="112">
        <v>2023.0</v>
      </c>
    </row>
    <row r="35">
      <c r="A35" s="122" t="s">
        <v>2763</v>
      </c>
      <c r="B35" s="41" t="s">
        <v>2325</v>
      </c>
      <c r="C35" s="50" t="s">
        <v>2324</v>
      </c>
      <c r="D35" s="9">
        <v>2023.0</v>
      </c>
    </row>
    <row r="36">
      <c r="A36" s="122" t="s">
        <v>2764</v>
      </c>
      <c r="B36" s="41" t="s">
        <v>2494</v>
      </c>
      <c r="C36" s="50" t="s">
        <v>2493</v>
      </c>
      <c r="D36" s="9">
        <v>2023.0</v>
      </c>
    </row>
    <row r="37">
      <c r="A37" s="122" t="s">
        <v>2765</v>
      </c>
      <c r="B37" s="41" t="s">
        <v>31</v>
      </c>
      <c r="C37" s="9" t="s">
        <v>30</v>
      </c>
      <c r="D37" s="9">
        <v>2024.0</v>
      </c>
    </row>
    <row r="38">
      <c r="A38" s="122" t="s">
        <v>2766</v>
      </c>
      <c r="B38" s="41" t="s">
        <v>76</v>
      </c>
      <c r="C38" s="9" t="s">
        <v>75</v>
      </c>
      <c r="D38" s="9">
        <v>2024.0</v>
      </c>
    </row>
    <row r="39">
      <c r="A39" s="122" t="s">
        <v>2767</v>
      </c>
      <c r="B39" s="41" t="s">
        <v>250</v>
      </c>
      <c r="C39" s="9" t="s">
        <v>249</v>
      </c>
      <c r="D39" s="9">
        <v>2024.0</v>
      </c>
    </row>
    <row r="40">
      <c r="A40" s="122" t="s">
        <v>2768</v>
      </c>
      <c r="B40" s="41" t="s">
        <v>822</v>
      </c>
      <c r="C40" s="9" t="s">
        <v>820</v>
      </c>
      <c r="D40" s="9">
        <v>2024.0</v>
      </c>
    </row>
    <row r="41">
      <c r="A41" s="122" t="s">
        <v>2769</v>
      </c>
      <c r="B41" s="111" t="s">
        <v>1411</v>
      </c>
      <c r="C41" s="9" t="s">
        <v>1410</v>
      </c>
      <c r="D41" s="112">
        <v>2024.0</v>
      </c>
    </row>
    <row r="42">
      <c r="A42" s="122" t="s">
        <v>2770</v>
      </c>
      <c r="B42" s="41" t="s">
        <v>1675</v>
      </c>
      <c r="C42" s="9" t="s">
        <v>1674</v>
      </c>
      <c r="D42" s="112">
        <v>2024.0</v>
      </c>
    </row>
    <row r="43">
      <c r="A43" s="122" t="s">
        <v>2771</v>
      </c>
      <c r="B43" s="41" t="s">
        <v>1481</v>
      </c>
      <c r="C43" s="9" t="s">
        <v>1480</v>
      </c>
      <c r="D43" s="112">
        <v>2024.0</v>
      </c>
    </row>
    <row r="44">
      <c r="A44" s="122" t="s">
        <v>2772</v>
      </c>
      <c r="B44" s="41" t="s">
        <v>1473</v>
      </c>
      <c r="C44" s="9" t="s">
        <v>1472</v>
      </c>
      <c r="D44" s="112">
        <v>2024.0</v>
      </c>
    </row>
    <row r="45">
      <c r="A45" s="122" t="s">
        <v>2773</v>
      </c>
      <c r="B45" s="41" t="s">
        <v>1963</v>
      </c>
      <c r="C45" s="9" t="s">
        <v>1962</v>
      </c>
      <c r="D45" s="112">
        <v>2024.0</v>
      </c>
    </row>
    <row r="46">
      <c r="A46" s="122" t="s">
        <v>2774</v>
      </c>
      <c r="B46" s="41" t="s">
        <v>2177</v>
      </c>
      <c r="C46" s="50" t="s">
        <v>2176</v>
      </c>
      <c r="D46" s="9">
        <v>2024.0</v>
      </c>
    </row>
    <row r="47">
      <c r="A47" s="122" t="s">
        <v>2775</v>
      </c>
      <c r="B47" s="111" t="s">
        <v>1350</v>
      </c>
      <c r="C47" s="9" t="s">
        <v>1349</v>
      </c>
      <c r="D47" s="112">
        <v>2024.0</v>
      </c>
      <c r="E47" s="109"/>
    </row>
    <row r="48">
      <c r="A48" s="122" t="s">
        <v>2776</v>
      </c>
      <c r="B48" s="41" t="s">
        <v>2487</v>
      </c>
      <c r="C48" s="50" t="s">
        <v>2486</v>
      </c>
      <c r="D48" s="9">
        <v>2024.0</v>
      </c>
      <c r="E48" s="109"/>
    </row>
    <row r="49">
      <c r="A49" s="122" t="s">
        <v>2777</v>
      </c>
      <c r="B49" s="41" t="s">
        <v>24</v>
      </c>
      <c r="C49" s="9" t="s">
        <v>22</v>
      </c>
      <c r="D49" s="9">
        <v>2025.0</v>
      </c>
    </row>
    <row r="50">
      <c r="A50" s="122" t="s">
        <v>2778</v>
      </c>
      <c r="B50" s="41" t="s">
        <v>39</v>
      </c>
      <c r="C50" s="9" t="s">
        <v>38</v>
      </c>
      <c r="D50" s="9">
        <v>2025.0</v>
      </c>
    </row>
    <row r="51">
      <c r="A51" s="122" t="s">
        <v>2779</v>
      </c>
      <c r="B51" s="41" t="s">
        <v>258</v>
      </c>
      <c r="C51" s="9" t="s">
        <v>257</v>
      </c>
      <c r="D51" s="9">
        <v>2025.0</v>
      </c>
    </row>
    <row r="52">
      <c r="A52" s="122" t="s">
        <v>2780</v>
      </c>
      <c r="B52" s="41" t="s">
        <v>507</v>
      </c>
      <c r="C52" s="9" t="s">
        <v>506</v>
      </c>
      <c r="D52" s="9">
        <v>2025.0</v>
      </c>
    </row>
    <row r="53">
      <c r="A53" s="122" t="s">
        <v>2781</v>
      </c>
      <c r="B53" s="41" t="s">
        <v>691</v>
      </c>
      <c r="C53" s="9" t="s">
        <v>690</v>
      </c>
      <c r="D53" s="9">
        <v>2025.0</v>
      </c>
    </row>
    <row r="54">
      <c r="A54" s="122" t="s">
        <v>2782</v>
      </c>
      <c r="B54" s="41" t="s">
        <v>708</v>
      </c>
      <c r="C54" s="9" t="s">
        <v>707</v>
      </c>
      <c r="D54" s="9">
        <v>2025.0</v>
      </c>
    </row>
    <row r="55">
      <c r="A55" s="122" t="s">
        <v>2783</v>
      </c>
      <c r="B55" s="41" t="s">
        <v>859</v>
      </c>
      <c r="C55" s="9" t="s">
        <v>857</v>
      </c>
      <c r="D55" s="9">
        <v>2025.0</v>
      </c>
    </row>
    <row r="56">
      <c r="A56" s="122" t="s">
        <v>2784</v>
      </c>
      <c r="B56" s="41" t="s">
        <v>883</v>
      </c>
      <c r="C56" s="9" t="s">
        <v>881</v>
      </c>
      <c r="D56" s="9">
        <v>2025.0</v>
      </c>
    </row>
    <row r="57">
      <c r="A57" s="122" t="s">
        <v>2785</v>
      </c>
      <c r="B57" s="41" t="s">
        <v>944</v>
      </c>
      <c r="C57" s="9" t="s">
        <v>942</v>
      </c>
      <c r="D57" s="9">
        <v>2025.0</v>
      </c>
    </row>
    <row r="58">
      <c r="A58" s="122" t="s">
        <v>2786</v>
      </c>
      <c r="B58" s="41" t="s">
        <v>962</v>
      </c>
      <c r="C58" s="9" t="s">
        <v>960</v>
      </c>
      <c r="D58" s="9">
        <v>2025.0</v>
      </c>
    </row>
    <row r="59">
      <c r="A59" s="122" t="s">
        <v>2787</v>
      </c>
      <c r="B59" s="41" t="s">
        <v>1253</v>
      </c>
      <c r="C59" s="9" t="s">
        <v>1252</v>
      </c>
      <c r="D59" s="9">
        <v>2025.0</v>
      </c>
    </row>
    <row r="60">
      <c r="A60" s="122" t="s">
        <v>2788</v>
      </c>
      <c r="B60" s="111" t="s">
        <v>1367</v>
      </c>
      <c r="C60" s="9" t="s">
        <v>1366</v>
      </c>
      <c r="D60" s="112">
        <v>2025.0</v>
      </c>
    </row>
    <row r="61">
      <c r="A61" s="122" t="s">
        <v>2789</v>
      </c>
      <c r="B61" s="111" t="s">
        <v>1599</v>
      </c>
      <c r="C61" s="9" t="s">
        <v>1598</v>
      </c>
      <c r="D61" s="112">
        <v>2025.0</v>
      </c>
    </row>
    <row r="62">
      <c r="A62" s="122" t="s">
        <v>2790</v>
      </c>
      <c r="B62" s="41" t="s">
        <v>1359</v>
      </c>
      <c r="C62" s="9" t="s">
        <v>1358</v>
      </c>
      <c r="D62" s="112">
        <v>2025.0</v>
      </c>
    </row>
    <row r="63">
      <c r="A63" s="122" t="s">
        <v>2791</v>
      </c>
      <c r="B63" s="41" t="s">
        <v>1832</v>
      </c>
      <c r="C63" s="9" t="s">
        <v>1831</v>
      </c>
      <c r="D63" s="112">
        <v>2025.0</v>
      </c>
    </row>
    <row r="64">
      <c r="A64" s="122" t="s">
        <v>2792</v>
      </c>
      <c r="B64" s="41" t="s">
        <v>1864</v>
      </c>
      <c r="C64" s="9" t="s">
        <v>1863</v>
      </c>
      <c r="D64" s="112">
        <v>2025.0</v>
      </c>
    </row>
    <row r="65">
      <c r="A65" s="122" t="s">
        <v>2793</v>
      </c>
      <c r="B65" s="41" t="s">
        <v>1690</v>
      </c>
      <c r="C65" s="9" t="s">
        <v>1689</v>
      </c>
      <c r="D65" s="112">
        <v>2025.0</v>
      </c>
    </row>
    <row r="66">
      <c r="A66" s="122" t="s">
        <v>2794</v>
      </c>
      <c r="B66" s="41" t="s">
        <v>1896</v>
      </c>
      <c r="C66" s="9" t="s">
        <v>1895</v>
      </c>
      <c r="D66" s="112">
        <v>2025.0</v>
      </c>
    </row>
    <row r="67">
      <c r="A67" s="122" t="s">
        <v>2795</v>
      </c>
      <c r="B67" s="41" t="s">
        <v>2147</v>
      </c>
      <c r="C67" s="50" t="s">
        <v>2146</v>
      </c>
      <c r="D67" s="9">
        <v>2025.0</v>
      </c>
    </row>
    <row r="68">
      <c r="A68" s="122" t="s">
        <v>2796</v>
      </c>
      <c r="B68" s="41" t="s">
        <v>2220</v>
      </c>
      <c r="C68" s="50" t="s">
        <v>2219</v>
      </c>
      <c r="D68" s="9">
        <v>2025.0</v>
      </c>
    </row>
    <row r="69">
      <c r="A69" s="122" t="s">
        <v>2797</v>
      </c>
      <c r="B69" s="41" t="s">
        <v>2385</v>
      </c>
      <c r="C69" s="50" t="s">
        <v>2384</v>
      </c>
      <c r="D69" s="9">
        <v>2025.0</v>
      </c>
    </row>
    <row r="70">
      <c r="A70" s="122" t="s">
        <v>2798</v>
      </c>
      <c r="B70" s="41" t="s">
        <v>2519</v>
      </c>
      <c r="C70" s="50" t="s">
        <v>2518</v>
      </c>
      <c r="D70" s="9">
        <v>2025.0</v>
      </c>
    </row>
    <row r="71">
      <c r="A71" s="122" t="s">
        <v>2799</v>
      </c>
      <c r="B71" s="41" t="s">
        <v>226</v>
      </c>
      <c r="C71" s="9" t="s">
        <v>225</v>
      </c>
      <c r="D71" s="9">
        <v>2026.0</v>
      </c>
    </row>
    <row r="72">
      <c r="A72" s="122" t="s">
        <v>2800</v>
      </c>
      <c r="B72" s="41" t="s">
        <v>356</v>
      </c>
      <c r="C72" s="9" t="s">
        <v>355</v>
      </c>
      <c r="D72" s="9">
        <v>2026.0</v>
      </c>
    </row>
    <row r="73">
      <c r="A73" s="122" t="s">
        <v>2801</v>
      </c>
      <c r="B73" s="41" t="s">
        <v>439</v>
      </c>
      <c r="C73" s="9" t="s">
        <v>438</v>
      </c>
      <c r="D73" s="9">
        <v>2026.0</v>
      </c>
    </row>
    <row r="74">
      <c r="A74" s="122" t="s">
        <v>2802</v>
      </c>
      <c r="B74" s="41" t="s">
        <v>997</v>
      </c>
      <c r="C74" s="9" t="s">
        <v>996</v>
      </c>
      <c r="D74" s="9">
        <v>2026.0</v>
      </c>
    </row>
    <row r="75">
      <c r="A75" s="122" t="s">
        <v>2803</v>
      </c>
      <c r="B75" s="111" t="s">
        <v>1552</v>
      </c>
      <c r="C75" s="9" t="s">
        <v>1551</v>
      </c>
      <c r="D75" s="112">
        <v>2026.0</v>
      </c>
    </row>
    <row r="76">
      <c r="A76" s="122" t="s">
        <v>2804</v>
      </c>
      <c r="B76" s="41" t="s">
        <v>1727</v>
      </c>
      <c r="C76" s="9" t="s">
        <v>1726</v>
      </c>
      <c r="D76" s="112">
        <v>2026.0</v>
      </c>
    </row>
    <row r="77">
      <c r="A77" s="122" t="s">
        <v>2805</v>
      </c>
      <c r="B77" s="41" t="s">
        <v>1735</v>
      </c>
      <c r="C77" s="9" t="s">
        <v>1734</v>
      </c>
      <c r="D77" s="112">
        <v>2026.0</v>
      </c>
    </row>
    <row r="78">
      <c r="A78" s="122" t="s">
        <v>2806</v>
      </c>
      <c r="B78" s="41" t="s">
        <v>1767</v>
      </c>
      <c r="C78" s="9" t="s">
        <v>1766</v>
      </c>
      <c r="D78" s="112">
        <v>2026.0</v>
      </c>
    </row>
    <row r="79">
      <c r="A79" s="122" t="s">
        <v>2807</v>
      </c>
      <c r="B79" s="41" t="s">
        <v>2269</v>
      </c>
      <c r="C79" s="50" t="s">
        <v>2268</v>
      </c>
      <c r="D79" s="9">
        <v>2026.0</v>
      </c>
    </row>
    <row r="80">
      <c r="A80" s="122" t="s">
        <v>2808</v>
      </c>
      <c r="B80" s="41" t="s">
        <v>2404</v>
      </c>
      <c r="C80" s="50" t="s">
        <v>2403</v>
      </c>
      <c r="D80" s="9">
        <v>2026.0</v>
      </c>
    </row>
  </sheetData>
  <autoFilter ref="$A$1:$Z$1000">
    <sortState ref="A1:Z1000">
      <sortCondition ref="D1:D1000"/>
    </sortState>
  </autoFilter>
  <conditionalFormatting sqref="B80">
    <cfRule type="expression" dxfId="1" priority="1">
      <formula>COUNTIF($J:$J, $J80) &gt; 1</formula>
    </cfRule>
  </conditionalFormatting>
  <conditionalFormatting sqref="B79">
    <cfRule type="expression" dxfId="1" priority="2">
      <formula>COUNTIF($J:$J, $J79) &gt; 1</formula>
    </cfRule>
  </conditionalFormatting>
  <conditionalFormatting sqref="B78">
    <cfRule type="expression" dxfId="1" priority="3">
      <formula>COUNTIF($J:$J, $J78) &gt; 1</formula>
    </cfRule>
  </conditionalFormatting>
  <conditionalFormatting sqref="B77">
    <cfRule type="expression" dxfId="1" priority="4">
      <formula>COUNTIF($J:$J, $J77) &gt; 1</formula>
    </cfRule>
  </conditionalFormatting>
  <conditionalFormatting sqref="B76">
    <cfRule type="expression" dxfId="1" priority="5">
      <formula>COUNTIF($I:$I, $I76) &gt; 1</formula>
    </cfRule>
  </conditionalFormatting>
  <conditionalFormatting sqref="B75">
    <cfRule type="expression" dxfId="1" priority="6">
      <formula>COUNTIF($I:$I, $I75) &gt; 1</formula>
    </cfRule>
  </conditionalFormatting>
  <conditionalFormatting sqref="B72:B74">
    <cfRule type="expression" dxfId="1" priority="7">
      <formula>COUNTIF($I:$I, $I72) &gt; 1</formula>
    </cfRule>
  </conditionalFormatting>
  <conditionalFormatting sqref="B66:B71">
    <cfRule type="expression" dxfId="1" priority="8">
      <formula>COUNTIF($I:$I, $I66) &gt; 1</formula>
    </cfRule>
  </conditionalFormatting>
  <conditionalFormatting sqref="B63:B65">
    <cfRule type="expression" dxfId="1" priority="9">
      <formula>COUNTIF($I:$I, $I63) &gt; 1</formula>
    </cfRule>
  </conditionalFormatting>
  <conditionalFormatting sqref="B62:D62">
    <cfRule type="expression" dxfId="0" priority="10">
      <formula>COUNTIF($F62,"Conforme")</formula>
    </cfRule>
  </conditionalFormatting>
  <conditionalFormatting sqref="B62:D62">
    <cfRule type="expression" dxfId="1" priority="11">
      <formula>COUNTIF($F62,"Inconforme")</formula>
    </cfRule>
  </conditionalFormatting>
  <conditionalFormatting sqref="B60:D62">
    <cfRule type="expression" dxfId="0" priority="12">
      <formula>COUNTIF($A60:$C60,"Conforme")&gt;=2</formula>
    </cfRule>
  </conditionalFormatting>
  <conditionalFormatting sqref="B60:D62">
    <cfRule type="expression" dxfId="1" priority="13">
      <formula>COUNTIF($A60:$C60,"Inconforme")&gt;=2</formula>
    </cfRule>
  </conditionalFormatting>
  <conditionalFormatting sqref="B40:B62">
    <cfRule type="expression" dxfId="1" priority="14">
      <formula>COUNTIF($I:$I, $I40) &gt; 1</formula>
    </cfRule>
  </conditionalFormatting>
  <conditionalFormatting sqref="B35:D36">
    <cfRule type="expression" dxfId="0" priority="15">
      <formula>COUNTIF($F35,"Conforme")</formula>
    </cfRule>
  </conditionalFormatting>
  <conditionalFormatting sqref="B35:D36">
    <cfRule type="expression" dxfId="1" priority="16">
      <formula>COUNTIF($F35,"Inconforme")</formula>
    </cfRule>
  </conditionalFormatting>
  <conditionalFormatting sqref="B22:B39">
    <cfRule type="expression" dxfId="1" priority="17">
      <formula>COUNTIF($I:$I, $I22) &gt; 1</formula>
    </cfRule>
  </conditionalFormatting>
  <conditionalFormatting sqref="B18:B21">
    <cfRule type="expression" dxfId="1" priority="18">
      <formula>COUNTIF($I:$I, $I18) &gt; 1</formula>
    </cfRule>
  </conditionalFormatting>
  <conditionalFormatting sqref="B17">
    <cfRule type="expression" dxfId="1" priority="19">
      <formula>COUNTIF($I:$I, $I17) &gt; 1</formula>
    </cfRule>
  </conditionalFormatting>
  <conditionalFormatting sqref="B16:D16">
    <cfRule type="expression" dxfId="0" priority="20">
      <formula>COUNTIF($F16,"Conforme")</formula>
    </cfRule>
  </conditionalFormatting>
  <conditionalFormatting sqref="B16:D16">
    <cfRule type="expression" dxfId="1" priority="21">
      <formula>COUNTIF($F16,"Inconforme")</formula>
    </cfRule>
  </conditionalFormatting>
  <conditionalFormatting sqref="B16:D16">
    <cfRule type="expression" dxfId="2" priority="22">
      <formula>$E16= "Duvida"</formula>
    </cfRule>
  </conditionalFormatting>
  <conditionalFormatting sqref="B14:D15">
    <cfRule type="expression" dxfId="0" priority="23">
      <formula>COUNTIF($F14,"Conforme")</formula>
    </cfRule>
  </conditionalFormatting>
  <conditionalFormatting sqref="B14:D15">
    <cfRule type="expression" dxfId="1" priority="24">
      <formula>COUNTIF($F14,"Inconforme")</formula>
    </cfRule>
  </conditionalFormatting>
  <conditionalFormatting sqref="B14:D15">
    <cfRule type="expression" dxfId="2" priority="25">
      <formula>$E14= "Duvida"</formula>
    </cfRule>
  </conditionalFormatting>
  <conditionalFormatting sqref="B13:D13">
    <cfRule type="expression" dxfId="0" priority="26">
      <formula>COUNTIF($F13,"Conforme")</formula>
    </cfRule>
  </conditionalFormatting>
  <conditionalFormatting sqref="B13:D13">
    <cfRule type="expression" dxfId="1" priority="27">
      <formula>COUNTIF($F13,"Inconforme")</formula>
    </cfRule>
  </conditionalFormatting>
  <conditionalFormatting sqref="B13:D13">
    <cfRule type="expression" dxfId="2" priority="28">
      <formula>$E13= "Duvida"</formula>
    </cfRule>
  </conditionalFormatting>
  <conditionalFormatting sqref="B12:D12">
    <cfRule type="expression" dxfId="0" priority="29">
      <formula>COUNTIF($F12,"Conforme")</formula>
    </cfRule>
  </conditionalFormatting>
  <conditionalFormatting sqref="B12:D12">
    <cfRule type="expression" dxfId="1" priority="30">
      <formula>COUNTIF($F12,"Inconforme")</formula>
    </cfRule>
  </conditionalFormatting>
  <conditionalFormatting sqref="B12:D12">
    <cfRule type="expression" dxfId="2" priority="31">
      <formula>$E12= "Duvida"</formula>
    </cfRule>
  </conditionalFormatting>
  <conditionalFormatting sqref="B11:D11">
    <cfRule type="expression" dxfId="0" priority="32">
      <formula>COUNTIF($F11,"Conforme")</formula>
    </cfRule>
  </conditionalFormatting>
  <conditionalFormatting sqref="B11:D11">
    <cfRule type="expression" dxfId="1" priority="33">
      <formula>COUNTIF($F11,"Inconforme")</formula>
    </cfRule>
  </conditionalFormatting>
  <conditionalFormatting sqref="B11:D11">
    <cfRule type="expression" dxfId="2" priority="34">
      <formula>$E11= "Duvida"</formula>
    </cfRule>
  </conditionalFormatting>
  <conditionalFormatting sqref="B9:D10">
    <cfRule type="expression" dxfId="0" priority="35">
      <formula>COUNTIF($F9,"Conforme")</formula>
    </cfRule>
  </conditionalFormatting>
  <conditionalFormatting sqref="B9:D10">
    <cfRule type="expression" dxfId="1" priority="36">
      <formula>COUNTIF($F9,"Inconforme")</formula>
    </cfRule>
  </conditionalFormatting>
  <conditionalFormatting sqref="B9:D10">
    <cfRule type="expression" dxfId="2" priority="37">
      <formula>$E9= "Duvida"</formula>
    </cfRule>
  </conditionalFormatting>
  <conditionalFormatting sqref="B7:D8">
    <cfRule type="expression" dxfId="0" priority="38">
      <formula>COUNTIF($F7,"Conforme")</formula>
    </cfRule>
  </conditionalFormatting>
  <conditionalFormatting sqref="B7:D8">
    <cfRule type="expression" dxfId="1" priority="39">
      <formula>COUNTIF($F7,"Inconforme")</formula>
    </cfRule>
  </conditionalFormatting>
  <conditionalFormatting sqref="B7:D8">
    <cfRule type="expression" dxfId="2" priority="40">
      <formula>$E7= "Duvida"</formula>
    </cfRule>
  </conditionalFormatting>
  <conditionalFormatting sqref="B6:D6">
    <cfRule type="expression" dxfId="0" priority="41">
      <formula>COUNTIF($F6,"Conforme")</formula>
    </cfRule>
  </conditionalFormatting>
  <conditionalFormatting sqref="B6:D6">
    <cfRule type="expression" dxfId="1" priority="42">
      <formula>COUNTIF($F6,"Inconforme")</formula>
    </cfRule>
  </conditionalFormatting>
  <conditionalFormatting sqref="B6:D6">
    <cfRule type="expression" dxfId="2" priority="43">
      <formula>$E6= "Duvida"</formula>
    </cfRule>
  </conditionalFormatting>
  <conditionalFormatting sqref="B5:D5">
    <cfRule type="expression" dxfId="0" priority="44">
      <formula>COUNTIF($F5,"Conforme")</formula>
    </cfRule>
  </conditionalFormatting>
  <conditionalFormatting sqref="B5:D5">
    <cfRule type="expression" dxfId="1" priority="45">
      <formula>COUNTIF($F5,"Inconforme")</formula>
    </cfRule>
  </conditionalFormatting>
  <conditionalFormatting sqref="B5:D5">
    <cfRule type="expression" dxfId="2" priority="46">
      <formula>$E5= "Duvida"</formula>
    </cfRule>
  </conditionalFormatting>
  <conditionalFormatting sqref="B2:D4">
    <cfRule type="expression" dxfId="0" priority="47">
      <formula>COUNTIF($F2,"Conforme")</formula>
    </cfRule>
  </conditionalFormatting>
  <conditionalFormatting sqref="B2:D4">
    <cfRule type="expression" dxfId="1" priority="48">
      <formula>COUNTIF($F2,"Inconforme")</formula>
    </cfRule>
  </conditionalFormatting>
  <conditionalFormatting sqref="B2:D4">
    <cfRule type="expression" dxfId="2" priority="49">
      <formula>$E2= "Duvida"</formula>
    </cfRule>
  </conditionalFormatting>
  <conditionalFormatting sqref="B16:D16">
    <cfRule type="expression" dxfId="0" priority="50">
      <formula>COUNTIF($A16:$C16,"Conforme")&gt;=2</formula>
    </cfRule>
  </conditionalFormatting>
  <conditionalFormatting sqref="B16:D16">
    <cfRule type="expression" dxfId="1" priority="51">
      <formula>COUNTIF($A16:$C16,"Inconforme")&gt;=2</formula>
    </cfRule>
  </conditionalFormatting>
  <conditionalFormatting sqref="B16:D16">
    <cfRule type="expression" dxfId="2" priority="52">
      <formula>$C16= "Duvida"</formula>
    </cfRule>
  </conditionalFormatting>
  <conditionalFormatting sqref="B15:D15">
    <cfRule type="expression" dxfId="0" priority="53">
      <formula>COUNTIF($A15:$C15,"Conforme")&gt;=2</formula>
    </cfRule>
  </conditionalFormatting>
  <conditionalFormatting sqref="B15:D15">
    <cfRule type="expression" dxfId="1" priority="54">
      <formula>COUNTIF($A15:$C15,"Inconforme")&gt;=2</formula>
    </cfRule>
  </conditionalFormatting>
  <conditionalFormatting sqref="B15:D15">
    <cfRule type="expression" dxfId="2" priority="55">
      <formula>$C15= "Duvida"</formula>
    </cfRule>
  </conditionalFormatting>
  <conditionalFormatting sqref="B14:D14">
    <cfRule type="expression" dxfId="0" priority="56">
      <formula>COUNTIF($A14:$C14,"Conforme")&gt;=2</formula>
    </cfRule>
  </conditionalFormatting>
  <conditionalFormatting sqref="B14:D14">
    <cfRule type="expression" dxfId="1" priority="57">
      <formula>COUNTIF($A14:$C14,"Inconforme")&gt;=2</formula>
    </cfRule>
  </conditionalFormatting>
  <conditionalFormatting sqref="B14:D14">
    <cfRule type="expression" dxfId="2" priority="58">
      <formula>$C14= "Duvida"</formula>
    </cfRule>
  </conditionalFormatting>
  <conditionalFormatting sqref="B13:D13">
    <cfRule type="expression" dxfId="0" priority="59">
      <formula>COUNTIF($A13:$C13,"Conforme")&gt;=2</formula>
    </cfRule>
  </conditionalFormatting>
  <conditionalFormatting sqref="B13:D13">
    <cfRule type="expression" dxfId="1" priority="60">
      <formula>COUNTIF($A13:$C13,"Inconforme")&gt;=2</formula>
    </cfRule>
  </conditionalFormatting>
  <conditionalFormatting sqref="B13:D13">
    <cfRule type="expression" dxfId="2" priority="61">
      <formula>$C13= "Duvida"</formula>
    </cfRule>
  </conditionalFormatting>
  <conditionalFormatting sqref="B12:D12">
    <cfRule type="expression" dxfId="0" priority="62">
      <formula>COUNTIF($A12:$C12,"Conforme")&gt;=2</formula>
    </cfRule>
  </conditionalFormatting>
  <conditionalFormatting sqref="B12:D12">
    <cfRule type="expression" dxfId="1" priority="63">
      <formula>COUNTIF($A12:$C12,"Inconforme")&gt;=2</formula>
    </cfRule>
  </conditionalFormatting>
  <conditionalFormatting sqref="B12:D12">
    <cfRule type="expression" dxfId="2" priority="64">
      <formula>$C12= "Duvida"</formula>
    </cfRule>
  </conditionalFormatting>
  <conditionalFormatting sqref="B11:D11">
    <cfRule type="expression" dxfId="0" priority="65">
      <formula>COUNTIF($A11:$C11,"Conforme")&gt;=2</formula>
    </cfRule>
  </conditionalFormatting>
  <conditionalFormatting sqref="B11:D11">
    <cfRule type="expression" dxfId="1" priority="66">
      <formula>COUNTIF($A11:$C11,"Inconforme")&gt;=2</formula>
    </cfRule>
  </conditionalFormatting>
  <conditionalFormatting sqref="B11:D11">
    <cfRule type="expression" dxfId="2" priority="67">
      <formula>$C11= "Duvida"</formula>
    </cfRule>
  </conditionalFormatting>
  <conditionalFormatting sqref="B10:D10">
    <cfRule type="expression" dxfId="0" priority="68">
      <formula>COUNTIF($A10:$C10,"Conforme")&gt;=2</formula>
    </cfRule>
  </conditionalFormatting>
  <conditionalFormatting sqref="B10:D10">
    <cfRule type="expression" dxfId="1" priority="69">
      <formula>COUNTIF($A10:$C10,"Inconforme")&gt;=2</formula>
    </cfRule>
  </conditionalFormatting>
  <conditionalFormatting sqref="B10:D10">
    <cfRule type="expression" dxfId="2" priority="70">
      <formula>$C10= "Duvida"</formula>
    </cfRule>
  </conditionalFormatting>
  <conditionalFormatting sqref="B9:D9">
    <cfRule type="expression" dxfId="0" priority="71">
      <formula>COUNTIF($A9:$C9,"Conforme")&gt;=2</formula>
    </cfRule>
  </conditionalFormatting>
  <conditionalFormatting sqref="B9:D9">
    <cfRule type="expression" dxfId="1" priority="72">
      <formula>COUNTIF($A9:$C9,"Inconforme")&gt;=2</formula>
    </cfRule>
  </conditionalFormatting>
  <conditionalFormatting sqref="B9:D9">
    <cfRule type="expression" dxfId="2" priority="73">
      <formula>$C9= "Duvida"</formula>
    </cfRule>
  </conditionalFormatting>
  <conditionalFormatting sqref="B8:D8">
    <cfRule type="expression" dxfId="0" priority="74">
      <formula>COUNTIF($A8:$C8,"Conforme")&gt;=2</formula>
    </cfRule>
  </conditionalFormatting>
  <conditionalFormatting sqref="B8:D8">
    <cfRule type="expression" dxfId="1" priority="75">
      <formula>COUNTIF($A8:$C8,"Inconforme")&gt;=2</formula>
    </cfRule>
  </conditionalFormatting>
  <conditionalFormatting sqref="B8:D8">
    <cfRule type="expression" dxfId="2" priority="76">
      <formula>$C8= "Duvida"</formula>
    </cfRule>
  </conditionalFormatting>
  <conditionalFormatting sqref="B7:D7">
    <cfRule type="expression" dxfId="0" priority="77">
      <formula>COUNTIF($A7:$C7,"Conforme")&gt;=2</formula>
    </cfRule>
  </conditionalFormatting>
  <conditionalFormatting sqref="B7:D7">
    <cfRule type="expression" dxfId="1" priority="78">
      <formula>COUNTIF($A7:$C7,"Inconforme")&gt;=2</formula>
    </cfRule>
  </conditionalFormatting>
  <conditionalFormatting sqref="B7:D7">
    <cfRule type="expression" dxfId="2" priority="79">
      <formula>$C7= "Duvida"</formula>
    </cfRule>
  </conditionalFormatting>
  <conditionalFormatting sqref="B6:D6">
    <cfRule type="expression" dxfId="0" priority="80">
      <formula>COUNTIF($A6:$C6,"Conforme")&gt;=2</formula>
    </cfRule>
  </conditionalFormatting>
  <conditionalFormatting sqref="B6:D6">
    <cfRule type="expression" dxfId="1" priority="81">
      <formula>COUNTIF($A6:$C6,"Inconforme")&gt;=2</formula>
    </cfRule>
  </conditionalFormatting>
  <conditionalFormatting sqref="B6:D6">
    <cfRule type="expression" dxfId="2" priority="82">
      <formula>$C6= "Duvida"</formula>
    </cfRule>
  </conditionalFormatting>
  <conditionalFormatting sqref="B5:D5">
    <cfRule type="expression" dxfId="0" priority="83">
      <formula>COUNTIF($A5:$C5,"Conforme")&gt;=2</formula>
    </cfRule>
  </conditionalFormatting>
  <conditionalFormatting sqref="B5:D5">
    <cfRule type="expression" dxfId="1" priority="84">
      <formula>COUNTIF($A5:$C5,"Inconforme")&gt;=2</formula>
    </cfRule>
  </conditionalFormatting>
  <conditionalFormatting sqref="B5:D5">
    <cfRule type="expression" dxfId="2" priority="85">
      <formula>$C5= "Duvida"</formula>
    </cfRule>
  </conditionalFormatting>
  <conditionalFormatting sqref="B4:D4">
    <cfRule type="expression" dxfId="0" priority="86">
      <formula>COUNTIF($A4:$C4,"Conforme")&gt;=2</formula>
    </cfRule>
  </conditionalFormatting>
  <conditionalFormatting sqref="B4:D4">
    <cfRule type="expression" dxfId="1" priority="87">
      <formula>COUNTIF($A4:$C4,"Inconforme")&gt;=2</formula>
    </cfRule>
  </conditionalFormatting>
  <conditionalFormatting sqref="B4:D4">
    <cfRule type="expression" dxfId="2" priority="88">
      <formula>$C4= "Duvida"</formula>
    </cfRule>
  </conditionalFormatting>
  <conditionalFormatting sqref="B3:D3">
    <cfRule type="expression" dxfId="0" priority="89">
      <formula>COUNTIF($A3:$C3,"Conforme")&gt;=2</formula>
    </cfRule>
  </conditionalFormatting>
  <conditionalFormatting sqref="B3:D3">
    <cfRule type="expression" dxfId="1" priority="90">
      <formula>COUNTIF($A3:$C3,"Inconforme")&gt;=2</formula>
    </cfRule>
  </conditionalFormatting>
  <conditionalFormatting sqref="B3:D3">
    <cfRule type="expression" dxfId="2" priority="91">
      <formula>$C3= "Duvida"</formula>
    </cfRule>
  </conditionalFormatting>
  <conditionalFormatting sqref="B2:D2">
    <cfRule type="expression" dxfId="0" priority="92">
      <formula>COUNTIF($A2:$C2,"Conforme")&gt;=2</formula>
    </cfRule>
  </conditionalFormatting>
  <conditionalFormatting sqref="B2:D2">
    <cfRule type="expression" dxfId="1" priority="93">
      <formula>COUNTIF($A2:$C2,"Inconforme")&gt;=2</formula>
    </cfRule>
  </conditionalFormatting>
  <conditionalFormatting sqref="B2:D2">
    <cfRule type="expression" dxfId="2" priority="94">
      <formula>$C2= "Duvida"</formula>
    </cfRule>
  </conditionalFormatting>
  <conditionalFormatting sqref="B2:B16">
    <cfRule type="expression" dxfId="1" priority="95">
      <formula>COUNTIF($I:$I, $I2) &gt; 1</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2809</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2.63"/>
    <col customWidth="1" min="13" max="13" width="22.25"/>
    <col customWidth="1" min="20" max="24" width="30.0"/>
    <col customWidth="1" min="25" max="64" width="18.0"/>
  </cols>
  <sheetData>
    <row r="1" ht="36.0" customHeight="1">
      <c r="A1" s="123" t="s">
        <v>2728</v>
      </c>
      <c r="B1" s="123" t="s">
        <v>2632</v>
      </c>
      <c r="C1" s="124" t="s">
        <v>2633</v>
      </c>
      <c r="D1" s="125" t="s">
        <v>2634</v>
      </c>
      <c r="E1" s="125" t="s">
        <v>2635</v>
      </c>
      <c r="F1" s="125" t="s">
        <v>2636</v>
      </c>
      <c r="G1" s="125" t="s">
        <v>2637</v>
      </c>
      <c r="H1" s="123" t="s">
        <v>2810</v>
      </c>
      <c r="I1" s="123" t="s">
        <v>2107</v>
      </c>
      <c r="J1" s="125" t="s">
        <v>2811</v>
      </c>
      <c r="L1" s="125" t="s">
        <v>2812</v>
      </c>
      <c r="N1" s="125" t="s">
        <v>2813</v>
      </c>
      <c r="P1" s="126" t="s">
        <v>2814</v>
      </c>
      <c r="R1" s="125" t="s">
        <v>2815</v>
      </c>
      <c r="T1" s="127" t="s">
        <v>2816</v>
      </c>
      <c r="U1" s="127" t="s">
        <v>2817</v>
      </c>
      <c r="V1" s="127" t="s">
        <v>2818</v>
      </c>
      <c r="W1" s="127" t="s">
        <v>2819</v>
      </c>
      <c r="X1" s="127" t="s">
        <v>2820</v>
      </c>
      <c r="Y1" s="127" t="s">
        <v>2821</v>
      </c>
      <c r="Z1" s="127" t="s">
        <v>2822</v>
      </c>
      <c r="AA1" s="127" t="s">
        <v>2823</v>
      </c>
      <c r="AB1" s="127" t="s">
        <v>2824</v>
      </c>
      <c r="AC1" s="127" t="s">
        <v>2825</v>
      </c>
      <c r="AD1" s="127" t="s">
        <v>2826</v>
      </c>
      <c r="AE1" s="127" t="s">
        <v>2827</v>
      </c>
      <c r="AF1" s="127" t="s">
        <v>2828</v>
      </c>
      <c r="AG1" s="127" t="s">
        <v>2829</v>
      </c>
      <c r="AH1" s="127" t="s">
        <v>2830</v>
      </c>
      <c r="AI1" s="127" t="s">
        <v>2831</v>
      </c>
      <c r="AJ1" s="127" t="s">
        <v>2832</v>
      </c>
      <c r="AK1" s="127" t="s">
        <v>2833</v>
      </c>
      <c r="AL1" s="127" t="s">
        <v>2834</v>
      </c>
      <c r="AM1" s="127" t="s">
        <v>2835</v>
      </c>
      <c r="AN1" s="127" t="s">
        <v>2836</v>
      </c>
      <c r="AO1" s="127" t="s">
        <v>2837</v>
      </c>
      <c r="AP1" s="127" t="s">
        <v>2838</v>
      </c>
      <c r="AQ1" s="127" t="s">
        <v>2839</v>
      </c>
      <c r="AR1" s="127" t="s">
        <v>2840</v>
      </c>
      <c r="AS1" s="127" t="s">
        <v>2841</v>
      </c>
      <c r="AT1" s="127" t="s">
        <v>2842</v>
      </c>
      <c r="AU1" s="127" t="s">
        <v>2843</v>
      </c>
      <c r="AV1" s="127" t="s">
        <v>2844</v>
      </c>
      <c r="AW1" s="127" t="s">
        <v>2845</v>
      </c>
      <c r="AX1" s="127" t="s">
        <v>2846</v>
      </c>
      <c r="AY1" s="127" t="s">
        <v>2847</v>
      </c>
      <c r="AZ1" s="127" t="s">
        <v>2848</v>
      </c>
      <c r="BA1" s="127" t="s">
        <v>2849</v>
      </c>
      <c r="BB1" s="127" t="s">
        <v>2850</v>
      </c>
      <c r="BC1" s="127" t="s">
        <v>2851</v>
      </c>
      <c r="BD1" s="127" t="s">
        <v>2852</v>
      </c>
      <c r="BE1" s="127" t="s">
        <v>2853</v>
      </c>
      <c r="BF1" s="127" t="s">
        <v>2854</v>
      </c>
      <c r="BG1" s="127" t="s">
        <v>2855</v>
      </c>
      <c r="BH1" s="127" t="s">
        <v>2856</v>
      </c>
      <c r="BI1" s="127" t="s">
        <v>2857</v>
      </c>
      <c r="BJ1" s="127" t="s">
        <v>2858</v>
      </c>
      <c r="BK1" s="127" t="s">
        <v>2859</v>
      </c>
      <c r="BL1" s="127" t="s">
        <v>2860</v>
      </c>
    </row>
    <row r="2">
      <c r="A2" s="128" t="s">
        <v>2730</v>
      </c>
      <c r="B2" s="129" t="s">
        <v>537</v>
      </c>
      <c r="C2" s="130" t="s">
        <v>536</v>
      </c>
      <c r="D2" s="130" t="s">
        <v>23</v>
      </c>
      <c r="E2" s="130">
        <v>2021.0</v>
      </c>
      <c r="F2" s="130">
        <f>-(683-747)</f>
        <v>64</v>
      </c>
      <c r="G2" s="131" t="s">
        <v>2604</v>
      </c>
      <c r="H2" s="132"/>
      <c r="I2" s="133" t="s">
        <v>2861</v>
      </c>
      <c r="J2" s="134" t="s">
        <v>2862</v>
      </c>
      <c r="K2" s="134" t="s">
        <v>2863</v>
      </c>
      <c r="L2" s="134" t="s">
        <v>2862</v>
      </c>
      <c r="M2" s="134" t="s">
        <v>2864</v>
      </c>
      <c r="N2" s="134" t="s">
        <v>2862</v>
      </c>
      <c r="O2" s="134" t="s">
        <v>2865</v>
      </c>
      <c r="P2" s="134" t="s">
        <v>2862</v>
      </c>
      <c r="Q2" s="134" t="s">
        <v>2866</v>
      </c>
      <c r="R2" s="134" t="s">
        <v>2862</v>
      </c>
      <c r="S2" s="134" t="s">
        <v>2867</v>
      </c>
      <c r="T2" s="135" t="s">
        <v>2868</v>
      </c>
      <c r="U2" s="136" t="s">
        <v>2869</v>
      </c>
      <c r="V2" s="135" t="s">
        <v>2870</v>
      </c>
      <c r="W2" s="135" t="s">
        <v>2871</v>
      </c>
      <c r="X2" s="135" t="s">
        <v>2872</v>
      </c>
      <c r="Y2" s="135" t="s">
        <v>2873</v>
      </c>
      <c r="Z2" s="135"/>
      <c r="AA2" s="135" t="s">
        <v>2873</v>
      </c>
      <c r="AB2" s="135"/>
      <c r="AC2" s="135"/>
      <c r="AD2" s="135"/>
      <c r="AE2" s="135"/>
      <c r="AF2" s="135"/>
      <c r="AG2" s="135"/>
      <c r="AH2" s="135" t="s">
        <v>2873</v>
      </c>
      <c r="AI2" s="135" t="s">
        <v>2873</v>
      </c>
      <c r="AJ2" s="135" t="s">
        <v>2873</v>
      </c>
      <c r="AK2" s="135" t="s">
        <v>2873</v>
      </c>
      <c r="AL2" s="135" t="s">
        <v>2873</v>
      </c>
      <c r="AM2" s="135"/>
      <c r="AN2" s="135"/>
      <c r="AO2" s="135" t="s">
        <v>2873</v>
      </c>
      <c r="AP2" s="135" t="s">
        <v>2873</v>
      </c>
      <c r="AQ2" s="135"/>
      <c r="AR2" s="135" t="s">
        <v>2873</v>
      </c>
      <c r="AS2" s="135"/>
      <c r="AT2" s="135"/>
      <c r="AU2" s="135"/>
      <c r="AV2" s="135"/>
      <c r="AW2" s="135"/>
      <c r="AX2" s="135" t="s">
        <v>2873</v>
      </c>
      <c r="AY2" s="135"/>
      <c r="AZ2" s="135"/>
      <c r="BA2" s="135" t="s">
        <v>2873</v>
      </c>
      <c r="BB2" s="135"/>
      <c r="BC2" s="135"/>
      <c r="BD2" s="135"/>
      <c r="BE2" s="135"/>
      <c r="BF2" s="135" t="s">
        <v>2873</v>
      </c>
      <c r="BG2" s="135"/>
      <c r="BH2" s="135" t="s">
        <v>2873</v>
      </c>
      <c r="BI2" s="135" t="s">
        <v>2873</v>
      </c>
      <c r="BJ2" s="135"/>
      <c r="BK2" s="135"/>
      <c r="BL2" s="135"/>
    </row>
    <row r="3">
      <c r="A3" s="128" t="s">
        <v>2731</v>
      </c>
      <c r="B3" s="129" t="s">
        <v>1117</v>
      </c>
      <c r="C3" s="130" t="s">
        <v>1115</v>
      </c>
      <c r="D3" s="130" t="s">
        <v>1116</v>
      </c>
      <c r="E3" s="130">
        <v>2021.0</v>
      </c>
      <c r="F3" s="130">
        <f>-(16-29)</f>
        <v>13</v>
      </c>
      <c r="G3" s="131" t="s">
        <v>2605</v>
      </c>
      <c r="H3" s="132"/>
      <c r="I3" s="133" t="s">
        <v>2874</v>
      </c>
      <c r="J3" s="134" t="s">
        <v>2875</v>
      </c>
      <c r="K3" s="134" t="s">
        <v>2876</v>
      </c>
      <c r="L3" s="134" t="s">
        <v>2875</v>
      </c>
      <c r="M3" s="134" t="s">
        <v>2876</v>
      </c>
      <c r="N3" s="134" t="s">
        <v>2877</v>
      </c>
      <c r="O3" s="134" t="s">
        <v>2878</v>
      </c>
      <c r="P3" s="134" t="s">
        <v>2877</v>
      </c>
      <c r="Q3" s="134" t="s">
        <v>2879</v>
      </c>
      <c r="R3" s="134" t="s">
        <v>2877</v>
      </c>
      <c r="S3" s="134" t="s">
        <v>2880</v>
      </c>
      <c r="T3" s="135" t="s">
        <v>2881</v>
      </c>
      <c r="U3" s="135" t="s">
        <v>2881</v>
      </c>
      <c r="V3" s="136" t="s">
        <v>2882</v>
      </c>
      <c r="W3" s="135" t="s">
        <v>2883</v>
      </c>
      <c r="X3" s="136" t="s">
        <v>2884</v>
      </c>
      <c r="Y3" s="135"/>
      <c r="Z3" s="135"/>
      <c r="AA3" s="135"/>
      <c r="AB3" s="135"/>
      <c r="AC3" s="135"/>
      <c r="AD3" s="135"/>
      <c r="AE3" s="135"/>
      <c r="AF3" s="135"/>
      <c r="AG3" s="135" t="s">
        <v>2873</v>
      </c>
      <c r="AH3" s="135"/>
      <c r="AI3" s="135"/>
      <c r="AJ3" s="135"/>
      <c r="AK3" s="135"/>
      <c r="AL3" s="135"/>
      <c r="AM3" s="135"/>
      <c r="AN3" s="135" t="s">
        <v>2873</v>
      </c>
      <c r="AO3" s="135" t="s">
        <v>2873</v>
      </c>
      <c r="AP3" s="135" t="s">
        <v>2873</v>
      </c>
      <c r="AQ3" s="135"/>
      <c r="AR3" s="135" t="s">
        <v>2873</v>
      </c>
      <c r="AS3" s="135"/>
      <c r="AT3" s="135"/>
      <c r="AU3" s="135" t="s">
        <v>2873</v>
      </c>
      <c r="AV3" s="135"/>
      <c r="AW3" s="135"/>
      <c r="AX3" s="135"/>
      <c r="AY3" s="135"/>
      <c r="AZ3" s="135"/>
      <c r="BA3" s="135"/>
      <c r="BB3" s="135" t="s">
        <v>2873</v>
      </c>
      <c r="BC3" s="135" t="s">
        <v>2873</v>
      </c>
      <c r="BD3" s="135" t="s">
        <v>2873</v>
      </c>
      <c r="BE3" s="135"/>
      <c r="BF3" s="135"/>
      <c r="BG3" s="135"/>
      <c r="BH3" s="135"/>
      <c r="BI3" s="135"/>
      <c r="BJ3" s="135" t="s">
        <v>2873</v>
      </c>
      <c r="BK3" s="135" t="s">
        <v>2873</v>
      </c>
      <c r="BL3" s="135"/>
    </row>
    <row r="4">
      <c r="A4" s="128" t="s">
        <v>2732</v>
      </c>
      <c r="B4" s="129" t="s">
        <v>1160</v>
      </c>
      <c r="C4" s="130" t="s">
        <v>1159</v>
      </c>
      <c r="D4" s="130" t="s">
        <v>648</v>
      </c>
      <c r="E4" s="130">
        <v>2021.0</v>
      </c>
      <c r="F4" s="130">
        <f>-(65044-65065)</f>
        <v>21</v>
      </c>
      <c r="G4" s="131" t="s">
        <v>2605</v>
      </c>
      <c r="H4" s="132"/>
      <c r="I4" s="133" t="s">
        <v>2885</v>
      </c>
      <c r="J4" s="134" t="s">
        <v>2877</v>
      </c>
      <c r="K4" s="134" t="s">
        <v>2886</v>
      </c>
      <c r="L4" s="134" t="s">
        <v>2862</v>
      </c>
      <c r="M4" s="134" t="s">
        <v>2887</v>
      </c>
      <c r="N4" s="134" t="s">
        <v>2877</v>
      </c>
      <c r="O4" s="134" t="s">
        <v>2888</v>
      </c>
      <c r="P4" s="134" t="s">
        <v>2877</v>
      </c>
      <c r="Q4" s="134" t="s">
        <v>2889</v>
      </c>
      <c r="R4" s="134" t="s">
        <v>2862</v>
      </c>
      <c r="S4" s="134" t="s">
        <v>2890</v>
      </c>
      <c r="T4" s="135" t="s">
        <v>2891</v>
      </c>
      <c r="U4" s="136" t="s">
        <v>2892</v>
      </c>
      <c r="V4" s="135" t="s">
        <v>2893</v>
      </c>
      <c r="W4" s="135" t="s">
        <v>2894</v>
      </c>
      <c r="X4" s="136" t="s">
        <v>2895</v>
      </c>
      <c r="Y4" s="135"/>
      <c r="Z4" s="135"/>
      <c r="AA4" s="135"/>
      <c r="AB4" s="135"/>
      <c r="AC4" s="135"/>
      <c r="AD4" s="135"/>
      <c r="AE4" s="135" t="s">
        <v>2873</v>
      </c>
      <c r="AF4" s="135"/>
      <c r="AG4" s="135"/>
      <c r="AH4" s="135" t="s">
        <v>2873</v>
      </c>
      <c r="AI4" s="135" t="s">
        <v>2873</v>
      </c>
      <c r="AJ4" s="135"/>
      <c r="AK4" s="135"/>
      <c r="AL4" s="135" t="s">
        <v>2873</v>
      </c>
      <c r="AM4" s="135"/>
      <c r="AN4" s="135"/>
      <c r="AO4" s="135"/>
      <c r="AP4" s="135"/>
      <c r="AQ4" s="135"/>
      <c r="AR4" s="135" t="s">
        <v>2873</v>
      </c>
      <c r="AS4" s="135"/>
      <c r="AT4" s="135" t="s">
        <v>2873</v>
      </c>
      <c r="AU4" s="135" t="s">
        <v>2873</v>
      </c>
      <c r="AV4" s="135"/>
      <c r="AW4" s="135"/>
      <c r="AX4" s="135" t="s">
        <v>2873</v>
      </c>
      <c r="AY4" s="135"/>
      <c r="AZ4" s="135"/>
      <c r="BA4" s="135"/>
      <c r="BB4" s="135"/>
      <c r="BC4" s="135" t="s">
        <v>2873</v>
      </c>
      <c r="BD4" s="135"/>
      <c r="BE4" s="135"/>
      <c r="BF4" s="135"/>
      <c r="BG4" s="135" t="s">
        <v>2873</v>
      </c>
      <c r="BH4" s="135"/>
      <c r="BI4" s="135"/>
      <c r="BJ4" s="135"/>
      <c r="BK4" s="135"/>
      <c r="BL4" s="135"/>
    </row>
    <row r="5">
      <c r="A5" s="128" t="s">
        <v>2733</v>
      </c>
      <c r="B5" s="137" t="s">
        <v>1278</v>
      </c>
      <c r="C5" s="130" t="s">
        <v>1277</v>
      </c>
      <c r="D5" s="130" t="s">
        <v>23</v>
      </c>
      <c r="E5" s="138">
        <v>2021.0</v>
      </c>
      <c r="F5" s="130">
        <v>16.0</v>
      </c>
      <c r="G5" s="131" t="s">
        <v>2678</v>
      </c>
      <c r="H5" s="132"/>
      <c r="I5" s="133" t="s">
        <v>2896</v>
      </c>
      <c r="J5" s="134" t="s">
        <v>2877</v>
      </c>
      <c r="K5" s="139" t="s">
        <v>2897</v>
      </c>
      <c r="L5" s="134" t="s">
        <v>2862</v>
      </c>
      <c r="M5" s="132" t="s">
        <v>2898</v>
      </c>
      <c r="N5" s="134" t="s">
        <v>2862</v>
      </c>
      <c r="O5" s="134" t="s">
        <v>2899</v>
      </c>
      <c r="P5" s="134" t="s">
        <v>2877</v>
      </c>
      <c r="Q5" s="134" t="s">
        <v>2900</v>
      </c>
      <c r="R5" s="134" t="s">
        <v>2862</v>
      </c>
      <c r="S5" s="134" t="s">
        <v>2901</v>
      </c>
      <c r="T5" s="135" t="s">
        <v>2902</v>
      </c>
      <c r="U5" s="136" t="s">
        <v>2903</v>
      </c>
      <c r="V5" s="135" t="s">
        <v>2882</v>
      </c>
      <c r="W5" s="135" t="s">
        <v>2904</v>
      </c>
      <c r="X5" s="135" t="s">
        <v>2905</v>
      </c>
      <c r="Y5" s="135"/>
      <c r="Z5" s="135" t="s">
        <v>2873</v>
      </c>
      <c r="AA5" s="135"/>
      <c r="AB5" s="135" t="s">
        <v>2873</v>
      </c>
      <c r="AC5" s="135"/>
      <c r="AD5" s="135"/>
      <c r="AE5" s="135"/>
      <c r="AF5" s="135"/>
      <c r="AG5" s="135"/>
      <c r="AH5" s="135"/>
      <c r="AI5" s="135" t="s">
        <v>2873</v>
      </c>
      <c r="AJ5" s="135" t="s">
        <v>2873</v>
      </c>
      <c r="AK5" s="135"/>
      <c r="AL5" s="135" t="s">
        <v>2873</v>
      </c>
      <c r="AM5" s="135"/>
      <c r="AN5" s="135"/>
      <c r="AO5" s="135" t="s">
        <v>2873</v>
      </c>
      <c r="AP5" s="135" t="s">
        <v>2873</v>
      </c>
      <c r="AQ5" s="135"/>
      <c r="AR5" s="135" t="s">
        <v>2873</v>
      </c>
      <c r="AS5" s="135"/>
      <c r="AT5" s="135"/>
      <c r="AU5" s="135" t="s">
        <v>2873</v>
      </c>
      <c r="AV5" s="135"/>
      <c r="AW5" s="135"/>
      <c r="AX5" s="135" t="s">
        <v>2873</v>
      </c>
      <c r="AY5" s="135"/>
      <c r="AZ5" s="135"/>
      <c r="BA5" s="135"/>
      <c r="BB5" s="135" t="s">
        <v>2873</v>
      </c>
      <c r="BC5" s="135" t="s">
        <v>2873</v>
      </c>
      <c r="BD5" s="135"/>
      <c r="BE5" s="135"/>
      <c r="BF5" s="135"/>
      <c r="BG5" s="135" t="s">
        <v>2873</v>
      </c>
      <c r="BH5" s="135"/>
      <c r="BI5" s="135" t="s">
        <v>2873</v>
      </c>
      <c r="BJ5" s="135"/>
      <c r="BK5" s="135"/>
      <c r="BL5" s="135"/>
    </row>
    <row r="6">
      <c r="A6" s="128" t="s">
        <v>2734</v>
      </c>
      <c r="B6" s="137" t="s">
        <v>1538</v>
      </c>
      <c r="C6" s="130" t="s">
        <v>1537</v>
      </c>
      <c r="D6" s="130" t="s">
        <v>23</v>
      </c>
      <c r="E6" s="138">
        <v>2021.0</v>
      </c>
      <c r="F6" s="130">
        <v>17.0</v>
      </c>
      <c r="G6" s="131" t="s">
        <v>2678</v>
      </c>
      <c r="H6" s="132"/>
      <c r="I6" s="133" t="s">
        <v>2906</v>
      </c>
      <c r="J6" s="134" t="s">
        <v>2877</v>
      </c>
      <c r="K6" s="134" t="s">
        <v>2907</v>
      </c>
      <c r="L6" s="134" t="s">
        <v>2862</v>
      </c>
      <c r="M6" s="132" t="s">
        <v>2908</v>
      </c>
      <c r="N6" s="134" t="s">
        <v>2877</v>
      </c>
      <c r="O6" s="134" t="s">
        <v>2909</v>
      </c>
      <c r="P6" s="134" t="s">
        <v>2877</v>
      </c>
      <c r="Q6" s="134" t="s">
        <v>2910</v>
      </c>
      <c r="R6" s="134" t="s">
        <v>2862</v>
      </c>
      <c r="S6" s="134" t="s">
        <v>2911</v>
      </c>
      <c r="T6" s="135" t="s">
        <v>2912</v>
      </c>
      <c r="U6" s="136" t="s">
        <v>2869</v>
      </c>
      <c r="V6" s="136" t="s">
        <v>2913</v>
      </c>
      <c r="W6" s="135" t="s">
        <v>2914</v>
      </c>
      <c r="X6" s="135" t="s">
        <v>2905</v>
      </c>
      <c r="Y6" s="135" t="s">
        <v>2873</v>
      </c>
      <c r="Z6" s="135" t="s">
        <v>2873</v>
      </c>
      <c r="AA6" s="135"/>
      <c r="AB6" s="135" t="s">
        <v>2873</v>
      </c>
      <c r="AC6" s="135"/>
      <c r="AD6" s="135"/>
      <c r="AE6" s="135"/>
      <c r="AF6" s="135"/>
      <c r="AG6" s="135"/>
      <c r="AH6" s="135" t="s">
        <v>2873</v>
      </c>
      <c r="AI6" s="135" t="s">
        <v>2873</v>
      </c>
      <c r="AJ6" s="135" t="s">
        <v>2873</v>
      </c>
      <c r="AK6" s="135" t="s">
        <v>2873</v>
      </c>
      <c r="AL6" s="135" t="s">
        <v>2873</v>
      </c>
      <c r="AM6" s="135"/>
      <c r="AN6" s="135"/>
      <c r="AO6" s="135"/>
      <c r="AP6" s="135"/>
      <c r="AQ6" s="135"/>
      <c r="AR6" s="135" t="s">
        <v>2873</v>
      </c>
      <c r="AS6" s="135"/>
      <c r="AT6" s="135"/>
      <c r="AU6" s="135"/>
      <c r="AV6" s="135"/>
      <c r="AW6" s="135"/>
      <c r="AX6" s="135" t="s">
        <v>2873</v>
      </c>
      <c r="AY6" s="135"/>
      <c r="AZ6" s="135"/>
      <c r="BA6" s="135"/>
      <c r="BB6" s="135"/>
      <c r="BC6" s="135"/>
      <c r="BD6" s="135"/>
      <c r="BE6" s="135"/>
      <c r="BF6" s="135"/>
      <c r="BG6" s="135" t="s">
        <v>2873</v>
      </c>
      <c r="BH6" s="135"/>
      <c r="BI6" s="135" t="s">
        <v>2873</v>
      </c>
      <c r="BJ6" s="135"/>
      <c r="BK6" s="135"/>
      <c r="BL6" s="135"/>
    </row>
    <row r="7">
      <c r="A7" s="128" t="s">
        <v>2735</v>
      </c>
      <c r="B7" s="129" t="s">
        <v>1457</v>
      </c>
      <c r="C7" s="130" t="s">
        <v>1456</v>
      </c>
      <c r="D7" s="130" t="s">
        <v>23</v>
      </c>
      <c r="E7" s="138">
        <v>2021.0</v>
      </c>
      <c r="F7" s="130">
        <f>-(597-616)</f>
        <v>19</v>
      </c>
      <c r="G7" s="140" t="s">
        <v>2607</v>
      </c>
      <c r="H7" s="132"/>
      <c r="I7" s="141" t="s">
        <v>2915</v>
      </c>
      <c r="J7" s="134" t="s">
        <v>2877</v>
      </c>
      <c r="K7" s="134" t="s">
        <v>2916</v>
      </c>
      <c r="L7" s="134" t="s">
        <v>2875</v>
      </c>
      <c r="M7" s="134" t="s">
        <v>2876</v>
      </c>
      <c r="N7" s="134" t="s">
        <v>2862</v>
      </c>
      <c r="O7" s="134" t="s">
        <v>2917</v>
      </c>
      <c r="P7" s="134" t="s">
        <v>2877</v>
      </c>
      <c r="Q7" s="134" t="s">
        <v>2918</v>
      </c>
      <c r="R7" s="134" t="s">
        <v>2862</v>
      </c>
      <c r="S7" s="134" t="s">
        <v>2919</v>
      </c>
      <c r="T7" s="135" t="s">
        <v>2920</v>
      </c>
      <c r="U7" s="135" t="s">
        <v>2881</v>
      </c>
      <c r="V7" s="135" t="s">
        <v>2921</v>
      </c>
      <c r="W7" s="135" t="s">
        <v>2922</v>
      </c>
      <c r="X7" s="136" t="s">
        <v>2923</v>
      </c>
      <c r="Y7" s="135" t="s">
        <v>2873</v>
      </c>
      <c r="Z7" s="135"/>
      <c r="AA7" s="135" t="s">
        <v>2873</v>
      </c>
      <c r="AB7" s="135" t="s">
        <v>2873</v>
      </c>
      <c r="AC7" s="135"/>
      <c r="AD7" s="135" t="s">
        <v>2873</v>
      </c>
      <c r="AE7" s="135"/>
      <c r="AF7" s="135"/>
      <c r="AG7" s="135"/>
      <c r="AH7" s="135"/>
      <c r="AI7" s="135"/>
      <c r="AJ7" s="135"/>
      <c r="AK7" s="135"/>
      <c r="AL7" s="135"/>
      <c r="AM7" s="135"/>
      <c r="AN7" s="135" t="s">
        <v>2873</v>
      </c>
      <c r="AO7" s="135"/>
      <c r="AP7" s="135" t="s">
        <v>2873</v>
      </c>
      <c r="AQ7" s="135"/>
      <c r="AR7" s="135"/>
      <c r="AS7" s="135" t="s">
        <v>2873</v>
      </c>
      <c r="AT7" s="135"/>
      <c r="AU7" s="135" t="s">
        <v>2873</v>
      </c>
      <c r="AV7" s="135"/>
      <c r="AW7" s="135"/>
      <c r="AX7" s="135"/>
      <c r="AY7" s="135"/>
      <c r="AZ7" s="135"/>
      <c r="BA7" s="135"/>
      <c r="BB7" s="135" t="s">
        <v>2873</v>
      </c>
      <c r="BC7" s="135"/>
      <c r="BD7" s="135"/>
      <c r="BE7" s="135"/>
      <c r="BF7" s="135"/>
      <c r="BG7" s="135"/>
      <c r="BH7" s="135"/>
      <c r="BI7" s="135"/>
      <c r="BJ7" s="135"/>
      <c r="BK7" s="135" t="s">
        <v>2873</v>
      </c>
      <c r="BL7" s="135"/>
    </row>
    <row r="8">
      <c r="A8" s="128" t="s">
        <v>2736</v>
      </c>
      <c r="B8" s="129" t="s">
        <v>1306</v>
      </c>
      <c r="C8" s="142" t="s">
        <v>2171</v>
      </c>
      <c r="D8" s="130" t="s">
        <v>2124</v>
      </c>
      <c r="E8" s="130">
        <v>2021.0</v>
      </c>
      <c r="F8" s="143">
        <v>15.0</v>
      </c>
      <c r="G8" s="140" t="s">
        <v>2608</v>
      </c>
      <c r="H8" s="132"/>
      <c r="I8" s="133" t="s">
        <v>2924</v>
      </c>
      <c r="J8" s="134" t="s">
        <v>2862</v>
      </c>
      <c r="K8" s="134" t="s">
        <v>2925</v>
      </c>
      <c r="L8" s="134" t="s">
        <v>2877</v>
      </c>
      <c r="M8" s="132" t="s">
        <v>2926</v>
      </c>
      <c r="N8" s="134" t="s">
        <v>2862</v>
      </c>
      <c r="O8" s="134" t="s">
        <v>2927</v>
      </c>
      <c r="P8" s="134" t="s">
        <v>2862</v>
      </c>
      <c r="Q8" s="134" t="s">
        <v>2928</v>
      </c>
      <c r="R8" s="134" t="s">
        <v>2862</v>
      </c>
      <c r="S8" s="134" t="s">
        <v>2929</v>
      </c>
      <c r="T8" s="135" t="s">
        <v>2920</v>
      </c>
      <c r="U8" s="136" t="s">
        <v>2930</v>
      </c>
      <c r="V8" s="135" t="s">
        <v>2931</v>
      </c>
      <c r="W8" s="135" t="s">
        <v>2932</v>
      </c>
      <c r="X8" s="136" t="s">
        <v>2933</v>
      </c>
      <c r="Y8" s="135" t="s">
        <v>2873</v>
      </c>
      <c r="Z8" s="135"/>
      <c r="AA8" s="135" t="s">
        <v>2873</v>
      </c>
      <c r="AB8" s="135" t="s">
        <v>2873</v>
      </c>
      <c r="AC8" s="135"/>
      <c r="AD8" s="135" t="s">
        <v>2873</v>
      </c>
      <c r="AE8" s="135"/>
      <c r="AF8" s="135"/>
      <c r="AG8" s="135"/>
      <c r="AH8" s="135"/>
      <c r="AI8" s="135" t="s">
        <v>2873</v>
      </c>
      <c r="AJ8" s="135" t="s">
        <v>2873</v>
      </c>
      <c r="AK8" s="135" t="s">
        <v>2873</v>
      </c>
      <c r="AL8" s="135" t="s">
        <v>2873</v>
      </c>
      <c r="AM8" s="135"/>
      <c r="AN8" s="135"/>
      <c r="AO8" s="135" t="s">
        <v>2873</v>
      </c>
      <c r="AP8" s="135" t="s">
        <v>2873</v>
      </c>
      <c r="AQ8" s="135"/>
      <c r="AR8" s="135" t="s">
        <v>2873</v>
      </c>
      <c r="AS8" s="135" t="s">
        <v>2873</v>
      </c>
      <c r="AT8" s="135"/>
      <c r="AU8" s="135" t="s">
        <v>2873</v>
      </c>
      <c r="AV8" s="135"/>
      <c r="AW8" s="135"/>
      <c r="AX8" s="135"/>
      <c r="AY8" s="135"/>
      <c r="AZ8" s="135"/>
      <c r="BA8" s="135"/>
      <c r="BB8" s="135"/>
      <c r="BC8" s="135"/>
      <c r="BD8" s="135" t="s">
        <v>2873</v>
      </c>
      <c r="BE8" s="135"/>
      <c r="BF8" s="135"/>
      <c r="BG8" s="135" t="s">
        <v>2873</v>
      </c>
      <c r="BH8" s="135"/>
      <c r="BI8" s="135"/>
      <c r="BJ8" s="135"/>
      <c r="BK8" s="135" t="s">
        <v>2873</v>
      </c>
      <c r="BL8" s="135"/>
    </row>
    <row r="9">
      <c r="A9" s="128" t="s">
        <v>2737</v>
      </c>
      <c r="B9" s="129" t="s">
        <v>2339</v>
      </c>
      <c r="C9" s="142" t="s">
        <v>2338</v>
      </c>
      <c r="D9" s="130" t="s">
        <v>2124</v>
      </c>
      <c r="E9" s="130">
        <v>2021.0</v>
      </c>
      <c r="F9" s="143">
        <v>14.0</v>
      </c>
      <c r="G9" s="140" t="s">
        <v>2608</v>
      </c>
      <c r="H9" s="132"/>
      <c r="I9" s="133" t="s">
        <v>2934</v>
      </c>
      <c r="J9" s="134" t="s">
        <v>2862</v>
      </c>
      <c r="K9" s="134" t="s">
        <v>2935</v>
      </c>
      <c r="L9" s="134" t="s">
        <v>2862</v>
      </c>
      <c r="M9" s="132" t="s">
        <v>2936</v>
      </c>
      <c r="N9" s="134" t="s">
        <v>2862</v>
      </c>
      <c r="O9" s="134" t="s">
        <v>2937</v>
      </c>
      <c r="P9" s="134" t="s">
        <v>2877</v>
      </c>
      <c r="Q9" s="134" t="s">
        <v>2938</v>
      </c>
      <c r="R9" s="134" t="s">
        <v>2862</v>
      </c>
      <c r="S9" s="134" t="s">
        <v>2939</v>
      </c>
      <c r="T9" s="135" t="s">
        <v>2940</v>
      </c>
      <c r="U9" s="136" t="s">
        <v>2930</v>
      </c>
      <c r="V9" s="135" t="s">
        <v>2941</v>
      </c>
      <c r="W9" s="135" t="s">
        <v>2942</v>
      </c>
      <c r="X9" s="136" t="s">
        <v>2943</v>
      </c>
      <c r="Y9" s="135"/>
      <c r="Z9" s="135"/>
      <c r="AA9" s="135"/>
      <c r="AB9" s="135" t="s">
        <v>2873</v>
      </c>
      <c r="AC9" s="135"/>
      <c r="AD9" s="135" t="s">
        <v>2873</v>
      </c>
      <c r="AE9" s="135" t="s">
        <v>2873</v>
      </c>
      <c r="AF9" s="135"/>
      <c r="AG9" s="135"/>
      <c r="AH9" s="135"/>
      <c r="AI9" s="135" t="s">
        <v>2873</v>
      </c>
      <c r="AJ9" s="135" t="s">
        <v>2873</v>
      </c>
      <c r="AK9" s="135" t="s">
        <v>2873</v>
      </c>
      <c r="AL9" s="135" t="s">
        <v>2873</v>
      </c>
      <c r="AM9" s="135"/>
      <c r="AN9" s="135"/>
      <c r="AO9" s="135"/>
      <c r="AP9" s="135"/>
      <c r="AQ9" s="135" t="s">
        <v>2873</v>
      </c>
      <c r="AR9" s="135"/>
      <c r="AS9" s="135"/>
      <c r="AT9" s="135"/>
      <c r="AU9" s="135"/>
      <c r="AV9" s="135"/>
      <c r="AW9" s="135"/>
      <c r="AX9" s="135"/>
      <c r="AY9" s="135"/>
      <c r="AZ9" s="135"/>
      <c r="BA9" s="135"/>
      <c r="BB9" s="135"/>
      <c r="BC9" s="135" t="s">
        <v>2873</v>
      </c>
      <c r="BD9" s="135" t="s">
        <v>2873</v>
      </c>
      <c r="BE9" s="135"/>
      <c r="BF9" s="135"/>
      <c r="BG9" s="135" t="s">
        <v>2873</v>
      </c>
      <c r="BH9" s="135" t="s">
        <v>2873</v>
      </c>
      <c r="BI9" s="135"/>
      <c r="BJ9" s="135"/>
      <c r="BK9" s="135" t="s">
        <v>2873</v>
      </c>
      <c r="BL9" s="135"/>
    </row>
    <row r="10">
      <c r="A10" s="128" t="s">
        <v>2738</v>
      </c>
      <c r="B10" s="129" t="s">
        <v>2397</v>
      </c>
      <c r="C10" s="142" t="s">
        <v>2396</v>
      </c>
      <c r="D10" s="130" t="s">
        <v>2124</v>
      </c>
      <c r="E10" s="130">
        <v>2021.0</v>
      </c>
      <c r="F10" s="143">
        <v>17.0</v>
      </c>
      <c r="G10" s="140" t="s">
        <v>2608</v>
      </c>
      <c r="H10" s="132"/>
      <c r="I10" s="133" t="s">
        <v>2944</v>
      </c>
      <c r="J10" s="134" t="s">
        <v>2862</v>
      </c>
      <c r="K10" s="134" t="s">
        <v>2945</v>
      </c>
      <c r="L10" s="134" t="s">
        <v>2877</v>
      </c>
      <c r="M10" s="134" t="s">
        <v>2946</v>
      </c>
      <c r="N10" s="134" t="s">
        <v>2862</v>
      </c>
      <c r="O10" s="134" t="s">
        <v>2947</v>
      </c>
      <c r="P10" s="134" t="s">
        <v>2877</v>
      </c>
      <c r="Q10" s="134" t="s">
        <v>2948</v>
      </c>
      <c r="R10" s="134" t="s">
        <v>2862</v>
      </c>
      <c r="S10" s="134" t="s">
        <v>2949</v>
      </c>
      <c r="T10" s="135" t="s">
        <v>2950</v>
      </c>
      <c r="U10" s="136" t="s">
        <v>2869</v>
      </c>
      <c r="V10" s="135" t="s">
        <v>2951</v>
      </c>
      <c r="W10" s="136" t="s">
        <v>2952</v>
      </c>
      <c r="X10" s="135" t="s">
        <v>2953</v>
      </c>
      <c r="Y10" s="135" t="s">
        <v>2873</v>
      </c>
      <c r="Z10" s="135" t="s">
        <v>2873</v>
      </c>
      <c r="AA10" s="135" t="s">
        <v>2873</v>
      </c>
      <c r="AB10" s="135" t="s">
        <v>2873</v>
      </c>
      <c r="AC10" s="135"/>
      <c r="AD10" s="135" t="s">
        <v>2873</v>
      </c>
      <c r="AE10" s="135"/>
      <c r="AF10" s="135"/>
      <c r="AG10" s="135"/>
      <c r="AH10" s="135" t="s">
        <v>2873</v>
      </c>
      <c r="AI10" s="135" t="s">
        <v>2873</v>
      </c>
      <c r="AJ10" s="135" t="s">
        <v>2873</v>
      </c>
      <c r="AK10" s="135" t="s">
        <v>2873</v>
      </c>
      <c r="AL10" s="135" t="s">
        <v>2873</v>
      </c>
      <c r="AM10" s="135"/>
      <c r="AN10" s="135"/>
      <c r="AO10" s="135" t="s">
        <v>2873</v>
      </c>
      <c r="AP10" s="135"/>
      <c r="AQ10" s="135"/>
      <c r="AR10" s="135"/>
      <c r="AS10" s="135" t="s">
        <v>2873</v>
      </c>
      <c r="AT10" s="135"/>
      <c r="AU10" s="135" t="s">
        <v>2873</v>
      </c>
      <c r="AV10" s="135"/>
      <c r="AW10" s="135"/>
      <c r="AX10" s="135"/>
      <c r="AY10" s="135"/>
      <c r="AZ10" s="135"/>
      <c r="BA10" s="135"/>
      <c r="BB10" s="135"/>
      <c r="BC10" s="135" t="s">
        <v>2873</v>
      </c>
      <c r="BD10" s="135"/>
      <c r="BE10" s="135"/>
      <c r="BF10" s="135"/>
      <c r="BG10" s="135" t="s">
        <v>2873</v>
      </c>
      <c r="BH10" s="135"/>
      <c r="BI10" s="135"/>
      <c r="BJ10" s="135"/>
      <c r="BK10" s="135" t="s">
        <v>2873</v>
      </c>
      <c r="BL10" s="135"/>
    </row>
    <row r="11">
      <c r="A11" s="128" t="s">
        <v>2739</v>
      </c>
      <c r="B11" s="129" t="s">
        <v>115</v>
      </c>
      <c r="C11" s="130" t="s">
        <v>114</v>
      </c>
      <c r="D11" s="130" t="s">
        <v>23</v>
      </c>
      <c r="E11" s="130">
        <v>2022.0</v>
      </c>
      <c r="F11" s="130">
        <f>-(845-862)</f>
        <v>17</v>
      </c>
      <c r="G11" s="131" t="s">
        <v>2604</v>
      </c>
      <c r="H11" s="132"/>
      <c r="I11" s="133" t="s">
        <v>2954</v>
      </c>
      <c r="J11" s="134" t="s">
        <v>2877</v>
      </c>
      <c r="K11" s="134" t="s">
        <v>2955</v>
      </c>
      <c r="L11" s="134" t="s">
        <v>2875</v>
      </c>
      <c r="M11" s="134" t="s">
        <v>2876</v>
      </c>
      <c r="N11" s="134" t="s">
        <v>2875</v>
      </c>
      <c r="O11" s="134" t="s">
        <v>2876</v>
      </c>
      <c r="P11" s="134" t="s">
        <v>2875</v>
      </c>
      <c r="Q11" s="134" t="s">
        <v>2876</v>
      </c>
      <c r="R11" s="134" t="s">
        <v>2877</v>
      </c>
      <c r="S11" s="134" t="s">
        <v>2956</v>
      </c>
      <c r="T11" s="135" t="s">
        <v>2920</v>
      </c>
      <c r="U11" s="135" t="s">
        <v>2881</v>
      </c>
      <c r="V11" s="135" t="s">
        <v>2881</v>
      </c>
      <c r="W11" s="135" t="s">
        <v>2881</v>
      </c>
      <c r="X11" s="135" t="s">
        <v>2957</v>
      </c>
      <c r="Y11" s="135" t="s">
        <v>2873</v>
      </c>
      <c r="Z11" s="135"/>
      <c r="AA11" s="135" t="s">
        <v>2873</v>
      </c>
      <c r="AB11" s="135" t="s">
        <v>2873</v>
      </c>
      <c r="AC11" s="135"/>
      <c r="AD11" s="135" t="s">
        <v>2873</v>
      </c>
      <c r="AE11" s="135"/>
      <c r="AF11" s="135"/>
      <c r="AG11" s="135"/>
      <c r="AH11" s="135"/>
      <c r="AI11" s="135"/>
      <c r="AJ11" s="135"/>
      <c r="AK11" s="135"/>
      <c r="AL11" s="135"/>
      <c r="AM11" s="135"/>
      <c r="AN11" s="135" t="s">
        <v>2873</v>
      </c>
      <c r="AO11" s="135"/>
      <c r="AP11" s="135"/>
      <c r="AQ11" s="135"/>
      <c r="AR11" s="135"/>
      <c r="AS11" s="135"/>
      <c r="AT11" s="135"/>
      <c r="AU11" s="135"/>
      <c r="AV11" s="135"/>
      <c r="AW11" s="135" t="s">
        <v>2873</v>
      </c>
      <c r="AX11" s="135"/>
      <c r="AY11" s="135"/>
      <c r="AZ11" s="135"/>
      <c r="BA11" s="135"/>
      <c r="BB11" s="135"/>
      <c r="BC11" s="135"/>
      <c r="BD11" s="135"/>
      <c r="BE11" s="135" t="s">
        <v>2873</v>
      </c>
      <c r="BF11" s="135"/>
      <c r="BG11" s="135"/>
      <c r="BH11" s="135"/>
      <c r="BI11" s="135" t="s">
        <v>2873</v>
      </c>
      <c r="BJ11" s="135"/>
      <c r="BK11" s="135" t="s">
        <v>2873</v>
      </c>
      <c r="BL11" s="135"/>
    </row>
    <row r="12">
      <c r="A12" s="128" t="s">
        <v>2740</v>
      </c>
      <c r="B12" s="129" t="s">
        <v>218</v>
      </c>
      <c r="C12" s="130" t="s">
        <v>217</v>
      </c>
      <c r="D12" s="130" t="s">
        <v>23</v>
      </c>
      <c r="E12" s="130">
        <v>2022.0</v>
      </c>
      <c r="F12" s="130">
        <f>-(171-198)</f>
        <v>27</v>
      </c>
      <c r="G12" s="131" t="s">
        <v>2604</v>
      </c>
      <c r="H12" s="132"/>
      <c r="I12" s="133" t="s">
        <v>2958</v>
      </c>
      <c r="J12" s="134" t="s">
        <v>2877</v>
      </c>
      <c r="K12" s="134" t="s">
        <v>2959</v>
      </c>
      <c r="L12" s="134" t="s">
        <v>2877</v>
      </c>
      <c r="M12" s="134" t="s">
        <v>2960</v>
      </c>
      <c r="N12" s="134" t="s">
        <v>2877</v>
      </c>
      <c r="O12" s="134" t="s">
        <v>2961</v>
      </c>
      <c r="P12" s="134" t="s">
        <v>2877</v>
      </c>
      <c r="Q12" s="134" t="s">
        <v>2962</v>
      </c>
      <c r="R12" s="134" t="s">
        <v>2862</v>
      </c>
      <c r="S12" s="134" t="s">
        <v>2963</v>
      </c>
      <c r="T12" s="135" t="s">
        <v>2964</v>
      </c>
      <c r="U12" s="136" t="s">
        <v>2965</v>
      </c>
      <c r="V12" s="135" t="s">
        <v>2966</v>
      </c>
      <c r="W12" s="135" t="s">
        <v>2967</v>
      </c>
      <c r="X12" s="136" t="s">
        <v>2895</v>
      </c>
      <c r="Y12" s="135"/>
      <c r="Z12" s="135"/>
      <c r="AA12" s="135"/>
      <c r="AB12" s="135"/>
      <c r="AC12" s="135"/>
      <c r="AD12" s="135"/>
      <c r="AE12" s="135"/>
      <c r="AF12" s="135" t="s">
        <v>2873</v>
      </c>
      <c r="AG12" s="135"/>
      <c r="AH12" s="135" t="s">
        <v>2873</v>
      </c>
      <c r="AI12" s="135" t="s">
        <v>2873</v>
      </c>
      <c r="AJ12" s="135" t="s">
        <v>2873</v>
      </c>
      <c r="AK12" s="135"/>
      <c r="AL12" s="135" t="s">
        <v>2873</v>
      </c>
      <c r="AM12" s="135"/>
      <c r="AN12" s="135"/>
      <c r="AO12" s="135"/>
      <c r="AP12" s="135" t="s">
        <v>2873</v>
      </c>
      <c r="AQ12" s="135"/>
      <c r="AR12" s="135"/>
      <c r="AS12" s="135"/>
      <c r="AT12" s="135"/>
      <c r="AU12" s="135" t="s">
        <v>2873</v>
      </c>
      <c r="AV12" s="135"/>
      <c r="AW12" s="135"/>
      <c r="AX12" s="135"/>
      <c r="AY12" s="135"/>
      <c r="AZ12" s="135"/>
      <c r="BA12" s="135"/>
      <c r="BB12" s="135" t="s">
        <v>2873</v>
      </c>
      <c r="BC12" s="135" t="s">
        <v>2873</v>
      </c>
      <c r="BD12" s="135"/>
      <c r="BE12" s="135"/>
      <c r="BF12" s="135"/>
      <c r="BG12" s="135" t="s">
        <v>2873</v>
      </c>
      <c r="BH12" s="135"/>
      <c r="BI12" s="135"/>
      <c r="BJ12" s="135"/>
      <c r="BK12" s="135"/>
      <c r="BL12" s="135"/>
    </row>
    <row r="13">
      <c r="A13" s="128" t="s">
        <v>2741</v>
      </c>
      <c r="B13" s="129" t="s">
        <v>318</v>
      </c>
      <c r="C13" s="130" t="s">
        <v>317</v>
      </c>
      <c r="D13" s="130" t="s">
        <v>23</v>
      </c>
      <c r="E13" s="130">
        <v>2022.0</v>
      </c>
      <c r="F13" s="130">
        <f>-(149-166)</f>
        <v>17</v>
      </c>
      <c r="G13" s="131" t="s">
        <v>2604</v>
      </c>
      <c r="H13" s="132"/>
      <c r="I13" s="133" t="s">
        <v>2968</v>
      </c>
      <c r="J13" s="134" t="s">
        <v>2877</v>
      </c>
      <c r="K13" s="134" t="s">
        <v>2969</v>
      </c>
      <c r="L13" s="134" t="s">
        <v>2877</v>
      </c>
      <c r="M13" s="134" t="s">
        <v>2970</v>
      </c>
      <c r="N13" s="134" t="s">
        <v>2877</v>
      </c>
      <c r="O13" s="134" t="s">
        <v>2971</v>
      </c>
      <c r="P13" s="134" t="s">
        <v>2877</v>
      </c>
      <c r="Q13" s="134" t="s">
        <v>2972</v>
      </c>
      <c r="R13" s="134" t="s">
        <v>2862</v>
      </c>
      <c r="S13" s="134" t="s">
        <v>2973</v>
      </c>
      <c r="T13" s="135" t="s">
        <v>2964</v>
      </c>
      <c r="U13" s="136" t="s">
        <v>2930</v>
      </c>
      <c r="V13" s="135" t="s">
        <v>2913</v>
      </c>
      <c r="W13" s="135" t="s">
        <v>2932</v>
      </c>
      <c r="X13" s="136" t="s">
        <v>2933</v>
      </c>
      <c r="Y13" s="135"/>
      <c r="Z13" s="135"/>
      <c r="AA13" s="135"/>
      <c r="AB13" s="135"/>
      <c r="AC13" s="135"/>
      <c r="AD13" s="135"/>
      <c r="AE13" s="135"/>
      <c r="AF13" s="135" t="s">
        <v>2873</v>
      </c>
      <c r="AG13" s="135"/>
      <c r="AH13" s="135"/>
      <c r="AI13" s="135" t="s">
        <v>2873</v>
      </c>
      <c r="AJ13" s="135" t="s">
        <v>2873</v>
      </c>
      <c r="AK13" s="135" t="s">
        <v>2873</v>
      </c>
      <c r="AL13" s="135" t="s">
        <v>2873</v>
      </c>
      <c r="AM13" s="135"/>
      <c r="AN13" s="135"/>
      <c r="AO13" s="135"/>
      <c r="AP13" s="135"/>
      <c r="AQ13" s="135"/>
      <c r="AR13" s="135" t="s">
        <v>2873</v>
      </c>
      <c r="AS13" s="135"/>
      <c r="AT13" s="135"/>
      <c r="AU13" s="135"/>
      <c r="AV13" s="135"/>
      <c r="AW13" s="135"/>
      <c r="AX13" s="135"/>
      <c r="AY13" s="135"/>
      <c r="AZ13" s="135"/>
      <c r="BA13" s="135"/>
      <c r="BB13" s="135"/>
      <c r="BC13" s="135"/>
      <c r="BD13" s="135" t="s">
        <v>2873</v>
      </c>
      <c r="BE13" s="135"/>
      <c r="BF13" s="135"/>
      <c r="BG13" s="135" t="s">
        <v>2873</v>
      </c>
      <c r="BH13" s="135"/>
      <c r="BI13" s="135"/>
      <c r="BJ13" s="135"/>
      <c r="BK13" s="135" t="s">
        <v>2873</v>
      </c>
      <c r="BL13" s="135"/>
    </row>
    <row r="14">
      <c r="A14" s="128" t="s">
        <v>2742</v>
      </c>
      <c r="B14" s="129" t="s">
        <v>514</v>
      </c>
      <c r="C14" s="130" t="s">
        <v>513</v>
      </c>
      <c r="D14" s="130" t="s">
        <v>23</v>
      </c>
      <c r="E14" s="130">
        <v>2022.0</v>
      </c>
      <c r="F14" s="130">
        <v>12.0</v>
      </c>
      <c r="G14" s="131" t="s">
        <v>2604</v>
      </c>
      <c r="H14" s="132"/>
      <c r="I14" s="133" t="s">
        <v>2974</v>
      </c>
      <c r="J14" s="134" t="s">
        <v>2877</v>
      </c>
      <c r="K14" s="134" t="s">
        <v>2975</v>
      </c>
      <c r="L14" s="134" t="s">
        <v>2862</v>
      </c>
      <c r="M14" s="132" t="s">
        <v>2976</v>
      </c>
      <c r="N14" s="134" t="s">
        <v>2877</v>
      </c>
      <c r="O14" s="134" t="s">
        <v>2977</v>
      </c>
      <c r="P14" s="134" t="s">
        <v>2877</v>
      </c>
      <c r="Q14" s="134" t="s">
        <v>2978</v>
      </c>
      <c r="R14" s="134" t="s">
        <v>2877</v>
      </c>
      <c r="S14" s="134" t="s">
        <v>2979</v>
      </c>
      <c r="T14" s="136" t="s">
        <v>2868</v>
      </c>
      <c r="U14" s="136" t="s">
        <v>2980</v>
      </c>
      <c r="V14" s="135" t="s">
        <v>2981</v>
      </c>
      <c r="W14" s="135" t="s">
        <v>2932</v>
      </c>
      <c r="X14" s="135" t="s">
        <v>2982</v>
      </c>
      <c r="Y14" s="135" t="s">
        <v>2873</v>
      </c>
      <c r="Z14" s="135"/>
      <c r="AA14" s="135" t="s">
        <v>2873</v>
      </c>
      <c r="AB14" s="135"/>
      <c r="AC14" s="135"/>
      <c r="AD14" s="135"/>
      <c r="AE14" s="135"/>
      <c r="AF14" s="135"/>
      <c r="AG14" s="135"/>
      <c r="AH14" s="135"/>
      <c r="AI14" s="135" t="s">
        <v>2873</v>
      </c>
      <c r="AJ14" s="135"/>
      <c r="AK14" s="135"/>
      <c r="AL14" s="135" t="s">
        <v>2873</v>
      </c>
      <c r="AM14" s="135"/>
      <c r="AN14" s="135"/>
      <c r="AO14" s="135" t="s">
        <v>2873</v>
      </c>
      <c r="AP14" s="135"/>
      <c r="AQ14" s="135"/>
      <c r="AR14" s="135" t="s">
        <v>2873</v>
      </c>
      <c r="AS14" s="135"/>
      <c r="AT14" s="135"/>
      <c r="AU14" s="135" t="s">
        <v>2873</v>
      </c>
      <c r="AV14" s="135"/>
      <c r="AW14" s="135"/>
      <c r="AX14" s="135"/>
      <c r="AY14" s="135"/>
      <c r="AZ14" s="135"/>
      <c r="BA14" s="135"/>
      <c r="BB14" s="135"/>
      <c r="BC14" s="135"/>
      <c r="BD14" s="135" t="s">
        <v>2873</v>
      </c>
      <c r="BE14" s="135"/>
      <c r="BF14" s="135"/>
      <c r="BG14" s="135" t="s">
        <v>2873</v>
      </c>
      <c r="BH14" s="135"/>
      <c r="BI14" s="135"/>
      <c r="BJ14" s="135"/>
      <c r="BK14" s="135"/>
      <c r="BL14" s="135"/>
    </row>
    <row r="15">
      <c r="A15" s="128" t="s">
        <v>2743</v>
      </c>
      <c r="B15" s="129" t="s">
        <v>700</v>
      </c>
      <c r="C15" s="130" t="s">
        <v>698</v>
      </c>
      <c r="D15" s="130" t="s">
        <v>699</v>
      </c>
      <c r="E15" s="130">
        <v>2022.0</v>
      </c>
      <c r="F15" s="130">
        <f>-(13-17)</f>
        <v>4</v>
      </c>
      <c r="G15" s="131" t="s">
        <v>2605</v>
      </c>
      <c r="H15" s="132"/>
      <c r="I15" s="133" t="s">
        <v>2983</v>
      </c>
      <c r="J15" s="134" t="s">
        <v>2862</v>
      </c>
      <c r="K15" s="134" t="s">
        <v>2984</v>
      </c>
      <c r="L15" s="134" t="s">
        <v>2877</v>
      </c>
      <c r="M15" s="132" t="s">
        <v>2985</v>
      </c>
      <c r="N15" s="134" t="s">
        <v>2862</v>
      </c>
      <c r="O15" s="134" t="s">
        <v>2986</v>
      </c>
      <c r="P15" s="134" t="s">
        <v>2877</v>
      </c>
      <c r="Q15" s="134" t="s">
        <v>2987</v>
      </c>
      <c r="R15" s="134" t="s">
        <v>2862</v>
      </c>
      <c r="S15" s="134" t="s">
        <v>2988</v>
      </c>
      <c r="T15" s="135" t="s">
        <v>2920</v>
      </c>
      <c r="U15" s="135" t="s">
        <v>2989</v>
      </c>
      <c r="V15" s="135" t="s">
        <v>2990</v>
      </c>
      <c r="W15" s="136" t="s">
        <v>2991</v>
      </c>
      <c r="X15" s="136" t="s">
        <v>2992</v>
      </c>
      <c r="Y15" s="135" t="s">
        <v>2873</v>
      </c>
      <c r="Z15" s="135"/>
      <c r="AA15" s="135" t="s">
        <v>2873</v>
      </c>
      <c r="AB15" s="135" t="s">
        <v>2873</v>
      </c>
      <c r="AC15" s="135"/>
      <c r="AD15" s="135" t="s">
        <v>2873</v>
      </c>
      <c r="AE15" s="135"/>
      <c r="AF15" s="135"/>
      <c r="AG15" s="135"/>
      <c r="AH15" s="135" t="s">
        <v>2873</v>
      </c>
      <c r="AI15" s="135"/>
      <c r="AJ15" s="135" t="s">
        <v>2873</v>
      </c>
      <c r="AK15" s="135"/>
      <c r="AL15" s="135"/>
      <c r="AM15" s="135"/>
      <c r="AN15" s="135"/>
      <c r="AO15" s="135" t="s">
        <v>2873</v>
      </c>
      <c r="AP15" s="135" t="s">
        <v>2873</v>
      </c>
      <c r="AQ15" s="135" t="s">
        <v>2873</v>
      </c>
      <c r="AR15" s="135" t="s">
        <v>2873</v>
      </c>
      <c r="AS15" s="135" t="s">
        <v>2873</v>
      </c>
      <c r="AT15" s="135"/>
      <c r="AU15" s="135"/>
      <c r="AV15" s="135"/>
      <c r="AW15" s="135"/>
      <c r="AX15" s="135"/>
      <c r="AY15" s="135" t="s">
        <v>2873</v>
      </c>
      <c r="AZ15" s="135"/>
      <c r="BA15" s="135"/>
      <c r="BB15" s="135" t="s">
        <v>2873</v>
      </c>
      <c r="BC15" s="135" t="s">
        <v>2873</v>
      </c>
      <c r="BD15" s="135" t="s">
        <v>2873</v>
      </c>
      <c r="BE15" s="135"/>
      <c r="BF15" s="135"/>
      <c r="BG15" s="135" t="s">
        <v>2873</v>
      </c>
      <c r="BH15" s="135" t="s">
        <v>2873</v>
      </c>
      <c r="BI15" s="135" t="s">
        <v>2873</v>
      </c>
      <c r="BJ15" s="135"/>
      <c r="BK15" s="135"/>
      <c r="BL15" s="135"/>
    </row>
    <row r="16">
      <c r="A16" s="128" t="s">
        <v>2744</v>
      </c>
      <c r="B16" s="129" t="s">
        <v>1014</v>
      </c>
      <c r="C16" s="130" t="s">
        <v>1012</v>
      </c>
      <c r="D16" s="130" t="s">
        <v>1013</v>
      </c>
      <c r="E16" s="130">
        <v>2022.0</v>
      </c>
      <c r="F16" s="130">
        <f>-(322-329)</f>
        <v>7</v>
      </c>
      <c r="G16" s="131" t="s">
        <v>2605</v>
      </c>
      <c r="H16" s="132"/>
      <c r="I16" s="133" t="s">
        <v>2993</v>
      </c>
      <c r="J16" s="134" t="s">
        <v>2862</v>
      </c>
      <c r="K16" s="134" t="s">
        <v>2994</v>
      </c>
      <c r="L16" s="134" t="s">
        <v>2862</v>
      </c>
      <c r="M16" s="132" t="s">
        <v>2995</v>
      </c>
      <c r="N16" s="134" t="s">
        <v>2862</v>
      </c>
      <c r="O16" s="134" t="s">
        <v>2996</v>
      </c>
      <c r="P16" s="134" t="s">
        <v>2877</v>
      </c>
      <c r="Q16" s="134" t="s">
        <v>2997</v>
      </c>
      <c r="R16" s="134" t="s">
        <v>2862</v>
      </c>
      <c r="S16" s="134" t="s">
        <v>2998</v>
      </c>
      <c r="T16" s="135" t="s">
        <v>2999</v>
      </c>
      <c r="U16" s="136" t="s">
        <v>2892</v>
      </c>
      <c r="V16" s="135" t="s">
        <v>3000</v>
      </c>
      <c r="W16" s="135" t="s">
        <v>2894</v>
      </c>
      <c r="X16" s="136" t="s">
        <v>2923</v>
      </c>
      <c r="Y16" s="135"/>
      <c r="Z16" s="135"/>
      <c r="AA16" s="135"/>
      <c r="AB16" s="135"/>
      <c r="AC16" s="135" t="s">
        <v>2873</v>
      </c>
      <c r="AD16" s="135"/>
      <c r="AE16" s="135"/>
      <c r="AF16" s="135"/>
      <c r="AG16" s="135"/>
      <c r="AH16" s="135" t="s">
        <v>2873</v>
      </c>
      <c r="AI16" s="135" t="s">
        <v>2873</v>
      </c>
      <c r="AJ16" s="135"/>
      <c r="AK16" s="135"/>
      <c r="AL16" s="135" t="s">
        <v>2873</v>
      </c>
      <c r="AM16" s="135"/>
      <c r="AN16" s="135"/>
      <c r="AO16" s="135" t="s">
        <v>2873</v>
      </c>
      <c r="AP16" s="135"/>
      <c r="AQ16" s="135" t="s">
        <v>2873</v>
      </c>
      <c r="AR16" s="135"/>
      <c r="AS16" s="135" t="s">
        <v>2873</v>
      </c>
      <c r="AT16" s="135"/>
      <c r="AU16" s="135" t="s">
        <v>2873</v>
      </c>
      <c r="AV16" s="135"/>
      <c r="AW16" s="135"/>
      <c r="AX16" s="135" t="s">
        <v>2873</v>
      </c>
      <c r="AY16" s="135"/>
      <c r="AZ16" s="135"/>
      <c r="BA16" s="135"/>
      <c r="BB16" s="135"/>
      <c r="BC16" s="135" t="s">
        <v>2873</v>
      </c>
      <c r="BD16" s="135"/>
      <c r="BE16" s="135"/>
      <c r="BF16" s="135"/>
      <c r="BG16" s="135"/>
      <c r="BH16" s="135"/>
      <c r="BI16" s="135"/>
      <c r="BJ16" s="135"/>
      <c r="BK16" s="135" t="s">
        <v>2873</v>
      </c>
      <c r="BL16" s="135"/>
    </row>
    <row r="17">
      <c r="A17" s="128" t="s">
        <v>2745</v>
      </c>
      <c r="B17" s="129" t="s">
        <v>1093</v>
      </c>
      <c r="C17" s="130" t="s">
        <v>1091</v>
      </c>
      <c r="D17" s="130" t="s">
        <v>1092</v>
      </c>
      <c r="E17" s="130">
        <v>2022.0</v>
      </c>
      <c r="F17" s="130">
        <v>5.0</v>
      </c>
      <c r="G17" s="131" t="s">
        <v>2605</v>
      </c>
      <c r="H17" s="132"/>
      <c r="I17" s="133" t="s">
        <v>3001</v>
      </c>
      <c r="J17" s="134" t="s">
        <v>2862</v>
      </c>
      <c r="K17" s="134" t="s">
        <v>3002</v>
      </c>
      <c r="L17" s="134" t="s">
        <v>2862</v>
      </c>
      <c r="M17" s="132" t="s">
        <v>3003</v>
      </c>
      <c r="N17" s="134" t="s">
        <v>2862</v>
      </c>
      <c r="O17" s="134" t="s">
        <v>3004</v>
      </c>
      <c r="P17" s="134" t="s">
        <v>2877</v>
      </c>
      <c r="Q17" s="134" t="s">
        <v>3005</v>
      </c>
      <c r="R17" s="134" t="s">
        <v>2862</v>
      </c>
      <c r="S17" s="134" t="s">
        <v>3006</v>
      </c>
      <c r="T17" s="135" t="s">
        <v>3007</v>
      </c>
      <c r="U17" s="136" t="s">
        <v>3008</v>
      </c>
      <c r="V17" s="135" t="s">
        <v>3009</v>
      </c>
      <c r="W17" s="135" t="s">
        <v>3010</v>
      </c>
      <c r="X17" s="135" t="s">
        <v>3011</v>
      </c>
      <c r="Y17" s="135" t="s">
        <v>2873</v>
      </c>
      <c r="Z17" s="135"/>
      <c r="AA17" s="135" t="s">
        <v>2873</v>
      </c>
      <c r="AB17" s="135" t="s">
        <v>2873</v>
      </c>
      <c r="AC17" s="135"/>
      <c r="AD17" s="135"/>
      <c r="AE17" s="135"/>
      <c r="AF17" s="135"/>
      <c r="AG17" s="135"/>
      <c r="AH17" s="135" t="s">
        <v>2873</v>
      </c>
      <c r="AI17" s="135"/>
      <c r="AJ17" s="135" t="s">
        <v>2873</v>
      </c>
      <c r="AK17" s="135" t="s">
        <v>2873</v>
      </c>
      <c r="AL17" s="135"/>
      <c r="AM17" s="135"/>
      <c r="AN17" s="135"/>
      <c r="AO17" s="135"/>
      <c r="AP17" s="135"/>
      <c r="AQ17" s="135" t="s">
        <v>2873</v>
      </c>
      <c r="AR17" s="135" t="s">
        <v>2873</v>
      </c>
      <c r="AS17" s="135"/>
      <c r="AT17" s="135"/>
      <c r="AU17" s="135"/>
      <c r="AV17" s="135"/>
      <c r="AW17" s="135"/>
      <c r="AX17" s="135"/>
      <c r="AY17" s="135"/>
      <c r="AZ17" s="135"/>
      <c r="BA17" s="135"/>
      <c r="BB17" s="135"/>
      <c r="BC17" s="135" t="s">
        <v>2873</v>
      </c>
      <c r="BD17" s="135"/>
      <c r="BE17" s="135"/>
      <c r="BF17" s="135"/>
      <c r="BG17" s="135"/>
      <c r="BH17" s="135"/>
      <c r="BI17" s="135"/>
      <c r="BJ17" s="135"/>
      <c r="BK17" s="135" t="s">
        <v>2873</v>
      </c>
      <c r="BL17" s="135"/>
    </row>
    <row r="18">
      <c r="A18" s="128" t="s">
        <v>2746</v>
      </c>
      <c r="B18" s="137" t="s">
        <v>1374</v>
      </c>
      <c r="C18" s="130" t="s">
        <v>1373</v>
      </c>
      <c r="D18" s="130" t="s">
        <v>23</v>
      </c>
      <c r="E18" s="138">
        <v>2022.0</v>
      </c>
      <c r="F18" s="130">
        <f>-(117-132)</f>
        <v>15</v>
      </c>
      <c r="G18" s="131" t="s">
        <v>2678</v>
      </c>
      <c r="H18" s="132"/>
      <c r="I18" s="133" t="s">
        <v>3012</v>
      </c>
      <c r="J18" s="134" t="s">
        <v>2862</v>
      </c>
      <c r="K18" s="134" t="s">
        <v>3013</v>
      </c>
      <c r="L18" s="134" t="s">
        <v>2862</v>
      </c>
      <c r="M18" s="132" t="s">
        <v>3014</v>
      </c>
      <c r="N18" s="134" t="s">
        <v>2862</v>
      </c>
      <c r="O18" s="134" t="s">
        <v>3015</v>
      </c>
      <c r="P18" s="134" t="s">
        <v>2862</v>
      </c>
      <c r="Q18" s="134" t="s">
        <v>3016</v>
      </c>
      <c r="R18" s="134" t="s">
        <v>2862</v>
      </c>
      <c r="S18" s="134" t="s">
        <v>3017</v>
      </c>
      <c r="T18" s="135" t="s">
        <v>3018</v>
      </c>
      <c r="U18" s="136" t="s">
        <v>2869</v>
      </c>
      <c r="V18" s="135" t="s">
        <v>3019</v>
      </c>
      <c r="W18" s="135" t="s">
        <v>3020</v>
      </c>
      <c r="X18" s="135" t="s">
        <v>3021</v>
      </c>
      <c r="Y18" s="135"/>
      <c r="Z18" s="135" t="s">
        <v>2873</v>
      </c>
      <c r="AA18" s="135" t="s">
        <v>2873</v>
      </c>
      <c r="AB18" s="135" t="s">
        <v>2873</v>
      </c>
      <c r="AC18" s="135" t="s">
        <v>2873</v>
      </c>
      <c r="AD18" s="135" t="s">
        <v>2873</v>
      </c>
      <c r="AE18" s="135"/>
      <c r="AF18" s="135"/>
      <c r="AG18" s="135"/>
      <c r="AH18" s="135" t="s">
        <v>2873</v>
      </c>
      <c r="AI18" s="135" t="s">
        <v>2873</v>
      </c>
      <c r="AJ18" s="135" t="s">
        <v>2873</v>
      </c>
      <c r="AK18" s="135" t="s">
        <v>2873</v>
      </c>
      <c r="AL18" s="135" t="s">
        <v>2873</v>
      </c>
      <c r="AM18" s="135"/>
      <c r="AN18" s="135"/>
      <c r="AO18" s="135"/>
      <c r="AP18" s="135" t="s">
        <v>2873</v>
      </c>
      <c r="AQ18" s="135" t="s">
        <v>2873</v>
      </c>
      <c r="AR18" s="135" t="s">
        <v>2873</v>
      </c>
      <c r="AS18" s="135"/>
      <c r="AT18" s="135"/>
      <c r="AU18" s="135"/>
      <c r="AV18" s="135"/>
      <c r="AW18" s="135"/>
      <c r="AX18" s="135" t="s">
        <v>2873</v>
      </c>
      <c r="AY18" s="135"/>
      <c r="AZ18" s="135" t="s">
        <v>2873</v>
      </c>
      <c r="BA18" s="135"/>
      <c r="BB18" s="135"/>
      <c r="BC18" s="135" t="s">
        <v>2873</v>
      </c>
      <c r="BD18" s="135"/>
      <c r="BE18" s="135"/>
      <c r="BF18" s="135"/>
      <c r="BG18" s="135"/>
      <c r="BH18" s="135"/>
      <c r="BI18" s="135" t="s">
        <v>2873</v>
      </c>
      <c r="BJ18" s="135" t="s">
        <v>2873</v>
      </c>
      <c r="BK18" s="135"/>
      <c r="BL18" s="135"/>
    </row>
    <row r="19">
      <c r="A19" s="128" t="s">
        <v>2747</v>
      </c>
      <c r="B19" s="129" t="s">
        <v>1607</v>
      </c>
      <c r="C19" s="130" t="s">
        <v>1606</v>
      </c>
      <c r="D19" s="130" t="s">
        <v>23</v>
      </c>
      <c r="E19" s="138">
        <v>2022.0</v>
      </c>
      <c r="F19" s="130">
        <f>-(325-347)</f>
        <v>22</v>
      </c>
      <c r="G19" s="140" t="s">
        <v>2607</v>
      </c>
      <c r="H19" s="132"/>
      <c r="I19" s="133" t="s">
        <v>3022</v>
      </c>
      <c r="J19" s="134" t="s">
        <v>2877</v>
      </c>
      <c r="K19" s="134" t="s">
        <v>3023</v>
      </c>
      <c r="L19" s="134" t="s">
        <v>2877</v>
      </c>
      <c r="M19" s="132" t="s">
        <v>3024</v>
      </c>
      <c r="N19" s="134" t="s">
        <v>2862</v>
      </c>
      <c r="O19" s="134" t="s">
        <v>3025</v>
      </c>
      <c r="P19" s="134" t="s">
        <v>2877</v>
      </c>
      <c r="Q19" s="134" t="s">
        <v>3026</v>
      </c>
      <c r="R19" s="134" t="s">
        <v>2862</v>
      </c>
      <c r="S19" s="134" t="s">
        <v>3027</v>
      </c>
      <c r="T19" s="135" t="s">
        <v>2920</v>
      </c>
      <c r="U19" s="136" t="s">
        <v>2869</v>
      </c>
      <c r="V19" s="135" t="s">
        <v>3028</v>
      </c>
      <c r="W19" s="135" t="s">
        <v>2942</v>
      </c>
      <c r="X19" s="136" t="s">
        <v>2923</v>
      </c>
      <c r="Y19" s="135" t="s">
        <v>2873</v>
      </c>
      <c r="Z19" s="135"/>
      <c r="AA19" s="135" t="s">
        <v>2873</v>
      </c>
      <c r="AB19" s="135" t="s">
        <v>2873</v>
      </c>
      <c r="AC19" s="135"/>
      <c r="AD19" s="135" t="s">
        <v>2873</v>
      </c>
      <c r="AE19" s="135"/>
      <c r="AF19" s="135"/>
      <c r="AG19" s="135"/>
      <c r="AH19" s="135" t="s">
        <v>2873</v>
      </c>
      <c r="AI19" s="135" t="s">
        <v>2873</v>
      </c>
      <c r="AJ19" s="135" t="s">
        <v>2873</v>
      </c>
      <c r="AK19" s="135" t="s">
        <v>2873</v>
      </c>
      <c r="AL19" s="135" t="s">
        <v>2873</v>
      </c>
      <c r="AM19" s="135"/>
      <c r="AN19" s="135"/>
      <c r="AO19" s="135" t="s">
        <v>2873</v>
      </c>
      <c r="AP19" s="135" t="s">
        <v>2873</v>
      </c>
      <c r="AQ19" s="135"/>
      <c r="AR19" s="135"/>
      <c r="AS19" s="135" t="s">
        <v>2873</v>
      </c>
      <c r="AT19" s="135"/>
      <c r="AU19" s="135"/>
      <c r="AV19" s="135"/>
      <c r="AW19" s="135"/>
      <c r="AX19" s="135"/>
      <c r="AY19" s="135"/>
      <c r="AZ19" s="135"/>
      <c r="BA19" s="135"/>
      <c r="BB19" s="135"/>
      <c r="BC19" s="135" t="s">
        <v>2873</v>
      </c>
      <c r="BD19" s="135" t="s">
        <v>2873</v>
      </c>
      <c r="BE19" s="135"/>
      <c r="BF19" s="135"/>
      <c r="BG19" s="135"/>
      <c r="BH19" s="135"/>
      <c r="BI19" s="135"/>
      <c r="BJ19" s="135"/>
      <c r="BK19" s="135" t="s">
        <v>2873</v>
      </c>
      <c r="BL19" s="135"/>
    </row>
    <row r="20">
      <c r="A20" s="128" t="s">
        <v>2748</v>
      </c>
      <c r="B20" s="129" t="s">
        <v>1466</v>
      </c>
      <c r="C20" s="142" t="s">
        <v>2311</v>
      </c>
      <c r="D20" s="130" t="s">
        <v>2124</v>
      </c>
      <c r="E20" s="130">
        <v>2022.0</v>
      </c>
      <c r="F20" s="143">
        <v>19.0</v>
      </c>
      <c r="G20" s="140" t="s">
        <v>2608</v>
      </c>
      <c r="H20" s="132"/>
      <c r="I20" s="133" t="s">
        <v>3029</v>
      </c>
      <c r="J20" s="134" t="s">
        <v>2862</v>
      </c>
      <c r="K20" s="134" t="s">
        <v>3030</v>
      </c>
      <c r="L20" s="134" t="s">
        <v>2877</v>
      </c>
      <c r="M20" s="132" t="s">
        <v>3031</v>
      </c>
      <c r="N20" s="134" t="s">
        <v>2862</v>
      </c>
      <c r="O20" s="134" t="s">
        <v>3032</v>
      </c>
      <c r="P20" s="134" t="s">
        <v>2862</v>
      </c>
      <c r="Q20" s="134" t="s">
        <v>3033</v>
      </c>
      <c r="R20" s="134" t="s">
        <v>2862</v>
      </c>
      <c r="S20" s="134" t="s">
        <v>3034</v>
      </c>
      <c r="T20" s="135" t="s">
        <v>3035</v>
      </c>
      <c r="U20" s="136" t="s">
        <v>2930</v>
      </c>
      <c r="V20" s="135" t="s">
        <v>3036</v>
      </c>
      <c r="W20" s="135" t="s">
        <v>3010</v>
      </c>
      <c r="X20" s="136" t="s">
        <v>3037</v>
      </c>
      <c r="Y20" s="135"/>
      <c r="Z20" s="135" t="s">
        <v>2873</v>
      </c>
      <c r="AA20" s="135"/>
      <c r="AB20" s="135"/>
      <c r="AC20" s="135"/>
      <c r="AD20" s="135"/>
      <c r="AE20" s="135" t="s">
        <v>2873</v>
      </c>
      <c r="AF20" s="135"/>
      <c r="AG20" s="135"/>
      <c r="AH20" s="135"/>
      <c r="AI20" s="135" t="s">
        <v>2873</v>
      </c>
      <c r="AJ20" s="135" t="s">
        <v>2873</v>
      </c>
      <c r="AK20" s="135" t="s">
        <v>2873</v>
      </c>
      <c r="AL20" s="135" t="s">
        <v>2873</v>
      </c>
      <c r="AM20" s="135"/>
      <c r="AN20" s="135"/>
      <c r="AO20" s="135" t="s">
        <v>2873</v>
      </c>
      <c r="AP20" s="135" t="s">
        <v>2873</v>
      </c>
      <c r="AQ20" s="135"/>
      <c r="AR20" s="135"/>
      <c r="AS20" s="135"/>
      <c r="AT20" s="135" t="s">
        <v>2873</v>
      </c>
      <c r="AU20" s="135" t="s">
        <v>2873</v>
      </c>
      <c r="AV20" s="135"/>
      <c r="AW20" s="135"/>
      <c r="AX20" s="135"/>
      <c r="AY20" s="135"/>
      <c r="AZ20" s="135"/>
      <c r="BA20" s="135"/>
      <c r="BB20" s="135"/>
      <c r="BC20" s="135" t="s">
        <v>2873</v>
      </c>
      <c r="BD20" s="135"/>
      <c r="BE20" s="135"/>
      <c r="BF20" s="135"/>
      <c r="BG20" s="135"/>
      <c r="BH20" s="135"/>
      <c r="BI20" s="135" t="s">
        <v>2873</v>
      </c>
      <c r="BJ20" s="135"/>
      <c r="BK20" s="135"/>
      <c r="BL20" s="135"/>
    </row>
    <row r="21">
      <c r="A21" s="128" t="s">
        <v>2749</v>
      </c>
      <c r="B21" s="129" t="s">
        <v>2363</v>
      </c>
      <c r="C21" s="142" t="s">
        <v>2362</v>
      </c>
      <c r="D21" s="130" t="s">
        <v>2117</v>
      </c>
      <c r="E21" s="130">
        <v>2022.0</v>
      </c>
      <c r="F21" s="143">
        <v>9.0</v>
      </c>
      <c r="G21" s="140" t="s">
        <v>2608</v>
      </c>
      <c r="H21" s="132"/>
      <c r="I21" s="133" t="s">
        <v>3038</v>
      </c>
      <c r="J21" s="134" t="s">
        <v>2877</v>
      </c>
      <c r="K21" s="134" t="s">
        <v>3039</v>
      </c>
      <c r="L21" s="134" t="s">
        <v>2862</v>
      </c>
      <c r="M21" s="132" t="s">
        <v>3040</v>
      </c>
      <c r="N21" s="134" t="s">
        <v>2862</v>
      </c>
      <c r="O21" s="134" t="s">
        <v>3041</v>
      </c>
      <c r="P21" s="134" t="s">
        <v>2862</v>
      </c>
      <c r="Q21" s="140" t="s">
        <v>3042</v>
      </c>
      <c r="R21" s="134" t="s">
        <v>2877</v>
      </c>
      <c r="S21" s="134" t="s">
        <v>3043</v>
      </c>
      <c r="T21" s="135" t="s">
        <v>3044</v>
      </c>
      <c r="U21" s="136" t="s">
        <v>2869</v>
      </c>
      <c r="V21" s="135" t="s">
        <v>3045</v>
      </c>
      <c r="W21" s="135" t="s">
        <v>2894</v>
      </c>
      <c r="X21" s="135" t="s">
        <v>3046</v>
      </c>
      <c r="Y21" s="135"/>
      <c r="Z21" s="135"/>
      <c r="AA21" s="135"/>
      <c r="AB21" s="135"/>
      <c r="AC21" s="135" t="s">
        <v>2873</v>
      </c>
      <c r="AD21" s="135" t="s">
        <v>2873</v>
      </c>
      <c r="AE21" s="135"/>
      <c r="AF21" s="135"/>
      <c r="AG21" s="135"/>
      <c r="AH21" s="135" t="s">
        <v>2873</v>
      </c>
      <c r="AI21" s="135" t="s">
        <v>2873</v>
      </c>
      <c r="AJ21" s="135" t="s">
        <v>2873</v>
      </c>
      <c r="AK21" s="135" t="s">
        <v>2873</v>
      </c>
      <c r="AL21" s="135" t="s">
        <v>2873</v>
      </c>
      <c r="AM21" s="135"/>
      <c r="AN21" s="135"/>
      <c r="AO21" s="135" t="s">
        <v>2873</v>
      </c>
      <c r="AP21" s="135"/>
      <c r="AQ21" s="135"/>
      <c r="AR21" s="135"/>
      <c r="AS21" s="135"/>
      <c r="AT21" s="135"/>
      <c r="AU21" s="135"/>
      <c r="AV21" s="135"/>
      <c r="AW21" s="135"/>
      <c r="AX21" s="135" t="s">
        <v>2873</v>
      </c>
      <c r="AY21" s="135"/>
      <c r="AZ21" s="135"/>
      <c r="BA21" s="135"/>
      <c r="BB21" s="135"/>
      <c r="BC21" s="135" t="s">
        <v>2873</v>
      </c>
      <c r="BD21" s="135"/>
      <c r="BE21" s="135"/>
      <c r="BF21" s="135"/>
      <c r="BG21" s="135"/>
      <c r="BH21" s="135" t="s">
        <v>2873</v>
      </c>
      <c r="BI21" s="135"/>
      <c r="BJ21" s="135"/>
      <c r="BK21" s="135" t="s">
        <v>2873</v>
      </c>
      <c r="BL21" s="135"/>
    </row>
    <row r="22">
      <c r="A22" s="128" t="s">
        <v>2750</v>
      </c>
      <c r="B22" s="129" t="s">
        <v>850</v>
      </c>
      <c r="C22" s="142" t="s">
        <v>2141</v>
      </c>
      <c r="D22" s="130" t="s">
        <v>2117</v>
      </c>
      <c r="E22" s="130">
        <v>2022.0</v>
      </c>
      <c r="F22" s="143"/>
      <c r="G22" s="140" t="s">
        <v>2608</v>
      </c>
      <c r="I22" s="133" t="s">
        <v>3047</v>
      </c>
      <c r="J22" s="134" t="s">
        <v>2862</v>
      </c>
      <c r="K22" s="140" t="s">
        <v>3048</v>
      </c>
      <c r="L22" s="134" t="s">
        <v>2877</v>
      </c>
      <c r="M22" s="140" t="s">
        <v>3049</v>
      </c>
      <c r="N22" s="134" t="s">
        <v>2862</v>
      </c>
      <c r="O22" s="140" t="s">
        <v>3050</v>
      </c>
      <c r="P22" s="134" t="s">
        <v>2877</v>
      </c>
      <c r="Q22" s="140" t="s">
        <v>3051</v>
      </c>
      <c r="R22" s="134" t="s">
        <v>2862</v>
      </c>
      <c r="S22" s="140" t="s">
        <v>3052</v>
      </c>
      <c r="T22" s="135" t="s">
        <v>3053</v>
      </c>
      <c r="U22" s="136" t="s">
        <v>3054</v>
      </c>
      <c r="V22" s="135" t="s">
        <v>3055</v>
      </c>
      <c r="W22" s="135" t="s">
        <v>3056</v>
      </c>
      <c r="X22" s="136" t="s">
        <v>2933</v>
      </c>
      <c r="Y22" s="135"/>
      <c r="Z22" s="135"/>
      <c r="AA22" s="135" t="s">
        <v>2873</v>
      </c>
      <c r="AB22" s="135" t="s">
        <v>2873</v>
      </c>
      <c r="AC22" s="135"/>
      <c r="AD22" s="135"/>
      <c r="AE22" s="135"/>
      <c r="AF22" s="135"/>
      <c r="AG22" s="135"/>
      <c r="AH22" s="135" t="s">
        <v>2873</v>
      </c>
      <c r="AI22" s="135"/>
      <c r="AJ22" s="135" t="s">
        <v>2873</v>
      </c>
      <c r="AK22" s="135"/>
      <c r="AL22" s="135" t="s">
        <v>2873</v>
      </c>
      <c r="AM22" s="135"/>
      <c r="AN22" s="135"/>
      <c r="AO22" s="135" t="s">
        <v>2873</v>
      </c>
      <c r="AP22" s="135"/>
      <c r="AQ22" s="135" t="s">
        <v>2873</v>
      </c>
      <c r="AR22" s="135"/>
      <c r="AS22" s="135"/>
      <c r="AT22" s="135"/>
      <c r="AU22" s="135"/>
      <c r="AV22" s="135"/>
      <c r="AW22" s="135"/>
      <c r="AX22" s="135" t="s">
        <v>2873</v>
      </c>
      <c r="AY22" s="135"/>
      <c r="AZ22" s="135" t="s">
        <v>2873</v>
      </c>
      <c r="BA22" s="135"/>
      <c r="BB22" s="135"/>
      <c r="BC22" s="135"/>
      <c r="BD22" s="135" t="s">
        <v>2873</v>
      </c>
      <c r="BE22" s="135"/>
      <c r="BF22" s="135"/>
      <c r="BG22" s="135" t="s">
        <v>2873</v>
      </c>
      <c r="BH22" s="135"/>
      <c r="BI22" s="135"/>
      <c r="BJ22" s="135"/>
      <c r="BK22" s="135" t="s">
        <v>2873</v>
      </c>
      <c r="BL22" s="135"/>
    </row>
    <row r="23">
      <c r="A23" s="128" t="s">
        <v>2751</v>
      </c>
      <c r="B23" s="129" t="s">
        <v>2213</v>
      </c>
      <c r="C23" s="142" t="s">
        <v>2212</v>
      </c>
      <c r="D23" s="130" t="s">
        <v>2124</v>
      </c>
      <c r="E23" s="130">
        <v>2022.0</v>
      </c>
      <c r="F23" s="143"/>
      <c r="G23" s="140" t="s">
        <v>2608</v>
      </c>
      <c r="I23" s="133" t="s">
        <v>2710</v>
      </c>
      <c r="J23" s="134" t="s">
        <v>2862</v>
      </c>
      <c r="K23" s="140" t="s">
        <v>3057</v>
      </c>
      <c r="L23" s="134" t="s">
        <v>2862</v>
      </c>
      <c r="M23" s="140" t="s">
        <v>3058</v>
      </c>
      <c r="N23" s="134" t="s">
        <v>2862</v>
      </c>
      <c r="O23" s="140" t="s">
        <v>3059</v>
      </c>
      <c r="P23" s="134" t="s">
        <v>2862</v>
      </c>
      <c r="Q23" s="140" t="s">
        <v>3060</v>
      </c>
      <c r="R23" s="134" t="s">
        <v>2862</v>
      </c>
      <c r="S23" s="140" t="s">
        <v>3061</v>
      </c>
      <c r="T23" s="135" t="s">
        <v>2920</v>
      </c>
      <c r="U23" s="136" t="s">
        <v>3062</v>
      </c>
      <c r="V23" s="135" t="s">
        <v>3063</v>
      </c>
      <c r="W23" s="135" t="s">
        <v>3010</v>
      </c>
      <c r="X23" s="136" t="s">
        <v>2895</v>
      </c>
      <c r="Y23" s="135" t="s">
        <v>2873</v>
      </c>
      <c r="Z23" s="135"/>
      <c r="AA23" s="135" t="s">
        <v>2873</v>
      </c>
      <c r="AB23" s="135" t="s">
        <v>2873</v>
      </c>
      <c r="AC23" s="135"/>
      <c r="AD23" s="135" t="s">
        <v>2873</v>
      </c>
      <c r="AE23" s="135"/>
      <c r="AF23" s="135"/>
      <c r="AG23" s="135"/>
      <c r="AH23" s="135" t="s">
        <v>2873</v>
      </c>
      <c r="AI23" s="135" t="s">
        <v>2873</v>
      </c>
      <c r="AJ23" s="135" t="s">
        <v>2873</v>
      </c>
      <c r="AK23" s="135" t="s">
        <v>2873</v>
      </c>
      <c r="AL23" s="135" t="s">
        <v>2873</v>
      </c>
      <c r="AM23" s="135" t="s">
        <v>2873</v>
      </c>
      <c r="AN23" s="135"/>
      <c r="AO23" s="135"/>
      <c r="AP23" s="135"/>
      <c r="AQ23" s="135" t="s">
        <v>2873</v>
      </c>
      <c r="AR23" s="135" t="s">
        <v>2873</v>
      </c>
      <c r="AS23" s="135"/>
      <c r="AT23" s="135"/>
      <c r="AU23" s="135" t="s">
        <v>2873</v>
      </c>
      <c r="AV23" s="135"/>
      <c r="AW23" s="135"/>
      <c r="AX23" s="135"/>
      <c r="AY23" s="135"/>
      <c r="AZ23" s="135"/>
      <c r="BA23" s="135"/>
      <c r="BB23" s="135"/>
      <c r="BC23" s="135" t="s">
        <v>2873</v>
      </c>
      <c r="BD23" s="135"/>
      <c r="BE23" s="135"/>
      <c r="BF23" s="135"/>
      <c r="BG23" s="135" t="s">
        <v>2873</v>
      </c>
      <c r="BH23" s="135"/>
      <c r="BI23" s="135"/>
      <c r="BJ23" s="135"/>
      <c r="BK23" s="135"/>
      <c r="BL23" s="135"/>
    </row>
    <row r="24">
      <c r="A24" s="128" t="s">
        <v>2752</v>
      </c>
      <c r="B24" s="129" t="s">
        <v>613</v>
      </c>
      <c r="C24" s="130" t="s">
        <v>611</v>
      </c>
      <c r="D24" s="130" t="s">
        <v>612</v>
      </c>
      <c r="E24" s="130">
        <v>2023.0</v>
      </c>
      <c r="F24" s="130">
        <f>-(397-401)</f>
        <v>4</v>
      </c>
      <c r="G24" s="131" t="s">
        <v>2605</v>
      </c>
      <c r="H24" s="132"/>
      <c r="I24" s="133" t="s">
        <v>3064</v>
      </c>
      <c r="J24" s="134" t="s">
        <v>2877</v>
      </c>
      <c r="K24" s="134" t="s">
        <v>3065</v>
      </c>
      <c r="L24" s="134" t="s">
        <v>2862</v>
      </c>
      <c r="M24" s="132" t="s">
        <v>3066</v>
      </c>
      <c r="N24" s="134" t="s">
        <v>2862</v>
      </c>
      <c r="O24" s="134" t="s">
        <v>3067</v>
      </c>
      <c r="P24" s="134" t="s">
        <v>2877</v>
      </c>
      <c r="Q24" s="134" t="s">
        <v>3068</v>
      </c>
      <c r="R24" s="134" t="s">
        <v>2877</v>
      </c>
      <c r="S24" s="134" t="s">
        <v>3069</v>
      </c>
      <c r="T24" s="135" t="s">
        <v>3070</v>
      </c>
      <c r="U24" s="136" t="s">
        <v>2869</v>
      </c>
      <c r="V24" s="135" t="s">
        <v>3071</v>
      </c>
      <c r="W24" s="135" t="s">
        <v>2932</v>
      </c>
      <c r="X24" s="136" t="s">
        <v>3037</v>
      </c>
      <c r="Y24" s="135" t="s">
        <v>2873</v>
      </c>
      <c r="Z24" s="135"/>
      <c r="AA24" s="135"/>
      <c r="AB24" s="135" t="s">
        <v>2873</v>
      </c>
      <c r="AC24" s="135" t="s">
        <v>2873</v>
      </c>
      <c r="AD24" s="135" t="s">
        <v>2873</v>
      </c>
      <c r="AE24" s="135"/>
      <c r="AF24" s="135"/>
      <c r="AG24" s="135"/>
      <c r="AH24" s="135" t="s">
        <v>2873</v>
      </c>
      <c r="AI24" s="135" t="s">
        <v>2873</v>
      </c>
      <c r="AJ24" s="135" t="s">
        <v>2873</v>
      </c>
      <c r="AK24" s="135" t="s">
        <v>2873</v>
      </c>
      <c r="AL24" s="135" t="s">
        <v>2873</v>
      </c>
      <c r="AM24" s="135"/>
      <c r="AN24" s="135"/>
      <c r="AO24" s="135" t="s">
        <v>2873</v>
      </c>
      <c r="AP24" s="135" t="s">
        <v>2873</v>
      </c>
      <c r="AQ24" s="135"/>
      <c r="AR24" s="135" t="s">
        <v>2873</v>
      </c>
      <c r="AS24" s="135" t="s">
        <v>2873</v>
      </c>
      <c r="AT24" s="135"/>
      <c r="AU24" s="135"/>
      <c r="AV24" s="135"/>
      <c r="AW24" s="135"/>
      <c r="AX24" s="135"/>
      <c r="AY24" s="135"/>
      <c r="AZ24" s="135"/>
      <c r="BA24" s="135"/>
      <c r="BB24" s="135"/>
      <c r="BC24" s="135"/>
      <c r="BD24" s="135" t="s">
        <v>2873</v>
      </c>
      <c r="BE24" s="135"/>
      <c r="BF24" s="135"/>
      <c r="BG24" s="135"/>
      <c r="BH24" s="135"/>
      <c r="BI24" s="135" t="s">
        <v>2873</v>
      </c>
      <c r="BJ24" s="135"/>
      <c r="BK24" s="135"/>
      <c r="BL24" s="135"/>
    </row>
    <row r="25">
      <c r="A25" s="128" t="s">
        <v>2753</v>
      </c>
      <c r="B25" s="129" t="s">
        <v>658</v>
      </c>
      <c r="C25" s="130" t="s">
        <v>657</v>
      </c>
      <c r="D25" s="130" t="s">
        <v>612</v>
      </c>
      <c r="E25" s="130">
        <v>2023.0</v>
      </c>
      <c r="F25" s="130">
        <f>-(348-352)</f>
        <v>4</v>
      </c>
      <c r="G25" s="131" t="s">
        <v>2605</v>
      </c>
      <c r="H25" s="132"/>
      <c r="I25" s="133" t="s">
        <v>3072</v>
      </c>
      <c r="J25" s="134" t="s">
        <v>2877</v>
      </c>
      <c r="K25" s="134" t="s">
        <v>3073</v>
      </c>
      <c r="L25" s="134" t="s">
        <v>2862</v>
      </c>
      <c r="M25" s="132" t="s">
        <v>3074</v>
      </c>
      <c r="N25" s="134" t="s">
        <v>2877</v>
      </c>
      <c r="O25" s="134" t="s">
        <v>3075</v>
      </c>
      <c r="P25" s="134" t="s">
        <v>2877</v>
      </c>
      <c r="Q25" s="134" t="s">
        <v>3076</v>
      </c>
      <c r="R25" s="134" t="s">
        <v>2877</v>
      </c>
      <c r="S25" s="134" t="s">
        <v>3077</v>
      </c>
      <c r="T25" s="135" t="s">
        <v>3070</v>
      </c>
      <c r="U25" s="136" t="s">
        <v>2869</v>
      </c>
      <c r="V25" s="135" t="s">
        <v>3071</v>
      </c>
      <c r="W25" s="135" t="s">
        <v>3078</v>
      </c>
      <c r="X25" s="136" t="s">
        <v>3079</v>
      </c>
      <c r="Y25" s="135" t="s">
        <v>2873</v>
      </c>
      <c r="Z25" s="135"/>
      <c r="AA25" s="135"/>
      <c r="AB25" s="135" t="s">
        <v>2873</v>
      </c>
      <c r="AC25" s="135" t="s">
        <v>2873</v>
      </c>
      <c r="AD25" s="135" t="s">
        <v>2873</v>
      </c>
      <c r="AE25" s="135"/>
      <c r="AF25" s="135"/>
      <c r="AG25" s="135"/>
      <c r="AH25" s="135" t="s">
        <v>2873</v>
      </c>
      <c r="AI25" s="135" t="s">
        <v>2873</v>
      </c>
      <c r="AJ25" s="135" t="s">
        <v>2873</v>
      </c>
      <c r="AK25" s="135" t="s">
        <v>2873</v>
      </c>
      <c r="AL25" s="135" t="s">
        <v>2873</v>
      </c>
      <c r="AM25" s="135"/>
      <c r="AN25" s="135"/>
      <c r="AO25" s="135" t="s">
        <v>2873</v>
      </c>
      <c r="AP25" s="135" t="s">
        <v>2873</v>
      </c>
      <c r="AQ25" s="135"/>
      <c r="AR25" s="135" t="s">
        <v>2873</v>
      </c>
      <c r="AS25" s="135" t="s">
        <v>2873</v>
      </c>
      <c r="AT25" s="135"/>
      <c r="AU25" s="135"/>
      <c r="AV25" s="135"/>
      <c r="AW25" s="135"/>
      <c r="AX25" s="135" t="s">
        <v>2873</v>
      </c>
      <c r="AY25" s="135"/>
      <c r="AZ25" s="135"/>
      <c r="BA25" s="135"/>
      <c r="BB25" s="135"/>
      <c r="BC25" s="135" t="s">
        <v>2873</v>
      </c>
      <c r="BD25" s="135" t="s">
        <v>2873</v>
      </c>
      <c r="BE25" s="135"/>
      <c r="BF25" s="135"/>
      <c r="BG25" s="135"/>
      <c r="BH25" s="135" t="s">
        <v>2873</v>
      </c>
      <c r="BI25" s="135" t="s">
        <v>2873</v>
      </c>
      <c r="BJ25" s="135"/>
      <c r="BK25" s="135"/>
      <c r="BL25" s="135"/>
    </row>
    <row r="26">
      <c r="A26" s="128" t="s">
        <v>2754</v>
      </c>
      <c r="B26" s="129" t="s">
        <v>726</v>
      </c>
      <c r="C26" s="130" t="s">
        <v>724</v>
      </c>
      <c r="D26" s="130" t="s">
        <v>725</v>
      </c>
      <c r="E26" s="130">
        <v>2023.0</v>
      </c>
      <c r="F26" s="130">
        <v>6.0</v>
      </c>
      <c r="G26" s="131" t="s">
        <v>2605</v>
      </c>
      <c r="H26" s="132"/>
      <c r="I26" s="133" t="s">
        <v>3080</v>
      </c>
      <c r="J26" s="134" t="s">
        <v>2877</v>
      </c>
      <c r="K26" s="134" t="s">
        <v>3081</v>
      </c>
      <c r="L26" s="134" t="s">
        <v>2875</v>
      </c>
      <c r="M26" s="134" t="s">
        <v>2876</v>
      </c>
      <c r="N26" s="134" t="s">
        <v>2877</v>
      </c>
      <c r="O26" s="134" t="s">
        <v>3082</v>
      </c>
      <c r="P26" s="134" t="s">
        <v>2877</v>
      </c>
      <c r="Q26" s="134" t="s">
        <v>3083</v>
      </c>
      <c r="R26" s="134" t="s">
        <v>2877</v>
      </c>
      <c r="S26" s="134" t="s">
        <v>3084</v>
      </c>
      <c r="T26" s="135" t="s">
        <v>3053</v>
      </c>
      <c r="U26" s="135" t="s">
        <v>2881</v>
      </c>
      <c r="V26" s="135" t="s">
        <v>3085</v>
      </c>
      <c r="W26" s="135" t="s">
        <v>3086</v>
      </c>
      <c r="X26" s="136" t="s">
        <v>3087</v>
      </c>
      <c r="Y26" s="135"/>
      <c r="Z26" s="135"/>
      <c r="AA26" s="135" t="s">
        <v>2873</v>
      </c>
      <c r="AB26" s="135" t="s">
        <v>2873</v>
      </c>
      <c r="AC26" s="135"/>
      <c r="AD26" s="135"/>
      <c r="AE26" s="135"/>
      <c r="AF26" s="135"/>
      <c r="AG26" s="135"/>
      <c r="AH26" s="135"/>
      <c r="AI26" s="135"/>
      <c r="AJ26" s="135"/>
      <c r="AK26" s="135"/>
      <c r="AL26" s="135"/>
      <c r="AM26" s="135"/>
      <c r="AN26" s="135" t="s">
        <v>2873</v>
      </c>
      <c r="AO26" s="135" t="s">
        <v>2873</v>
      </c>
      <c r="AP26" s="135"/>
      <c r="AQ26" s="135"/>
      <c r="AR26" s="135" t="s">
        <v>2873</v>
      </c>
      <c r="AS26" s="135" t="s">
        <v>2873</v>
      </c>
      <c r="AT26" s="135"/>
      <c r="AU26" s="135"/>
      <c r="AV26" s="135"/>
      <c r="AW26" s="135"/>
      <c r="AX26" s="135" t="s">
        <v>2873</v>
      </c>
      <c r="AY26" s="135"/>
      <c r="AZ26" s="135" t="s">
        <v>2873</v>
      </c>
      <c r="BA26" s="135" t="s">
        <v>2873</v>
      </c>
      <c r="BB26" s="135"/>
      <c r="BC26" s="135"/>
      <c r="BD26" s="135" t="s">
        <v>2873</v>
      </c>
      <c r="BE26" s="135"/>
      <c r="BF26" s="135"/>
      <c r="BG26" s="135" t="s">
        <v>2873</v>
      </c>
      <c r="BH26" s="135"/>
      <c r="BI26" s="135" t="s">
        <v>2873</v>
      </c>
      <c r="BJ26" s="135"/>
      <c r="BK26" s="135" t="s">
        <v>2873</v>
      </c>
      <c r="BL26" s="135"/>
    </row>
    <row r="27">
      <c r="A27" s="128" t="s">
        <v>2755</v>
      </c>
      <c r="B27" s="129" t="s">
        <v>742</v>
      </c>
      <c r="C27" s="130" t="s">
        <v>740</v>
      </c>
      <c r="D27" s="130" t="s">
        <v>741</v>
      </c>
      <c r="E27" s="130">
        <v>2023.0</v>
      </c>
      <c r="F27" s="130">
        <f>-(1704-1708)</f>
        <v>4</v>
      </c>
      <c r="G27" s="131" t="s">
        <v>2605</v>
      </c>
      <c r="H27" s="132"/>
      <c r="I27" s="133" t="s">
        <v>3088</v>
      </c>
      <c r="J27" s="134" t="s">
        <v>2862</v>
      </c>
      <c r="K27" s="134" t="s">
        <v>3089</v>
      </c>
      <c r="L27" s="134" t="s">
        <v>2877</v>
      </c>
      <c r="M27" s="132" t="s">
        <v>3090</v>
      </c>
      <c r="N27" s="134" t="s">
        <v>2862</v>
      </c>
      <c r="O27" s="134" t="s">
        <v>3091</v>
      </c>
      <c r="P27" s="134" t="s">
        <v>2877</v>
      </c>
      <c r="Q27" s="134" t="s">
        <v>3092</v>
      </c>
      <c r="R27" s="134" t="s">
        <v>2862</v>
      </c>
      <c r="S27" s="134" t="s">
        <v>3093</v>
      </c>
      <c r="T27" s="135" t="s">
        <v>3094</v>
      </c>
      <c r="U27" s="136" t="s">
        <v>3095</v>
      </c>
      <c r="V27" s="135" t="s">
        <v>3096</v>
      </c>
      <c r="W27" s="135" t="s">
        <v>3056</v>
      </c>
      <c r="X27" s="136" t="s">
        <v>3097</v>
      </c>
      <c r="Y27" s="135"/>
      <c r="Z27" s="135"/>
      <c r="AA27" s="135"/>
      <c r="AB27" s="135" t="s">
        <v>2873</v>
      </c>
      <c r="AC27" s="135"/>
      <c r="AD27" s="135" t="s">
        <v>2873</v>
      </c>
      <c r="AE27" s="135"/>
      <c r="AF27" s="135"/>
      <c r="AG27" s="135"/>
      <c r="AH27" s="135"/>
      <c r="AI27" s="135" t="s">
        <v>2873</v>
      </c>
      <c r="AJ27" s="135" t="s">
        <v>2873</v>
      </c>
      <c r="AK27" s="135" t="s">
        <v>2873</v>
      </c>
      <c r="AL27" s="135" t="s">
        <v>2873</v>
      </c>
      <c r="AM27" s="135" t="s">
        <v>2873</v>
      </c>
      <c r="AN27" s="135"/>
      <c r="AO27" s="135" t="s">
        <v>2873</v>
      </c>
      <c r="AP27" s="135"/>
      <c r="AQ27" s="135" t="s">
        <v>2873</v>
      </c>
      <c r="AR27" s="135"/>
      <c r="AS27" s="135" t="s">
        <v>2873</v>
      </c>
      <c r="AT27" s="135"/>
      <c r="AU27" s="135"/>
      <c r="AV27" s="135"/>
      <c r="AW27" s="135"/>
      <c r="AX27" s="135" t="s">
        <v>2873</v>
      </c>
      <c r="AY27" s="135"/>
      <c r="AZ27" s="135" t="s">
        <v>2873</v>
      </c>
      <c r="BA27" s="135"/>
      <c r="BB27" s="135"/>
      <c r="BC27" s="135"/>
      <c r="BD27" s="135" t="s">
        <v>2873</v>
      </c>
      <c r="BE27" s="135"/>
      <c r="BF27" s="135" t="s">
        <v>2873</v>
      </c>
      <c r="BG27" s="135"/>
      <c r="BH27" s="135" t="s">
        <v>2873</v>
      </c>
      <c r="BI27" s="135" t="s">
        <v>2873</v>
      </c>
      <c r="BJ27" s="135" t="s">
        <v>2873</v>
      </c>
      <c r="BK27" s="135"/>
      <c r="BL27" s="135"/>
    </row>
    <row r="28">
      <c r="A28" s="128" t="s">
        <v>2756</v>
      </c>
      <c r="B28" s="129" t="s">
        <v>926</v>
      </c>
      <c r="C28" s="130" t="s">
        <v>924</v>
      </c>
      <c r="D28" s="130" t="s">
        <v>925</v>
      </c>
      <c r="E28" s="130">
        <v>2023.0</v>
      </c>
      <c r="F28" s="130">
        <v>5.0</v>
      </c>
      <c r="G28" s="131" t="s">
        <v>2605</v>
      </c>
      <c r="H28" s="132"/>
      <c r="I28" s="133" t="s">
        <v>3098</v>
      </c>
      <c r="J28" s="134" t="s">
        <v>2875</v>
      </c>
      <c r="K28" s="134" t="s">
        <v>2876</v>
      </c>
      <c r="L28" s="134" t="s">
        <v>2875</v>
      </c>
      <c r="M28" s="134" t="s">
        <v>2876</v>
      </c>
      <c r="N28" s="134" t="s">
        <v>2875</v>
      </c>
      <c r="O28" s="134" t="s">
        <v>2876</v>
      </c>
      <c r="P28" s="134" t="s">
        <v>2877</v>
      </c>
      <c r="Q28" s="134" t="s">
        <v>3099</v>
      </c>
      <c r="R28" s="134" t="s">
        <v>2875</v>
      </c>
      <c r="S28" s="134" t="s">
        <v>2876</v>
      </c>
      <c r="T28" s="135" t="s">
        <v>2881</v>
      </c>
      <c r="U28" s="135" t="s">
        <v>2881</v>
      </c>
      <c r="V28" s="135" t="s">
        <v>2881</v>
      </c>
      <c r="W28" s="135" t="s">
        <v>3100</v>
      </c>
      <c r="X28" s="135" t="s">
        <v>2881</v>
      </c>
      <c r="Y28" s="135"/>
      <c r="Z28" s="135"/>
      <c r="AA28" s="135"/>
      <c r="AB28" s="135"/>
      <c r="AC28" s="135"/>
      <c r="AD28" s="135"/>
      <c r="AE28" s="135"/>
      <c r="AF28" s="135"/>
      <c r="AG28" s="135" t="s">
        <v>2873</v>
      </c>
      <c r="AH28" s="135"/>
      <c r="AI28" s="135"/>
      <c r="AJ28" s="135"/>
      <c r="AK28" s="135"/>
      <c r="AL28" s="135"/>
      <c r="AM28" s="135"/>
      <c r="AN28" s="135" t="s">
        <v>2873</v>
      </c>
      <c r="AO28" s="135"/>
      <c r="AP28" s="135"/>
      <c r="AQ28" s="135"/>
      <c r="AR28" s="135"/>
      <c r="AS28" s="135"/>
      <c r="AT28" s="135"/>
      <c r="AU28" s="135"/>
      <c r="AV28" s="135"/>
      <c r="AW28" s="135" t="s">
        <v>2873</v>
      </c>
      <c r="AX28" s="135"/>
      <c r="AY28" s="135"/>
      <c r="AZ28" s="135" t="s">
        <v>2873</v>
      </c>
      <c r="BA28" s="135"/>
      <c r="BB28" s="135"/>
      <c r="BC28" s="135" t="s">
        <v>2873</v>
      </c>
      <c r="BD28" s="135"/>
      <c r="BE28" s="135"/>
      <c r="BF28" s="135"/>
      <c r="BG28" s="135"/>
      <c r="BH28" s="135"/>
      <c r="BI28" s="135"/>
      <c r="BJ28" s="135"/>
      <c r="BK28" s="135"/>
      <c r="BL28" s="135" t="s">
        <v>2873</v>
      </c>
    </row>
    <row r="29">
      <c r="A29" s="128" t="s">
        <v>2757</v>
      </c>
      <c r="B29" s="129" t="s">
        <v>1246</v>
      </c>
      <c r="C29" s="130" t="s">
        <v>1244</v>
      </c>
      <c r="D29" s="130" t="s">
        <v>1245</v>
      </c>
      <c r="E29" s="130">
        <v>2023.0</v>
      </c>
      <c r="F29" s="130">
        <v>6.0</v>
      </c>
      <c r="G29" s="131" t="s">
        <v>2605</v>
      </c>
      <c r="H29" s="132"/>
      <c r="I29" s="133" t="s">
        <v>3101</v>
      </c>
      <c r="J29" s="134" t="s">
        <v>2877</v>
      </c>
      <c r="K29" s="134" t="s">
        <v>3102</v>
      </c>
      <c r="L29" s="134" t="s">
        <v>2862</v>
      </c>
      <c r="M29" s="132" t="s">
        <v>3103</v>
      </c>
      <c r="N29" s="134" t="s">
        <v>2862</v>
      </c>
      <c r="O29" s="134" t="s">
        <v>3104</v>
      </c>
      <c r="P29" s="134" t="s">
        <v>2877</v>
      </c>
      <c r="Q29" s="134" t="s">
        <v>3105</v>
      </c>
      <c r="R29" s="134" t="s">
        <v>2877</v>
      </c>
      <c r="S29" s="134" t="s">
        <v>3106</v>
      </c>
      <c r="T29" s="135" t="s">
        <v>3107</v>
      </c>
      <c r="U29" s="136" t="s">
        <v>2930</v>
      </c>
      <c r="V29" s="135" t="s">
        <v>2941</v>
      </c>
      <c r="W29" s="135" t="s">
        <v>3108</v>
      </c>
      <c r="X29" s="135" t="s">
        <v>2982</v>
      </c>
      <c r="Y29" s="135"/>
      <c r="Z29" s="135"/>
      <c r="AA29" s="135" t="s">
        <v>2873</v>
      </c>
      <c r="AB29" s="135"/>
      <c r="AC29" s="135" t="s">
        <v>2873</v>
      </c>
      <c r="AD29" s="135"/>
      <c r="AE29" s="135"/>
      <c r="AF29" s="135"/>
      <c r="AG29" s="135"/>
      <c r="AH29" s="135"/>
      <c r="AI29" s="135" t="s">
        <v>2873</v>
      </c>
      <c r="AJ29" s="135" t="s">
        <v>2873</v>
      </c>
      <c r="AK29" s="135" t="s">
        <v>2873</v>
      </c>
      <c r="AL29" s="135" t="s">
        <v>2873</v>
      </c>
      <c r="AM29" s="135"/>
      <c r="AN29" s="135"/>
      <c r="AO29" s="135"/>
      <c r="AP29" s="135"/>
      <c r="AQ29" s="135" t="s">
        <v>2873</v>
      </c>
      <c r="AR29" s="135"/>
      <c r="AS29" s="135"/>
      <c r="AT29" s="135"/>
      <c r="AU29" s="135"/>
      <c r="AV29" s="135"/>
      <c r="AW29" s="135"/>
      <c r="AX29" s="135" t="s">
        <v>2873</v>
      </c>
      <c r="AY29" s="135" t="s">
        <v>2873</v>
      </c>
      <c r="AZ29" s="135"/>
      <c r="BA29" s="135"/>
      <c r="BB29" s="135"/>
      <c r="BC29" s="135" t="s">
        <v>2873</v>
      </c>
      <c r="BD29" s="135"/>
      <c r="BE29" s="135"/>
      <c r="BF29" s="135"/>
      <c r="BG29" s="135" t="s">
        <v>2873</v>
      </c>
      <c r="BH29" s="135"/>
      <c r="BI29" s="135"/>
      <c r="BJ29" s="135"/>
      <c r="BK29" s="135"/>
      <c r="BL29" s="135"/>
    </row>
    <row r="30">
      <c r="A30" s="128" t="s">
        <v>2758</v>
      </c>
      <c r="B30" s="137" t="s">
        <v>1292</v>
      </c>
      <c r="C30" s="130" t="s">
        <v>1291</v>
      </c>
      <c r="D30" s="130" t="s">
        <v>23</v>
      </c>
      <c r="E30" s="138">
        <v>2023.0</v>
      </c>
      <c r="F30" s="130">
        <v>10.0</v>
      </c>
      <c r="G30" s="131" t="s">
        <v>2678</v>
      </c>
      <c r="H30" s="132"/>
      <c r="I30" s="133" t="s">
        <v>3109</v>
      </c>
      <c r="J30" s="134" t="s">
        <v>2877</v>
      </c>
      <c r="K30" s="134" t="s">
        <v>3110</v>
      </c>
      <c r="L30" s="134" t="s">
        <v>2877</v>
      </c>
      <c r="M30" s="132" t="s">
        <v>3111</v>
      </c>
      <c r="N30" s="134" t="s">
        <v>2862</v>
      </c>
      <c r="O30" s="134" t="s">
        <v>3112</v>
      </c>
      <c r="P30" s="134" t="s">
        <v>2877</v>
      </c>
      <c r="Q30" s="134" t="s">
        <v>3113</v>
      </c>
      <c r="R30" s="134" t="s">
        <v>2862</v>
      </c>
      <c r="S30" s="134" t="s">
        <v>3114</v>
      </c>
      <c r="T30" s="135" t="s">
        <v>3115</v>
      </c>
      <c r="U30" s="136" t="s">
        <v>2930</v>
      </c>
      <c r="V30" s="135" t="s">
        <v>3116</v>
      </c>
      <c r="W30" s="135" t="s">
        <v>3010</v>
      </c>
      <c r="X30" s="136" t="s">
        <v>3037</v>
      </c>
      <c r="Y30" s="135"/>
      <c r="Z30" s="135"/>
      <c r="AA30" s="135" t="s">
        <v>2873</v>
      </c>
      <c r="AB30" s="135"/>
      <c r="AC30" s="135" t="s">
        <v>2873</v>
      </c>
      <c r="AD30" s="135" t="s">
        <v>2873</v>
      </c>
      <c r="AE30" s="135"/>
      <c r="AF30" s="135"/>
      <c r="AG30" s="135"/>
      <c r="AH30" s="135"/>
      <c r="AI30" s="135" t="s">
        <v>2873</v>
      </c>
      <c r="AJ30" s="135" t="s">
        <v>2873</v>
      </c>
      <c r="AK30" s="135" t="s">
        <v>2873</v>
      </c>
      <c r="AL30" s="135" t="s">
        <v>2873</v>
      </c>
      <c r="AM30" s="135"/>
      <c r="AN30" s="135"/>
      <c r="AO30" s="135" t="s">
        <v>2873</v>
      </c>
      <c r="AP30" s="135"/>
      <c r="AQ30" s="135" t="s">
        <v>2873</v>
      </c>
      <c r="AR30" s="135" t="s">
        <v>2873</v>
      </c>
      <c r="AS30" s="135" t="s">
        <v>2873</v>
      </c>
      <c r="AT30" s="135"/>
      <c r="AU30" s="135"/>
      <c r="AV30" s="135" t="s">
        <v>2873</v>
      </c>
      <c r="AW30" s="135"/>
      <c r="AX30" s="135"/>
      <c r="AY30" s="135"/>
      <c r="AZ30" s="135"/>
      <c r="BA30" s="135"/>
      <c r="BB30" s="135"/>
      <c r="BC30" s="135" t="s">
        <v>2873</v>
      </c>
      <c r="BD30" s="135"/>
      <c r="BE30" s="135"/>
      <c r="BF30" s="135"/>
      <c r="BG30" s="135"/>
      <c r="BH30" s="135"/>
      <c r="BI30" s="135" t="s">
        <v>2873</v>
      </c>
      <c r="BJ30" s="135"/>
      <c r="BK30" s="135"/>
      <c r="BL30" s="135"/>
    </row>
    <row r="31">
      <c r="A31" s="128" t="s">
        <v>2759</v>
      </c>
      <c r="B31" s="137" t="s">
        <v>1321</v>
      </c>
      <c r="C31" s="130" t="s">
        <v>1320</v>
      </c>
      <c r="D31" s="130" t="s">
        <v>23</v>
      </c>
      <c r="E31" s="138">
        <v>2023.0</v>
      </c>
      <c r="F31" s="130">
        <v>23.0</v>
      </c>
      <c r="G31" s="131" t="s">
        <v>2678</v>
      </c>
      <c r="H31" s="132"/>
      <c r="I31" s="133" t="s">
        <v>3117</v>
      </c>
      <c r="J31" s="134" t="s">
        <v>2862</v>
      </c>
      <c r="K31" s="134" t="s">
        <v>3118</v>
      </c>
      <c r="L31" s="134" t="s">
        <v>2862</v>
      </c>
      <c r="M31" s="132" t="s">
        <v>3119</v>
      </c>
      <c r="N31" s="134" t="s">
        <v>2877</v>
      </c>
      <c r="O31" s="134" t="s">
        <v>3120</v>
      </c>
      <c r="P31" s="134" t="s">
        <v>2862</v>
      </c>
      <c r="Q31" s="134" t="s">
        <v>3121</v>
      </c>
      <c r="R31" s="134" t="s">
        <v>2862</v>
      </c>
      <c r="S31" s="134" t="s">
        <v>3122</v>
      </c>
      <c r="T31" s="135" t="s">
        <v>3123</v>
      </c>
      <c r="U31" s="136" t="s">
        <v>3124</v>
      </c>
      <c r="V31" s="136" t="s">
        <v>3125</v>
      </c>
      <c r="W31" s="135" t="s">
        <v>3126</v>
      </c>
      <c r="X31" s="135" t="s">
        <v>3011</v>
      </c>
      <c r="Y31" s="135"/>
      <c r="Z31" s="135" t="s">
        <v>2873</v>
      </c>
      <c r="AA31" s="135" t="s">
        <v>2873</v>
      </c>
      <c r="AB31" s="135"/>
      <c r="AC31" s="135" t="s">
        <v>2873</v>
      </c>
      <c r="AD31" s="135"/>
      <c r="AE31" s="135"/>
      <c r="AF31" s="135"/>
      <c r="AG31" s="135"/>
      <c r="AH31" s="135" t="s">
        <v>2873</v>
      </c>
      <c r="AI31" s="135" t="s">
        <v>2873</v>
      </c>
      <c r="AJ31" s="135"/>
      <c r="AK31" s="135" t="s">
        <v>2873</v>
      </c>
      <c r="AL31" s="135" t="s">
        <v>2873</v>
      </c>
      <c r="AM31" s="135"/>
      <c r="AN31" s="135"/>
      <c r="AO31" s="135" t="s">
        <v>2873</v>
      </c>
      <c r="AP31" s="135" t="s">
        <v>2873</v>
      </c>
      <c r="AQ31" s="135" t="s">
        <v>2873</v>
      </c>
      <c r="AR31" s="135"/>
      <c r="AS31" s="135"/>
      <c r="AT31" s="135"/>
      <c r="AU31" s="135"/>
      <c r="AV31" s="135"/>
      <c r="AW31" s="135"/>
      <c r="AX31" s="135" t="s">
        <v>2873</v>
      </c>
      <c r="AY31" s="135" t="s">
        <v>2873</v>
      </c>
      <c r="AZ31" s="135"/>
      <c r="BA31" s="135" t="s">
        <v>2873</v>
      </c>
      <c r="BB31" s="135"/>
      <c r="BC31" s="135"/>
      <c r="BD31" s="135"/>
      <c r="BE31" s="135"/>
      <c r="BF31" s="135"/>
      <c r="BG31" s="135"/>
      <c r="BH31" s="135"/>
      <c r="BI31" s="135"/>
      <c r="BJ31" s="135"/>
      <c r="BK31" s="135" t="s">
        <v>2873</v>
      </c>
      <c r="BL31" s="135"/>
    </row>
    <row r="32">
      <c r="A32" s="128" t="s">
        <v>2760</v>
      </c>
      <c r="B32" s="137" t="s">
        <v>1442</v>
      </c>
      <c r="C32" s="130" t="s">
        <v>1441</v>
      </c>
      <c r="D32" s="130" t="s">
        <v>23</v>
      </c>
      <c r="E32" s="138">
        <v>2023.0</v>
      </c>
      <c r="F32" s="130">
        <f>-(892-901)</f>
        <v>9</v>
      </c>
      <c r="G32" s="131" t="s">
        <v>2678</v>
      </c>
      <c r="H32" s="132"/>
      <c r="I32" s="133" t="s">
        <v>3127</v>
      </c>
      <c r="J32" s="134" t="s">
        <v>2862</v>
      </c>
      <c r="K32" s="134" t="s">
        <v>3128</v>
      </c>
      <c r="L32" s="134" t="s">
        <v>2862</v>
      </c>
      <c r="M32" s="132" t="s">
        <v>3129</v>
      </c>
      <c r="N32" s="134" t="s">
        <v>2862</v>
      </c>
      <c r="O32" s="134" t="s">
        <v>3130</v>
      </c>
      <c r="P32" s="134" t="s">
        <v>2862</v>
      </c>
      <c r="Q32" s="134" t="s">
        <v>3131</v>
      </c>
      <c r="R32" s="134" t="s">
        <v>2862</v>
      </c>
      <c r="S32" s="134" t="s">
        <v>3132</v>
      </c>
      <c r="T32" s="135" t="s">
        <v>2999</v>
      </c>
      <c r="U32" s="136" t="s">
        <v>2930</v>
      </c>
      <c r="V32" s="135" t="s">
        <v>3133</v>
      </c>
      <c r="W32" s="135" t="s">
        <v>2914</v>
      </c>
      <c r="X32" s="136" t="s">
        <v>3134</v>
      </c>
      <c r="Y32" s="135"/>
      <c r="Z32" s="135"/>
      <c r="AA32" s="135"/>
      <c r="AB32" s="135"/>
      <c r="AC32" s="135" t="s">
        <v>2873</v>
      </c>
      <c r="AD32" s="135"/>
      <c r="AE32" s="135"/>
      <c r="AF32" s="135"/>
      <c r="AG32" s="135"/>
      <c r="AH32" s="135"/>
      <c r="AI32" s="135" t="s">
        <v>2873</v>
      </c>
      <c r="AJ32" s="135" t="s">
        <v>2873</v>
      </c>
      <c r="AK32" s="135" t="s">
        <v>2873</v>
      </c>
      <c r="AL32" s="135" t="s">
        <v>2873</v>
      </c>
      <c r="AM32" s="135"/>
      <c r="AN32" s="135"/>
      <c r="AO32" s="135" t="s">
        <v>2873</v>
      </c>
      <c r="AP32" s="135" t="s">
        <v>2873</v>
      </c>
      <c r="AQ32" s="135"/>
      <c r="AR32" s="135"/>
      <c r="AS32" s="135"/>
      <c r="AT32" s="135" t="s">
        <v>2873</v>
      </c>
      <c r="AU32" s="135"/>
      <c r="AV32" s="135"/>
      <c r="AW32" s="135"/>
      <c r="AX32" s="135" t="s">
        <v>2873</v>
      </c>
      <c r="AY32" s="135"/>
      <c r="AZ32" s="135"/>
      <c r="BA32" s="135"/>
      <c r="BB32" s="135"/>
      <c r="BC32" s="135"/>
      <c r="BD32" s="135"/>
      <c r="BE32" s="135"/>
      <c r="BF32" s="135"/>
      <c r="BG32" s="136" t="s">
        <v>3135</v>
      </c>
      <c r="BH32" s="135"/>
      <c r="BI32" s="135"/>
      <c r="BJ32" s="135"/>
      <c r="BK32" s="136" t="s">
        <v>3135</v>
      </c>
      <c r="BL32" s="135"/>
    </row>
    <row r="33">
      <c r="A33" s="128" t="s">
        <v>2761</v>
      </c>
      <c r="B33" s="129" t="s">
        <v>1978</v>
      </c>
      <c r="C33" s="130" t="s">
        <v>1977</v>
      </c>
      <c r="D33" s="130" t="s">
        <v>23</v>
      </c>
      <c r="E33" s="138">
        <v>2023.0</v>
      </c>
      <c r="F33" s="130">
        <f>-(60-91)</f>
        <v>31</v>
      </c>
      <c r="G33" s="140" t="s">
        <v>2607</v>
      </c>
      <c r="H33" s="132"/>
      <c r="I33" s="133" t="s">
        <v>3136</v>
      </c>
      <c r="J33" s="134" t="s">
        <v>2862</v>
      </c>
      <c r="K33" s="134" t="s">
        <v>3137</v>
      </c>
      <c r="L33" s="134" t="s">
        <v>2877</v>
      </c>
      <c r="M33" s="134" t="s">
        <v>3138</v>
      </c>
      <c r="N33" s="134" t="s">
        <v>2862</v>
      </c>
      <c r="O33" s="134" t="s">
        <v>3139</v>
      </c>
      <c r="P33" s="134" t="s">
        <v>2862</v>
      </c>
      <c r="Q33" s="134" t="s">
        <v>3140</v>
      </c>
      <c r="R33" s="134" t="s">
        <v>2862</v>
      </c>
      <c r="S33" s="134" t="s">
        <v>3141</v>
      </c>
      <c r="T33" s="135" t="s">
        <v>3142</v>
      </c>
      <c r="U33" s="136" t="s">
        <v>2930</v>
      </c>
      <c r="V33" s="135" t="s">
        <v>2941</v>
      </c>
      <c r="W33" s="135" t="s">
        <v>3143</v>
      </c>
      <c r="X33" s="136" t="s">
        <v>3144</v>
      </c>
      <c r="Y33" s="135" t="s">
        <v>2873</v>
      </c>
      <c r="Z33" s="135"/>
      <c r="AA33" s="135"/>
      <c r="AB33" s="135"/>
      <c r="AC33" s="135"/>
      <c r="AD33" s="135" t="s">
        <v>2873</v>
      </c>
      <c r="AE33" s="135"/>
      <c r="AF33" s="135"/>
      <c r="AG33" s="135"/>
      <c r="AH33" s="135"/>
      <c r="AI33" s="135" t="s">
        <v>2873</v>
      </c>
      <c r="AJ33" s="135" t="s">
        <v>2873</v>
      </c>
      <c r="AK33" s="135" t="s">
        <v>2873</v>
      </c>
      <c r="AL33" s="135" t="s">
        <v>2873</v>
      </c>
      <c r="AM33" s="135"/>
      <c r="AN33" s="135"/>
      <c r="AO33" s="135"/>
      <c r="AP33" s="135"/>
      <c r="AQ33" s="135" t="s">
        <v>2873</v>
      </c>
      <c r="AR33" s="135"/>
      <c r="AS33" s="135"/>
      <c r="AT33" s="135"/>
      <c r="AU33" s="135"/>
      <c r="AV33" s="135"/>
      <c r="AW33" s="135"/>
      <c r="AX33" s="135" t="s">
        <v>2873</v>
      </c>
      <c r="AY33" s="135" t="s">
        <v>2873</v>
      </c>
      <c r="AZ33" s="135"/>
      <c r="BA33" s="135"/>
      <c r="BB33" s="135"/>
      <c r="BC33" s="135"/>
      <c r="BD33" s="135"/>
      <c r="BE33" s="135"/>
      <c r="BF33" s="135"/>
      <c r="BG33" s="135" t="s">
        <v>2873</v>
      </c>
      <c r="BH33" s="135" t="s">
        <v>2873</v>
      </c>
      <c r="BI33" s="135"/>
      <c r="BJ33" s="135"/>
      <c r="BK33" s="135"/>
      <c r="BL33" s="135"/>
    </row>
    <row r="34">
      <c r="A34" s="128" t="s">
        <v>2762</v>
      </c>
      <c r="B34" s="129" t="s">
        <v>1994</v>
      </c>
      <c r="C34" s="130" t="s">
        <v>1993</v>
      </c>
      <c r="D34" s="130" t="s">
        <v>23</v>
      </c>
      <c r="E34" s="138">
        <v>2023.0</v>
      </c>
      <c r="F34" s="130">
        <f>-(230-259)</f>
        <v>29</v>
      </c>
      <c r="G34" s="140" t="s">
        <v>2607</v>
      </c>
      <c r="H34" s="132"/>
      <c r="I34" s="133" t="s">
        <v>3145</v>
      </c>
      <c r="J34" s="134" t="s">
        <v>2862</v>
      </c>
      <c r="K34" s="134" t="s">
        <v>3146</v>
      </c>
      <c r="L34" s="134" t="s">
        <v>2862</v>
      </c>
      <c r="M34" s="132" t="s">
        <v>3147</v>
      </c>
      <c r="N34" s="134" t="s">
        <v>2862</v>
      </c>
      <c r="O34" s="134" t="s">
        <v>3148</v>
      </c>
      <c r="P34" s="134" t="s">
        <v>2862</v>
      </c>
      <c r="Q34" s="134" t="s">
        <v>3149</v>
      </c>
      <c r="R34" s="134" t="s">
        <v>2862</v>
      </c>
      <c r="S34" s="134" t="s">
        <v>3150</v>
      </c>
      <c r="T34" s="135" t="s">
        <v>2902</v>
      </c>
      <c r="U34" s="136" t="s">
        <v>3151</v>
      </c>
      <c r="V34" s="135" t="s">
        <v>3152</v>
      </c>
      <c r="W34" s="135" t="s">
        <v>2914</v>
      </c>
      <c r="X34" s="136" t="s">
        <v>2895</v>
      </c>
      <c r="Y34" s="135"/>
      <c r="Z34" s="135" t="s">
        <v>2873</v>
      </c>
      <c r="AA34" s="135"/>
      <c r="AB34" s="135" t="s">
        <v>2873</v>
      </c>
      <c r="AC34" s="135"/>
      <c r="AD34" s="135"/>
      <c r="AE34" s="135"/>
      <c r="AF34" s="135"/>
      <c r="AG34" s="135"/>
      <c r="AH34" s="135" t="s">
        <v>2873</v>
      </c>
      <c r="AI34" s="135"/>
      <c r="AJ34" s="135"/>
      <c r="AK34" s="135" t="s">
        <v>2873</v>
      </c>
      <c r="AL34" s="135" t="s">
        <v>2873</v>
      </c>
      <c r="AM34" s="135" t="s">
        <v>2873</v>
      </c>
      <c r="AN34" s="135"/>
      <c r="AO34" s="135" t="s">
        <v>2873</v>
      </c>
      <c r="AP34" s="135" t="s">
        <v>2873</v>
      </c>
      <c r="AQ34" s="135" t="s">
        <v>2873</v>
      </c>
      <c r="AR34" s="135"/>
      <c r="AS34" s="135"/>
      <c r="AT34" s="135" t="s">
        <v>2873</v>
      </c>
      <c r="AU34" s="135"/>
      <c r="AV34" s="135"/>
      <c r="AW34" s="135"/>
      <c r="AX34" s="135" t="s">
        <v>2873</v>
      </c>
      <c r="AY34" s="135"/>
      <c r="AZ34" s="135"/>
      <c r="BA34" s="135"/>
      <c r="BB34" s="135"/>
      <c r="BC34" s="135"/>
      <c r="BD34" s="135"/>
      <c r="BE34" s="135"/>
      <c r="BF34" s="135"/>
      <c r="BG34" s="135" t="s">
        <v>2873</v>
      </c>
      <c r="BH34" s="135"/>
      <c r="BI34" s="135"/>
      <c r="BJ34" s="135"/>
      <c r="BK34" s="135"/>
      <c r="BL34" s="135"/>
    </row>
    <row r="35">
      <c r="A35" s="128" t="s">
        <v>2763</v>
      </c>
      <c r="B35" s="129" t="s">
        <v>2325</v>
      </c>
      <c r="C35" s="142" t="s">
        <v>2324</v>
      </c>
      <c r="D35" s="130" t="s">
        <v>2124</v>
      </c>
      <c r="E35" s="130">
        <v>2023.0</v>
      </c>
      <c r="F35" s="143">
        <v>19.0</v>
      </c>
      <c r="G35" s="140" t="s">
        <v>2608</v>
      </c>
      <c r="H35" s="132"/>
      <c r="I35" s="133" t="s">
        <v>3153</v>
      </c>
      <c r="J35" s="134" t="s">
        <v>2877</v>
      </c>
      <c r="K35" s="134" t="s">
        <v>3154</v>
      </c>
      <c r="L35" s="134" t="s">
        <v>2877</v>
      </c>
      <c r="M35" s="132" t="s">
        <v>3155</v>
      </c>
      <c r="N35" s="134" t="s">
        <v>2862</v>
      </c>
      <c r="O35" s="134" t="s">
        <v>3156</v>
      </c>
      <c r="P35" s="134" t="s">
        <v>2862</v>
      </c>
      <c r="Q35" s="134" t="s">
        <v>3157</v>
      </c>
      <c r="R35" s="134" t="s">
        <v>2862</v>
      </c>
      <c r="S35" s="134" t="s">
        <v>3158</v>
      </c>
      <c r="T35" s="135" t="s">
        <v>2920</v>
      </c>
      <c r="U35" s="136" t="s">
        <v>3124</v>
      </c>
      <c r="V35" s="135" t="s">
        <v>3000</v>
      </c>
      <c r="W35" s="135" t="s">
        <v>3159</v>
      </c>
      <c r="X35" s="136" t="s">
        <v>3160</v>
      </c>
      <c r="Y35" s="135" t="s">
        <v>2873</v>
      </c>
      <c r="Z35" s="135"/>
      <c r="AA35" s="135" t="s">
        <v>2873</v>
      </c>
      <c r="AB35" s="135" t="s">
        <v>2873</v>
      </c>
      <c r="AC35" s="135"/>
      <c r="AD35" s="135" t="s">
        <v>2873</v>
      </c>
      <c r="AE35" s="135"/>
      <c r="AF35" s="135"/>
      <c r="AG35" s="135"/>
      <c r="AH35" s="135" t="s">
        <v>2873</v>
      </c>
      <c r="AI35" s="135" t="s">
        <v>2873</v>
      </c>
      <c r="AJ35" s="135"/>
      <c r="AK35" s="135" t="s">
        <v>2873</v>
      </c>
      <c r="AL35" s="135" t="s">
        <v>2873</v>
      </c>
      <c r="AM35" s="135"/>
      <c r="AN35" s="135"/>
      <c r="AO35" s="135" t="s">
        <v>2873</v>
      </c>
      <c r="AP35" s="135"/>
      <c r="AQ35" s="135" t="s">
        <v>2873</v>
      </c>
      <c r="AR35" s="135"/>
      <c r="AS35" s="135" t="s">
        <v>2873</v>
      </c>
      <c r="AT35" s="135"/>
      <c r="AU35" s="135" t="s">
        <v>2873</v>
      </c>
      <c r="AV35" s="135"/>
      <c r="AW35" s="135"/>
      <c r="AX35" s="135" t="s">
        <v>2873</v>
      </c>
      <c r="AY35" s="135" t="s">
        <v>2873</v>
      </c>
      <c r="AZ35" s="135" t="s">
        <v>2873</v>
      </c>
      <c r="BA35" s="135" t="s">
        <v>2873</v>
      </c>
      <c r="BB35" s="135"/>
      <c r="BC35" s="135" t="s">
        <v>2873</v>
      </c>
      <c r="BD35" s="135"/>
      <c r="BE35" s="135"/>
      <c r="BF35" s="135"/>
      <c r="BG35" s="135" t="s">
        <v>2873</v>
      </c>
      <c r="BH35" s="135"/>
      <c r="BI35" s="135" t="s">
        <v>2873</v>
      </c>
      <c r="BJ35" s="135"/>
      <c r="BK35" s="135"/>
      <c r="BL35" s="135"/>
    </row>
    <row r="36">
      <c r="A36" s="128" t="s">
        <v>2764</v>
      </c>
      <c r="B36" s="129" t="s">
        <v>2494</v>
      </c>
      <c r="C36" s="142" t="s">
        <v>2493</v>
      </c>
      <c r="D36" s="130" t="s">
        <v>2117</v>
      </c>
      <c r="E36" s="130">
        <v>2023.0</v>
      </c>
      <c r="F36" s="143">
        <v>10.0</v>
      </c>
      <c r="G36" s="140" t="s">
        <v>2608</v>
      </c>
      <c r="I36" s="133" t="s">
        <v>3161</v>
      </c>
      <c r="J36" s="134" t="s">
        <v>2862</v>
      </c>
      <c r="K36" s="140" t="s">
        <v>3162</v>
      </c>
      <c r="L36" s="134" t="s">
        <v>2862</v>
      </c>
      <c r="M36" s="140" t="s">
        <v>3163</v>
      </c>
      <c r="N36" s="134" t="s">
        <v>2862</v>
      </c>
      <c r="O36" s="140" t="s">
        <v>3164</v>
      </c>
      <c r="P36" s="134" t="s">
        <v>2862</v>
      </c>
      <c r="Q36" s="140" t="s">
        <v>3165</v>
      </c>
      <c r="R36" s="134" t="s">
        <v>2862</v>
      </c>
      <c r="S36" s="140" t="s">
        <v>3166</v>
      </c>
      <c r="T36" s="135" t="s">
        <v>2912</v>
      </c>
      <c r="U36" s="135" t="s">
        <v>3167</v>
      </c>
      <c r="V36" s="135" t="s">
        <v>3168</v>
      </c>
      <c r="W36" s="135" t="s">
        <v>3010</v>
      </c>
      <c r="X36" s="135" t="s">
        <v>3169</v>
      </c>
      <c r="Y36" s="135" t="s">
        <v>2873</v>
      </c>
      <c r="Z36" s="135" t="s">
        <v>2873</v>
      </c>
      <c r="AA36" s="135"/>
      <c r="AB36" s="135" t="s">
        <v>2873</v>
      </c>
      <c r="AC36" s="135"/>
      <c r="AD36" s="135"/>
      <c r="AE36" s="135"/>
      <c r="AF36" s="135"/>
      <c r="AG36" s="135"/>
      <c r="AH36" s="135" t="s">
        <v>2873</v>
      </c>
      <c r="AI36" s="135"/>
      <c r="AJ36" s="135"/>
      <c r="AK36" s="135" t="s">
        <v>2873</v>
      </c>
      <c r="AL36" s="135"/>
      <c r="AM36" s="135"/>
      <c r="AN36" s="135"/>
      <c r="AO36" s="135" t="s">
        <v>2873</v>
      </c>
      <c r="AP36" s="135"/>
      <c r="AQ36" s="135" t="s">
        <v>2873</v>
      </c>
      <c r="AR36" s="135" t="s">
        <v>2873</v>
      </c>
      <c r="AS36" s="135"/>
      <c r="AT36" s="135" t="s">
        <v>2873</v>
      </c>
      <c r="AU36" s="135"/>
      <c r="AV36" s="135" t="s">
        <v>2873</v>
      </c>
      <c r="AW36" s="135"/>
      <c r="AX36" s="135"/>
      <c r="AY36" s="135"/>
      <c r="AZ36" s="135"/>
      <c r="BA36" s="135"/>
      <c r="BB36" s="135"/>
      <c r="BC36" s="135" t="s">
        <v>2873</v>
      </c>
      <c r="BD36" s="135"/>
      <c r="BE36" s="135"/>
      <c r="BF36" s="135"/>
      <c r="BG36" s="135" t="s">
        <v>2873</v>
      </c>
      <c r="BH36" s="135" t="s">
        <v>2873</v>
      </c>
      <c r="BI36" s="135"/>
      <c r="BJ36" s="135"/>
      <c r="BK36" s="135"/>
      <c r="BL36" s="135"/>
    </row>
    <row r="37">
      <c r="A37" s="128" t="s">
        <v>2765</v>
      </c>
      <c r="B37" s="129" t="s">
        <v>31</v>
      </c>
      <c r="C37" s="130" t="s">
        <v>30</v>
      </c>
      <c r="D37" s="130" t="s">
        <v>23</v>
      </c>
      <c r="E37" s="130">
        <v>2024.0</v>
      </c>
      <c r="F37" s="130">
        <f>-(585-605)</f>
        <v>20</v>
      </c>
      <c r="G37" s="131" t="s">
        <v>2604</v>
      </c>
      <c r="H37" s="132"/>
      <c r="I37" s="133" t="s">
        <v>3170</v>
      </c>
      <c r="J37" s="134" t="s">
        <v>2862</v>
      </c>
      <c r="K37" s="144" t="s">
        <v>3171</v>
      </c>
      <c r="L37" s="134" t="s">
        <v>2862</v>
      </c>
      <c r="M37" s="140" t="s">
        <v>3172</v>
      </c>
      <c r="N37" s="134" t="s">
        <v>2862</v>
      </c>
      <c r="O37" s="140" t="s">
        <v>3173</v>
      </c>
      <c r="P37" s="134" t="s">
        <v>2862</v>
      </c>
      <c r="Q37" s="140" t="s">
        <v>3174</v>
      </c>
      <c r="R37" s="134" t="s">
        <v>2862</v>
      </c>
      <c r="S37" s="140" t="s">
        <v>3175</v>
      </c>
      <c r="T37" s="135" t="s">
        <v>3176</v>
      </c>
      <c r="U37" s="136" t="s">
        <v>3124</v>
      </c>
      <c r="V37" s="135" t="s">
        <v>3055</v>
      </c>
      <c r="W37" s="135" t="s">
        <v>3143</v>
      </c>
      <c r="X37" s="136" t="s">
        <v>2943</v>
      </c>
      <c r="Y37" s="135" t="s">
        <v>2873</v>
      </c>
      <c r="Z37" s="135" t="s">
        <v>2873</v>
      </c>
      <c r="AA37" s="135" t="s">
        <v>2873</v>
      </c>
      <c r="AB37" s="135" t="s">
        <v>2873</v>
      </c>
      <c r="AC37" s="135"/>
      <c r="AD37" s="135"/>
      <c r="AE37" s="135"/>
      <c r="AF37" s="135"/>
      <c r="AG37" s="135"/>
      <c r="AH37" s="135" t="s">
        <v>2873</v>
      </c>
      <c r="AI37" s="135" t="s">
        <v>2873</v>
      </c>
      <c r="AJ37" s="135"/>
      <c r="AK37" s="135" t="s">
        <v>2873</v>
      </c>
      <c r="AL37" s="135" t="s">
        <v>2873</v>
      </c>
      <c r="AM37" s="135"/>
      <c r="AN37" s="135"/>
      <c r="AO37" s="135" t="s">
        <v>2873</v>
      </c>
      <c r="AP37" s="135"/>
      <c r="AQ37" s="135" t="s">
        <v>2873</v>
      </c>
      <c r="AR37" s="135"/>
      <c r="AS37" s="135"/>
      <c r="AT37" s="135"/>
      <c r="AU37" s="135"/>
      <c r="AV37" s="135"/>
      <c r="AW37" s="135"/>
      <c r="AX37" s="135" t="s">
        <v>2873</v>
      </c>
      <c r="AY37" s="135" t="s">
        <v>2873</v>
      </c>
      <c r="AZ37" s="135"/>
      <c r="BA37" s="135"/>
      <c r="BB37" s="135"/>
      <c r="BC37" s="135"/>
      <c r="BD37" s="135"/>
      <c r="BE37" s="135"/>
      <c r="BF37" s="135"/>
      <c r="BG37" s="135" t="s">
        <v>2873</v>
      </c>
      <c r="BH37" s="135" t="s">
        <v>2873</v>
      </c>
      <c r="BI37" s="135"/>
      <c r="BJ37" s="135"/>
      <c r="BK37" s="135" t="s">
        <v>2873</v>
      </c>
      <c r="BL37" s="135"/>
    </row>
    <row r="38">
      <c r="A38" s="128" t="s">
        <v>2766</v>
      </c>
      <c r="B38" s="129" t="s">
        <v>76</v>
      </c>
      <c r="C38" s="130" t="s">
        <v>75</v>
      </c>
      <c r="D38" s="130" t="s">
        <v>23</v>
      </c>
      <c r="E38" s="130">
        <v>2024.0</v>
      </c>
      <c r="F38" s="130">
        <f>-(457-500)</f>
        <v>43</v>
      </c>
      <c r="G38" s="131" t="s">
        <v>2604</v>
      </c>
      <c r="H38" s="132"/>
      <c r="I38" s="133" t="s">
        <v>3177</v>
      </c>
      <c r="J38" s="134" t="s">
        <v>2862</v>
      </c>
      <c r="K38" s="134" t="s">
        <v>3178</v>
      </c>
      <c r="L38" s="134" t="s">
        <v>2862</v>
      </c>
      <c r="M38" s="132" t="s">
        <v>3179</v>
      </c>
      <c r="N38" s="134" t="s">
        <v>2862</v>
      </c>
      <c r="O38" s="134" t="s">
        <v>3180</v>
      </c>
      <c r="P38" s="134" t="s">
        <v>2862</v>
      </c>
      <c r="Q38" s="134" t="s">
        <v>3181</v>
      </c>
      <c r="R38" s="134" t="s">
        <v>2862</v>
      </c>
      <c r="S38" s="134" t="s">
        <v>3182</v>
      </c>
      <c r="T38" s="135" t="s">
        <v>3176</v>
      </c>
      <c r="U38" s="136" t="s">
        <v>3183</v>
      </c>
      <c r="V38" s="135" t="s">
        <v>3184</v>
      </c>
      <c r="W38" s="135" t="s">
        <v>3185</v>
      </c>
      <c r="X38" s="135" t="s">
        <v>2982</v>
      </c>
      <c r="Y38" s="135" t="s">
        <v>2873</v>
      </c>
      <c r="Z38" s="135" t="s">
        <v>2873</v>
      </c>
      <c r="AA38" s="135" t="s">
        <v>2873</v>
      </c>
      <c r="AB38" s="135" t="s">
        <v>2873</v>
      </c>
      <c r="AC38" s="135"/>
      <c r="AD38" s="135"/>
      <c r="AE38" s="135"/>
      <c r="AF38" s="135"/>
      <c r="AG38" s="135"/>
      <c r="AH38" s="135"/>
      <c r="AI38" s="135"/>
      <c r="AJ38" s="135" t="s">
        <v>2873</v>
      </c>
      <c r="AK38" s="135" t="s">
        <v>2873</v>
      </c>
      <c r="AL38" s="135" t="s">
        <v>2873</v>
      </c>
      <c r="AM38" s="135"/>
      <c r="AN38" s="135"/>
      <c r="AO38" s="135"/>
      <c r="AP38" s="135"/>
      <c r="AQ38" s="135"/>
      <c r="AR38" s="135" t="s">
        <v>2873</v>
      </c>
      <c r="AS38" s="135"/>
      <c r="AT38" s="135"/>
      <c r="AU38" s="135" t="s">
        <v>2873</v>
      </c>
      <c r="AV38" s="135"/>
      <c r="AW38" s="135"/>
      <c r="AX38" s="135"/>
      <c r="AY38" s="135" t="s">
        <v>2873</v>
      </c>
      <c r="AZ38" s="135"/>
      <c r="BA38" s="135"/>
      <c r="BB38" s="135"/>
      <c r="BC38" s="135"/>
      <c r="BD38" s="135"/>
      <c r="BE38" s="135"/>
      <c r="BF38" s="135"/>
      <c r="BG38" s="135" t="s">
        <v>2873</v>
      </c>
      <c r="BH38" s="135"/>
      <c r="BI38" s="135"/>
      <c r="BJ38" s="135"/>
      <c r="BK38" s="135"/>
      <c r="BL38" s="135"/>
    </row>
    <row r="39">
      <c r="A39" s="128" t="s">
        <v>2767</v>
      </c>
      <c r="B39" s="129" t="s">
        <v>250</v>
      </c>
      <c r="C39" s="130" t="s">
        <v>249</v>
      </c>
      <c r="D39" s="130" t="s">
        <v>23</v>
      </c>
      <c r="E39" s="130">
        <v>2024.0</v>
      </c>
      <c r="F39" s="130">
        <f>-(501-525)</f>
        <v>24</v>
      </c>
      <c r="G39" s="131" t="s">
        <v>2604</v>
      </c>
      <c r="H39" s="132"/>
      <c r="I39" s="133" t="s">
        <v>3186</v>
      </c>
      <c r="J39" s="134" t="s">
        <v>2862</v>
      </c>
      <c r="K39" s="145" t="s">
        <v>3187</v>
      </c>
      <c r="L39" s="134" t="s">
        <v>2862</v>
      </c>
      <c r="M39" s="146" t="s">
        <v>3188</v>
      </c>
      <c r="N39" s="134" t="s">
        <v>2862</v>
      </c>
      <c r="O39" s="145" t="s">
        <v>3189</v>
      </c>
      <c r="P39" s="134" t="s">
        <v>2877</v>
      </c>
      <c r="Q39" s="134" t="s">
        <v>3190</v>
      </c>
      <c r="R39" s="134" t="s">
        <v>2862</v>
      </c>
      <c r="S39" s="134" t="s">
        <v>3191</v>
      </c>
      <c r="T39" s="135" t="s">
        <v>3007</v>
      </c>
      <c r="U39" s="135" t="s">
        <v>3167</v>
      </c>
      <c r="V39" s="135" t="s">
        <v>3192</v>
      </c>
      <c r="W39" s="135" t="s">
        <v>3193</v>
      </c>
      <c r="X39" s="135" t="s">
        <v>3011</v>
      </c>
      <c r="Y39" s="135" t="s">
        <v>2873</v>
      </c>
      <c r="Z39" s="135"/>
      <c r="AA39" s="135" t="s">
        <v>2873</v>
      </c>
      <c r="AB39" s="135" t="s">
        <v>2873</v>
      </c>
      <c r="AC39" s="135"/>
      <c r="AD39" s="135"/>
      <c r="AE39" s="135"/>
      <c r="AF39" s="135"/>
      <c r="AG39" s="135"/>
      <c r="AH39" s="135" t="s">
        <v>2873</v>
      </c>
      <c r="AI39" s="135"/>
      <c r="AJ39" s="135"/>
      <c r="AK39" s="135" t="s">
        <v>2873</v>
      </c>
      <c r="AL39" s="135"/>
      <c r="AM39" s="135"/>
      <c r="AN39" s="135"/>
      <c r="AO39" s="135" t="s">
        <v>2873</v>
      </c>
      <c r="AP39" s="135" t="s">
        <v>2873</v>
      </c>
      <c r="AQ39" s="135" t="s">
        <v>2873</v>
      </c>
      <c r="AR39" s="135" t="s">
        <v>2873</v>
      </c>
      <c r="AS39" s="135"/>
      <c r="AT39" s="135"/>
      <c r="AU39" s="135"/>
      <c r="AV39" s="135"/>
      <c r="AW39" s="135"/>
      <c r="AX39" s="135"/>
      <c r="AY39" s="135" t="s">
        <v>2873</v>
      </c>
      <c r="AZ39" s="135"/>
      <c r="BA39" s="135"/>
      <c r="BB39" s="135"/>
      <c r="BC39" s="135"/>
      <c r="BD39" s="135" t="s">
        <v>2873</v>
      </c>
      <c r="BE39" s="135"/>
      <c r="BF39" s="135"/>
      <c r="BG39" s="135"/>
      <c r="BH39" s="135"/>
      <c r="BI39" s="135"/>
      <c r="BJ39" s="135"/>
      <c r="BK39" s="135" t="s">
        <v>2873</v>
      </c>
      <c r="BL39" s="135"/>
    </row>
    <row r="40">
      <c r="A40" s="128" t="s">
        <v>2768</v>
      </c>
      <c r="B40" s="129" t="s">
        <v>822</v>
      </c>
      <c r="C40" s="130" t="s">
        <v>820</v>
      </c>
      <c r="D40" s="130" t="s">
        <v>821</v>
      </c>
      <c r="E40" s="130">
        <v>2024.0</v>
      </c>
      <c r="F40" s="130">
        <f>-(237-242)</f>
        <v>5</v>
      </c>
      <c r="G40" s="131" t="s">
        <v>2605</v>
      </c>
      <c r="H40" s="132"/>
      <c r="I40" s="133" t="s">
        <v>3194</v>
      </c>
      <c r="J40" s="134" t="s">
        <v>2877</v>
      </c>
      <c r="K40" s="134" t="s">
        <v>3195</v>
      </c>
      <c r="L40" s="134" t="s">
        <v>2862</v>
      </c>
      <c r="M40" s="132" t="s">
        <v>3196</v>
      </c>
      <c r="N40" s="134" t="s">
        <v>2877</v>
      </c>
      <c r="O40" s="134" t="s">
        <v>3197</v>
      </c>
      <c r="P40" s="134" t="s">
        <v>2862</v>
      </c>
      <c r="Q40" s="134" t="s">
        <v>3198</v>
      </c>
      <c r="R40" s="134" t="s">
        <v>2862</v>
      </c>
      <c r="S40" s="140" t="s">
        <v>3199</v>
      </c>
      <c r="T40" s="135" t="s">
        <v>3018</v>
      </c>
      <c r="U40" s="136" t="s">
        <v>2869</v>
      </c>
      <c r="V40" s="135" t="s">
        <v>3200</v>
      </c>
      <c r="W40" s="135" t="s">
        <v>2914</v>
      </c>
      <c r="X40" s="136" t="s">
        <v>3201</v>
      </c>
      <c r="Y40" s="135"/>
      <c r="Z40" s="135" t="s">
        <v>2873</v>
      </c>
      <c r="AA40" s="135" t="s">
        <v>2873</v>
      </c>
      <c r="AB40" s="135" t="s">
        <v>2873</v>
      </c>
      <c r="AC40" s="135" t="s">
        <v>2873</v>
      </c>
      <c r="AD40" s="135" t="s">
        <v>2873</v>
      </c>
      <c r="AE40" s="135"/>
      <c r="AF40" s="135"/>
      <c r="AG40" s="135"/>
      <c r="AH40" s="135" t="s">
        <v>2873</v>
      </c>
      <c r="AI40" s="135" t="s">
        <v>2873</v>
      </c>
      <c r="AJ40" s="135" t="s">
        <v>2873</v>
      </c>
      <c r="AK40" s="135" t="s">
        <v>2873</v>
      </c>
      <c r="AL40" s="135" t="s">
        <v>2873</v>
      </c>
      <c r="AM40" s="135"/>
      <c r="AN40" s="135"/>
      <c r="AO40" s="135" t="s">
        <v>2873</v>
      </c>
      <c r="AP40" s="135"/>
      <c r="AQ40" s="135"/>
      <c r="AR40" s="135" t="s">
        <v>2873</v>
      </c>
      <c r="AS40" s="135"/>
      <c r="AT40" s="135" t="s">
        <v>2873</v>
      </c>
      <c r="AU40" s="135"/>
      <c r="AV40" s="135"/>
      <c r="AW40" s="135"/>
      <c r="AX40" s="135" t="s">
        <v>2873</v>
      </c>
      <c r="AY40" s="135"/>
      <c r="AZ40" s="135"/>
      <c r="BA40" s="135"/>
      <c r="BB40" s="135"/>
      <c r="BC40" s="135"/>
      <c r="BD40" s="135"/>
      <c r="BE40" s="135"/>
      <c r="BF40" s="135"/>
      <c r="BG40" s="135" t="s">
        <v>2873</v>
      </c>
      <c r="BH40" s="135"/>
      <c r="BI40" s="135" t="s">
        <v>2873</v>
      </c>
      <c r="BJ40" s="135" t="s">
        <v>2873</v>
      </c>
      <c r="BK40" s="135"/>
      <c r="BL40" s="135"/>
    </row>
    <row r="41">
      <c r="A41" s="128" t="s">
        <v>2769</v>
      </c>
      <c r="B41" s="137" t="s">
        <v>1411</v>
      </c>
      <c r="C41" s="130" t="s">
        <v>1410</v>
      </c>
      <c r="D41" s="130" t="s">
        <v>23</v>
      </c>
      <c r="E41" s="138">
        <v>2024.0</v>
      </c>
      <c r="F41" s="130">
        <f>-(2030-2037)</f>
        <v>7</v>
      </c>
      <c r="G41" s="131" t="s">
        <v>2678</v>
      </c>
      <c r="H41" s="132"/>
      <c r="I41" s="133" t="s">
        <v>3202</v>
      </c>
      <c r="J41" s="134" t="s">
        <v>2877</v>
      </c>
      <c r="K41" s="134" t="s">
        <v>3203</v>
      </c>
      <c r="L41" s="134" t="s">
        <v>2862</v>
      </c>
      <c r="M41" s="132" t="s">
        <v>3204</v>
      </c>
      <c r="N41" s="134" t="s">
        <v>2862</v>
      </c>
      <c r="O41" s="134" t="s">
        <v>3205</v>
      </c>
      <c r="P41" s="134" t="s">
        <v>2877</v>
      </c>
      <c r="Q41" s="134" t="s">
        <v>3206</v>
      </c>
      <c r="R41" s="134" t="s">
        <v>2862</v>
      </c>
      <c r="S41" s="134" t="s">
        <v>3207</v>
      </c>
      <c r="T41" s="135" t="s">
        <v>3208</v>
      </c>
      <c r="U41" s="136" t="s">
        <v>3209</v>
      </c>
      <c r="V41" s="135" t="s">
        <v>3085</v>
      </c>
      <c r="W41" s="135" t="s">
        <v>3210</v>
      </c>
      <c r="X41" s="136" t="s">
        <v>3211</v>
      </c>
      <c r="Y41" s="135" t="s">
        <v>2873</v>
      </c>
      <c r="Z41" s="135" t="s">
        <v>2873</v>
      </c>
      <c r="AA41" s="135" t="s">
        <v>2873</v>
      </c>
      <c r="AB41" s="135" t="s">
        <v>2873</v>
      </c>
      <c r="AC41" s="135" t="s">
        <v>2873</v>
      </c>
      <c r="AD41" s="135" t="s">
        <v>2873</v>
      </c>
      <c r="AE41" s="135"/>
      <c r="AF41" s="135"/>
      <c r="AG41" s="135"/>
      <c r="AH41" s="135" t="s">
        <v>2873</v>
      </c>
      <c r="AI41" s="135" t="s">
        <v>2873</v>
      </c>
      <c r="AJ41" s="135" t="s">
        <v>2873</v>
      </c>
      <c r="AK41" s="135"/>
      <c r="AL41" s="135"/>
      <c r="AM41" s="135"/>
      <c r="AN41" s="135"/>
      <c r="AO41" s="135" t="s">
        <v>2873</v>
      </c>
      <c r="AP41" s="135"/>
      <c r="AQ41" s="135"/>
      <c r="AR41" s="135" t="s">
        <v>2873</v>
      </c>
      <c r="AS41" s="135" t="s">
        <v>2873</v>
      </c>
      <c r="AT41" s="135"/>
      <c r="AU41" s="135"/>
      <c r="AV41" s="135"/>
      <c r="AW41" s="135"/>
      <c r="AX41" s="135"/>
      <c r="AY41" s="135"/>
      <c r="AZ41" s="135"/>
      <c r="BA41" s="135" t="s">
        <v>2873</v>
      </c>
      <c r="BB41" s="135"/>
      <c r="BC41" s="135"/>
      <c r="BD41" s="135"/>
      <c r="BE41" s="135"/>
      <c r="BF41" s="135" t="s">
        <v>2873</v>
      </c>
      <c r="BG41" s="135"/>
      <c r="BH41" s="135"/>
      <c r="BI41" s="135"/>
      <c r="BJ41" s="135"/>
      <c r="BK41" s="135"/>
      <c r="BL41" s="135"/>
    </row>
    <row r="42">
      <c r="A42" s="128" t="s">
        <v>2770</v>
      </c>
      <c r="B42" s="129" t="s">
        <v>1675</v>
      </c>
      <c r="C42" s="130" t="s">
        <v>1674</v>
      </c>
      <c r="D42" s="130" t="s">
        <v>23</v>
      </c>
      <c r="E42" s="138">
        <v>2024.0</v>
      </c>
      <c r="F42" s="130">
        <f>-(3165-3191)</f>
        <v>26</v>
      </c>
      <c r="G42" s="140" t="s">
        <v>2607</v>
      </c>
      <c r="H42" s="132"/>
      <c r="I42" s="133" t="s">
        <v>3212</v>
      </c>
      <c r="J42" s="134" t="s">
        <v>2862</v>
      </c>
      <c r="K42" s="134" t="s">
        <v>3213</v>
      </c>
      <c r="L42" s="134" t="s">
        <v>2862</v>
      </c>
      <c r="M42" s="132" t="s">
        <v>3214</v>
      </c>
      <c r="N42" s="134" t="s">
        <v>2862</v>
      </c>
      <c r="O42" s="134" t="s">
        <v>3215</v>
      </c>
      <c r="P42" s="134" t="s">
        <v>2862</v>
      </c>
      <c r="Q42" s="134" t="s">
        <v>3216</v>
      </c>
      <c r="R42" s="134" t="s">
        <v>2862</v>
      </c>
      <c r="S42" s="134" t="s">
        <v>3217</v>
      </c>
      <c r="T42" s="135" t="s">
        <v>2912</v>
      </c>
      <c r="U42" s="136" t="s">
        <v>3218</v>
      </c>
      <c r="V42" s="135" t="s">
        <v>3219</v>
      </c>
      <c r="W42" s="135" t="s">
        <v>2922</v>
      </c>
      <c r="X42" s="135" t="s">
        <v>3220</v>
      </c>
      <c r="Y42" s="135" t="s">
        <v>2873</v>
      </c>
      <c r="Z42" s="135" t="s">
        <v>2873</v>
      </c>
      <c r="AA42" s="135"/>
      <c r="AB42" s="135" t="s">
        <v>2873</v>
      </c>
      <c r="AC42" s="135"/>
      <c r="AD42" s="135"/>
      <c r="AE42" s="135"/>
      <c r="AF42" s="135"/>
      <c r="AG42" s="135"/>
      <c r="AH42" s="135"/>
      <c r="AI42" s="135" t="s">
        <v>2873</v>
      </c>
      <c r="AJ42" s="135"/>
      <c r="AK42" s="135" t="s">
        <v>2873</v>
      </c>
      <c r="AL42" s="135" t="s">
        <v>2873</v>
      </c>
      <c r="AM42" s="135"/>
      <c r="AN42" s="135"/>
      <c r="AO42" s="135" t="s">
        <v>2873</v>
      </c>
      <c r="AP42" s="135"/>
      <c r="AQ42" s="135" t="s">
        <v>2873</v>
      </c>
      <c r="AR42" s="135" t="s">
        <v>2873</v>
      </c>
      <c r="AS42" s="135"/>
      <c r="AT42" s="135"/>
      <c r="AU42" s="135"/>
      <c r="AV42" s="135"/>
      <c r="AW42" s="135"/>
      <c r="AX42" s="135"/>
      <c r="AY42" s="135"/>
      <c r="AZ42" s="135"/>
      <c r="BA42" s="135"/>
      <c r="BB42" s="135" t="s">
        <v>2873</v>
      </c>
      <c r="BC42" s="135"/>
      <c r="BD42" s="135"/>
      <c r="BE42" s="135"/>
      <c r="BF42" s="135"/>
      <c r="BG42" s="135" t="s">
        <v>2873</v>
      </c>
      <c r="BH42" s="135" t="s">
        <v>2873</v>
      </c>
      <c r="BI42" s="135"/>
      <c r="BJ42" s="135"/>
      <c r="BK42" s="135" t="s">
        <v>2873</v>
      </c>
      <c r="BL42" s="135"/>
    </row>
    <row r="43">
      <c r="A43" s="128" t="s">
        <v>2771</v>
      </c>
      <c r="B43" s="129" t="s">
        <v>1481</v>
      </c>
      <c r="C43" s="130" t="s">
        <v>1480</v>
      </c>
      <c r="D43" s="130" t="s">
        <v>23</v>
      </c>
      <c r="E43" s="138">
        <v>2024.0</v>
      </c>
      <c r="F43" s="130">
        <f>-(799-842)</f>
        <v>43</v>
      </c>
      <c r="G43" s="140" t="s">
        <v>2607</v>
      </c>
      <c r="H43" s="132"/>
      <c r="I43" s="133" t="s">
        <v>3221</v>
      </c>
      <c r="J43" s="134" t="s">
        <v>2862</v>
      </c>
      <c r="K43" s="134" t="s">
        <v>3222</v>
      </c>
      <c r="L43" s="134" t="s">
        <v>2862</v>
      </c>
      <c r="M43" s="132" t="s">
        <v>3223</v>
      </c>
      <c r="N43" s="134" t="s">
        <v>2862</v>
      </c>
      <c r="O43" s="134" t="s">
        <v>3224</v>
      </c>
      <c r="P43" s="134" t="s">
        <v>2862</v>
      </c>
      <c r="Q43" s="134" t="s">
        <v>3225</v>
      </c>
      <c r="R43" s="134" t="s">
        <v>2862</v>
      </c>
      <c r="S43" s="134" t="s">
        <v>3226</v>
      </c>
      <c r="T43" s="135" t="s">
        <v>3227</v>
      </c>
      <c r="U43" s="136" t="s">
        <v>3062</v>
      </c>
      <c r="V43" s="136" t="s">
        <v>3228</v>
      </c>
      <c r="W43" s="54" t="s">
        <v>3229</v>
      </c>
      <c r="X43" s="136" t="s">
        <v>3160</v>
      </c>
      <c r="Y43" s="135" t="s">
        <v>2873</v>
      </c>
      <c r="Z43" s="135"/>
      <c r="AA43" s="135" t="s">
        <v>2873</v>
      </c>
      <c r="AB43" s="135"/>
      <c r="AC43" s="135"/>
      <c r="AD43" s="135" t="s">
        <v>2873</v>
      </c>
      <c r="AE43" s="135" t="s">
        <v>2873</v>
      </c>
      <c r="AF43" s="135"/>
      <c r="AG43" s="135"/>
      <c r="AH43" s="135" t="s">
        <v>2873</v>
      </c>
      <c r="AI43" s="135" t="s">
        <v>2873</v>
      </c>
      <c r="AJ43" s="135" t="s">
        <v>2873</v>
      </c>
      <c r="AK43" s="135" t="s">
        <v>2873</v>
      </c>
      <c r="AL43" s="135" t="s">
        <v>2873</v>
      </c>
      <c r="AM43" s="135" t="s">
        <v>2873</v>
      </c>
      <c r="AN43" s="135"/>
      <c r="AO43" s="135" t="s">
        <v>2873</v>
      </c>
      <c r="AP43" s="135"/>
      <c r="AQ43" s="135"/>
      <c r="AR43" s="135"/>
      <c r="AS43" s="135" t="s">
        <v>2873</v>
      </c>
      <c r="AT43" s="135"/>
      <c r="AU43" s="135"/>
      <c r="AV43" s="135"/>
      <c r="AW43" s="135"/>
      <c r="AX43" s="135"/>
      <c r="AY43" s="135"/>
      <c r="AZ43" s="135" t="s">
        <v>2873</v>
      </c>
      <c r="BA43" s="135" t="s">
        <v>2873</v>
      </c>
      <c r="BB43" s="135"/>
      <c r="BC43" s="135"/>
      <c r="BD43" s="135"/>
      <c r="BE43" s="135"/>
      <c r="BF43" s="135"/>
      <c r="BG43" s="135" t="s">
        <v>2873</v>
      </c>
      <c r="BH43" s="135"/>
      <c r="BI43" s="135" t="s">
        <v>2873</v>
      </c>
      <c r="BJ43" s="135"/>
      <c r="BK43" s="135"/>
      <c r="BL43" s="135"/>
    </row>
    <row r="44">
      <c r="A44" s="128" t="s">
        <v>2772</v>
      </c>
      <c r="B44" s="129" t="s">
        <v>1473</v>
      </c>
      <c r="C44" s="130" t="s">
        <v>1472</v>
      </c>
      <c r="D44" s="130" t="s">
        <v>23</v>
      </c>
      <c r="E44" s="138">
        <v>2024.0</v>
      </c>
      <c r="F44" s="130">
        <f>-(843-859)</f>
        <v>16</v>
      </c>
      <c r="G44" s="140" t="s">
        <v>2607</v>
      </c>
      <c r="H44" s="132"/>
      <c r="I44" s="133" t="s">
        <v>3230</v>
      </c>
      <c r="J44" s="134" t="s">
        <v>2877</v>
      </c>
      <c r="K44" s="134" t="s">
        <v>3231</v>
      </c>
      <c r="L44" s="134" t="s">
        <v>2877</v>
      </c>
      <c r="M44" s="132" t="s">
        <v>3232</v>
      </c>
      <c r="N44" s="134" t="s">
        <v>2862</v>
      </c>
      <c r="O44" s="134" t="s">
        <v>3233</v>
      </c>
      <c r="P44" s="134" t="s">
        <v>2877</v>
      </c>
      <c r="Q44" s="134" t="s">
        <v>3234</v>
      </c>
      <c r="R44" s="134" t="s">
        <v>2862</v>
      </c>
      <c r="S44" s="134" t="s">
        <v>3235</v>
      </c>
      <c r="T44" s="135" t="s">
        <v>3236</v>
      </c>
      <c r="U44" s="136" t="s">
        <v>3237</v>
      </c>
      <c r="V44" s="136" t="s">
        <v>2981</v>
      </c>
      <c r="W44" s="135" t="s">
        <v>3238</v>
      </c>
      <c r="X44" s="136" t="s">
        <v>3144</v>
      </c>
      <c r="Y44" s="135" t="s">
        <v>2873</v>
      </c>
      <c r="Z44" s="135"/>
      <c r="AA44" s="135" t="s">
        <v>2873</v>
      </c>
      <c r="AB44" s="135" t="s">
        <v>2873</v>
      </c>
      <c r="AC44" s="135" t="s">
        <v>2873</v>
      </c>
      <c r="AD44" s="135" t="s">
        <v>2873</v>
      </c>
      <c r="AE44" s="135"/>
      <c r="AF44" s="135"/>
      <c r="AG44" s="135"/>
      <c r="AH44" s="135" t="s">
        <v>2873</v>
      </c>
      <c r="AI44" s="135"/>
      <c r="AJ44" s="135" t="s">
        <v>2873</v>
      </c>
      <c r="AK44" s="135" t="s">
        <v>2873</v>
      </c>
      <c r="AL44" s="135" t="s">
        <v>2873</v>
      </c>
      <c r="AM44" s="135"/>
      <c r="AN44" s="135"/>
      <c r="AO44" s="135" t="s">
        <v>2873</v>
      </c>
      <c r="AP44" s="135"/>
      <c r="AQ44" s="135"/>
      <c r="AR44" s="135" t="s">
        <v>2873</v>
      </c>
      <c r="AS44" s="135"/>
      <c r="AT44" s="135"/>
      <c r="AU44" s="135" t="s">
        <v>2873</v>
      </c>
      <c r="AV44" s="135"/>
      <c r="AW44" s="135"/>
      <c r="AX44" s="135" t="s">
        <v>2873</v>
      </c>
      <c r="AY44" s="135"/>
      <c r="AZ44" s="135" t="s">
        <v>2873</v>
      </c>
      <c r="BA44" s="135"/>
      <c r="BB44" s="135"/>
      <c r="BC44" s="135"/>
      <c r="BD44" s="135"/>
      <c r="BE44" s="135"/>
      <c r="BF44" s="135"/>
      <c r="BG44" s="135" t="s">
        <v>2873</v>
      </c>
      <c r="BH44" s="135" t="s">
        <v>2873</v>
      </c>
      <c r="BI44" s="135"/>
      <c r="BJ44" s="135"/>
      <c r="BK44" s="135"/>
      <c r="BL44" s="135"/>
    </row>
    <row r="45">
      <c r="A45" s="128" t="s">
        <v>2773</v>
      </c>
      <c r="B45" s="129" t="s">
        <v>1963</v>
      </c>
      <c r="C45" s="130" t="s">
        <v>1962</v>
      </c>
      <c r="D45" s="130" t="s">
        <v>23</v>
      </c>
      <c r="E45" s="138">
        <v>2024.0</v>
      </c>
      <c r="F45" s="130">
        <f>-(1-26)</f>
        <v>25</v>
      </c>
      <c r="G45" s="140" t="s">
        <v>2607</v>
      </c>
      <c r="H45" s="132"/>
      <c r="I45" s="133" t="s">
        <v>3239</v>
      </c>
      <c r="J45" s="134" t="s">
        <v>2862</v>
      </c>
      <c r="K45" s="134" t="s">
        <v>3240</v>
      </c>
      <c r="L45" s="134" t="s">
        <v>2877</v>
      </c>
      <c r="M45" s="132" t="s">
        <v>3241</v>
      </c>
      <c r="N45" s="134" t="s">
        <v>2862</v>
      </c>
      <c r="O45" s="134" t="s">
        <v>3242</v>
      </c>
      <c r="P45" s="134" t="s">
        <v>2862</v>
      </c>
      <c r="Q45" s="134" t="s">
        <v>3243</v>
      </c>
      <c r="R45" s="134" t="s">
        <v>2862</v>
      </c>
      <c r="S45" s="134" t="s">
        <v>3244</v>
      </c>
      <c r="T45" s="135" t="s">
        <v>2868</v>
      </c>
      <c r="U45" s="136" t="s">
        <v>2930</v>
      </c>
      <c r="V45" s="136" t="s">
        <v>3245</v>
      </c>
      <c r="W45" s="135" t="s">
        <v>3246</v>
      </c>
      <c r="X45" s="136" t="s">
        <v>2982</v>
      </c>
      <c r="Y45" s="135" t="s">
        <v>2873</v>
      </c>
      <c r="Z45" s="135"/>
      <c r="AA45" s="135" t="s">
        <v>2873</v>
      </c>
      <c r="AB45" s="135"/>
      <c r="AC45" s="135"/>
      <c r="AD45" s="135"/>
      <c r="AE45" s="135"/>
      <c r="AF45" s="135"/>
      <c r="AG45" s="135"/>
      <c r="AH45" s="135"/>
      <c r="AI45" s="135" t="s">
        <v>2873</v>
      </c>
      <c r="AJ45" s="135" t="s">
        <v>2873</v>
      </c>
      <c r="AK45" s="135" t="s">
        <v>2873</v>
      </c>
      <c r="AL45" s="135" t="s">
        <v>2873</v>
      </c>
      <c r="AM45" s="135"/>
      <c r="AN45" s="135"/>
      <c r="AO45" s="135" t="s">
        <v>2873</v>
      </c>
      <c r="AP45" s="135"/>
      <c r="AQ45" s="135" t="s">
        <v>2873</v>
      </c>
      <c r="AR45" s="135" t="s">
        <v>2873</v>
      </c>
      <c r="AS45" s="135" t="s">
        <v>2873</v>
      </c>
      <c r="AT45" s="135"/>
      <c r="AU45" s="135" t="s">
        <v>2873</v>
      </c>
      <c r="AV45" s="135"/>
      <c r="AW45" s="135"/>
      <c r="AX45" s="135" t="s">
        <v>2873</v>
      </c>
      <c r="AY45" s="135" t="s">
        <v>2873</v>
      </c>
      <c r="AZ45" s="135" t="s">
        <v>2873</v>
      </c>
      <c r="BA45" s="135"/>
      <c r="BB45" s="135"/>
      <c r="BC45" s="135" t="s">
        <v>2873</v>
      </c>
      <c r="BD45" s="135"/>
      <c r="BE45" s="135"/>
      <c r="BF45" s="135"/>
      <c r="BG45" s="136" t="s">
        <v>3135</v>
      </c>
      <c r="BH45" s="136"/>
      <c r="BI45" s="135"/>
      <c r="BJ45" s="135"/>
      <c r="BK45" s="135"/>
      <c r="BL45" s="135"/>
    </row>
    <row r="46">
      <c r="A46" s="128" t="s">
        <v>2774</v>
      </c>
      <c r="B46" s="129" t="s">
        <v>2177</v>
      </c>
      <c r="C46" s="142" t="s">
        <v>2176</v>
      </c>
      <c r="D46" s="130" t="s">
        <v>2117</v>
      </c>
      <c r="E46" s="130">
        <v>2024.0</v>
      </c>
      <c r="F46" s="143">
        <v>17.0</v>
      </c>
      <c r="G46" s="140" t="s">
        <v>2608</v>
      </c>
      <c r="H46" s="132"/>
      <c r="I46" s="133" t="s">
        <v>3247</v>
      </c>
      <c r="J46" s="134" t="s">
        <v>2877</v>
      </c>
      <c r="K46" s="134" t="s">
        <v>3248</v>
      </c>
      <c r="L46" s="134" t="s">
        <v>2877</v>
      </c>
      <c r="M46" s="132" t="s">
        <v>3249</v>
      </c>
      <c r="N46" s="134" t="s">
        <v>2877</v>
      </c>
      <c r="O46" s="134" t="s">
        <v>3250</v>
      </c>
      <c r="P46" s="134" t="s">
        <v>2877</v>
      </c>
      <c r="Q46" s="134" t="s">
        <v>3251</v>
      </c>
      <c r="R46" s="134" t="s">
        <v>2862</v>
      </c>
      <c r="S46" s="134" t="s">
        <v>3252</v>
      </c>
      <c r="T46" s="136" t="s">
        <v>3253</v>
      </c>
      <c r="U46" s="136" t="s">
        <v>2869</v>
      </c>
      <c r="V46" s="135" t="s">
        <v>3254</v>
      </c>
      <c r="W46" s="135" t="s">
        <v>3255</v>
      </c>
      <c r="X46" s="136" t="s">
        <v>3256</v>
      </c>
      <c r="Y46" s="135"/>
      <c r="Z46" s="135"/>
      <c r="AA46" s="135" t="s">
        <v>2873</v>
      </c>
      <c r="AB46" s="135" t="s">
        <v>2873</v>
      </c>
      <c r="AC46" s="135" t="s">
        <v>2873</v>
      </c>
      <c r="AD46" s="135" t="s">
        <v>2873</v>
      </c>
      <c r="AE46" s="135"/>
      <c r="AF46" s="135"/>
      <c r="AG46" s="135"/>
      <c r="AH46" s="135" t="s">
        <v>2873</v>
      </c>
      <c r="AI46" s="135" t="s">
        <v>2873</v>
      </c>
      <c r="AJ46" s="135" t="s">
        <v>2873</v>
      </c>
      <c r="AK46" s="135" t="s">
        <v>2873</v>
      </c>
      <c r="AL46" s="135" t="s">
        <v>2873</v>
      </c>
      <c r="AM46" s="135"/>
      <c r="AN46" s="135"/>
      <c r="AO46" s="135"/>
      <c r="AP46" s="135" t="s">
        <v>2873</v>
      </c>
      <c r="AQ46" s="135"/>
      <c r="AR46" s="135" t="s">
        <v>2873</v>
      </c>
      <c r="AS46" s="135" t="s">
        <v>2873</v>
      </c>
      <c r="AT46" s="135"/>
      <c r="AU46" s="135"/>
      <c r="AV46" s="135"/>
      <c r="AW46" s="135"/>
      <c r="AX46" s="135"/>
      <c r="AY46" s="135"/>
      <c r="AZ46" s="135"/>
      <c r="BA46" s="135" t="s">
        <v>2873</v>
      </c>
      <c r="BB46" s="135"/>
      <c r="BC46" s="135" t="s">
        <v>2873</v>
      </c>
      <c r="BD46" s="135" t="s">
        <v>2873</v>
      </c>
      <c r="BE46" s="135"/>
      <c r="BF46" s="135"/>
      <c r="BG46" s="136"/>
      <c r="BH46" s="136" t="s">
        <v>3135</v>
      </c>
      <c r="BI46" s="135"/>
      <c r="BJ46" s="135"/>
      <c r="BK46" s="135"/>
      <c r="BL46" s="135"/>
    </row>
    <row r="47">
      <c r="A47" s="128" t="s">
        <v>2775</v>
      </c>
      <c r="B47" s="137" t="s">
        <v>1350</v>
      </c>
      <c r="C47" s="130" t="s">
        <v>1349</v>
      </c>
      <c r="D47" s="130" t="s">
        <v>23</v>
      </c>
      <c r="E47" s="138">
        <v>2024.0</v>
      </c>
      <c r="F47" s="130">
        <f>-(393-415)</f>
        <v>22</v>
      </c>
      <c r="G47" s="131" t="s">
        <v>2678</v>
      </c>
      <c r="I47" s="133" t="s">
        <v>3257</v>
      </c>
      <c r="J47" s="134" t="s">
        <v>2877</v>
      </c>
      <c r="K47" s="140" t="s">
        <v>3258</v>
      </c>
      <c r="L47" s="134" t="s">
        <v>2877</v>
      </c>
      <c r="M47" s="140" t="s">
        <v>3259</v>
      </c>
      <c r="N47" s="134" t="s">
        <v>2862</v>
      </c>
      <c r="O47" s="140" t="s">
        <v>3260</v>
      </c>
      <c r="P47" s="134" t="s">
        <v>2862</v>
      </c>
      <c r="Q47" s="140" t="s">
        <v>3261</v>
      </c>
      <c r="R47" s="134" t="s">
        <v>2862</v>
      </c>
      <c r="S47" s="140" t="s">
        <v>3262</v>
      </c>
      <c r="T47" s="135" t="s">
        <v>3263</v>
      </c>
      <c r="U47" s="136" t="s">
        <v>3218</v>
      </c>
      <c r="V47" s="135" t="s">
        <v>3228</v>
      </c>
      <c r="W47" s="135" t="s">
        <v>3010</v>
      </c>
      <c r="X47" s="136" t="s">
        <v>2933</v>
      </c>
      <c r="Y47" s="135" t="s">
        <v>2873</v>
      </c>
      <c r="Z47" s="135"/>
      <c r="AA47" s="135"/>
      <c r="AB47" s="135" t="s">
        <v>2873</v>
      </c>
      <c r="AC47" s="135"/>
      <c r="AD47" s="135" t="s">
        <v>2873</v>
      </c>
      <c r="AE47" s="135"/>
      <c r="AF47" s="135"/>
      <c r="AG47" s="135"/>
      <c r="AH47" s="135"/>
      <c r="AI47" s="135" t="s">
        <v>2873</v>
      </c>
      <c r="AJ47" s="135"/>
      <c r="AK47" s="135" t="s">
        <v>2873</v>
      </c>
      <c r="AL47" s="135" t="s">
        <v>2873</v>
      </c>
      <c r="AM47" s="135"/>
      <c r="AN47" s="135"/>
      <c r="AO47" s="135" t="s">
        <v>2873</v>
      </c>
      <c r="AP47" s="135"/>
      <c r="AQ47" s="135"/>
      <c r="AR47" s="135"/>
      <c r="AS47" s="135" t="s">
        <v>2873</v>
      </c>
      <c r="AT47" s="135"/>
      <c r="AU47" s="135"/>
      <c r="AV47" s="135"/>
      <c r="AW47" s="135"/>
      <c r="AX47" s="135"/>
      <c r="AY47" s="135"/>
      <c r="AZ47" s="135"/>
      <c r="BA47" s="135"/>
      <c r="BB47" s="135"/>
      <c r="BC47" s="135" t="s">
        <v>2873</v>
      </c>
      <c r="BD47" s="135"/>
      <c r="BE47" s="135"/>
      <c r="BF47" s="135"/>
      <c r="BG47" s="135" t="s">
        <v>2873</v>
      </c>
      <c r="BH47" s="135"/>
      <c r="BI47" s="135"/>
      <c r="BJ47" s="135"/>
      <c r="BK47" s="135" t="s">
        <v>2873</v>
      </c>
      <c r="BL47" s="135"/>
    </row>
    <row r="48">
      <c r="A48" s="128" t="s">
        <v>2776</v>
      </c>
      <c r="B48" s="129" t="s">
        <v>2487</v>
      </c>
      <c r="C48" s="142" t="s">
        <v>2486</v>
      </c>
      <c r="D48" s="130" t="s">
        <v>2124</v>
      </c>
      <c r="E48" s="130">
        <v>2024.0</v>
      </c>
      <c r="F48" s="143"/>
      <c r="G48" s="140" t="s">
        <v>2608</v>
      </c>
      <c r="I48" s="133" t="s">
        <v>3264</v>
      </c>
      <c r="J48" s="134" t="s">
        <v>2862</v>
      </c>
      <c r="K48" s="140" t="s">
        <v>3265</v>
      </c>
      <c r="L48" s="134" t="s">
        <v>2862</v>
      </c>
      <c r="M48" s="140" t="s">
        <v>3266</v>
      </c>
      <c r="N48" s="134" t="s">
        <v>2862</v>
      </c>
      <c r="O48" s="140" t="s">
        <v>3267</v>
      </c>
      <c r="P48" s="134" t="s">
        <v>2877</v>
      </c>
      <c r="Q48" s="140" t="s">
        <v>3268</v>
      </c>
      <c r="R48" s="134" t="s">
        <v>2877</v>
      </c>
      <c r="S48" s="140" t="s">
        <v>3269</v>
      </c>
      <c r="T48" s="135" t="s">
        <v>3270</v>
      </c>
      <c r="U48" s="135" t="s">
        <v>2989</v>
      </c>
      <c r="V48" s="135" t="s">
        <v>3055</v>
      </c>
      <c r="W48" s="135" t="s">
        <v>3271</v>
      </c>
      <c r="X48" s="135" t="s">
        <v>3272</v>
      </c>
      <c r="Y48" s="135"/>
      <c r="Z48" s="135"/>
      <c r="AA48" s="135" t="s">
        <v>2873</v>
      </c>
      <c r="AB48" s="135" t="s">
        <v>2873</v>
      </c>
      <c r="AC48" s="135"/>
      <c r="AD48" s="135" t="s">
        <v>2873</v>
      </c>
      <c r="AE48" s="135"/>
      <c r="AF48" s="135"/>
      <c r="AG48" s="135"/>
      <c r="AH48" s="135" t="s">
        <v>2873</v>
      </c>
      <c r="AI48" s="135"/>
      <c r="AJ48" s="135" t="s">
        <v>2873</v>
      </c>
      <c r="AK48" s="135"/>
      <c r="AL48" s="135"/>
      <c r="AM48" s="135"/>
      <c r="AN48" s="135"/>
      <c r="AO48" s="135" t="s">
        <v>2873</v>
      </c>
      <c r="AP48" s="135"/>
      <c r="AQ48" s="135" t="s">
        <v>2873</v>
      </c>
      <c r="AR48" s="135"/>
      <c r="AS48" s="135"/>
      <c r="AT48" s="135"/>
      <c r="AU48" s="135"/>
      <c r="AV48" s="135"/>
      <c r="AW48" s="135"/>
      <c r="AX48" s="135" t="s">
        <v>2873</v>
      </c>
      <c r="AY48" s="135" t="s">
        <v>2873</v>
      </c>
      <c r="AZ48" s="135"/>
      <c r="BA48" s="135"/>
      <c r="BB48" s="135"/>
      <c r="BC48" s="135" t="s">
        <v>2873</v>
      </c>
      <c r="BD48" s="135" t="s">
        <v>2873</v>
      </c>
      <c r="BE48" s="135"/>
      <c r="BF48" s="135" t="s">
        <v>2873</v>
      </c>
      <c r="BG48" s="135"/>
      <c r="BH48" s="135"/>
      <c r="BI48" s="135" t="s">
        <v>2873</v>
      </c>
      <c r="BJ48" s="135" t="s">
        <v>2873</v>
      </c>
      <c r="BK48" s="135"/>
      <c r="BL48" s="135"/>
    </row>
    <row r="49">
      <c r="A49" s="128" t="s">
        <v>2777</v>
      </c>
      <c r="B49" s="129" t="s">
        <v>24</v>
      </c>
      <c r="C49" s="130" t="s">
        <v>22</v>
      </c>
      <c r="D49" s="130" t="s">
        <v>23</v>
      </c>
      <c r="E49" s="130">
        <v>2025.0</v>
      </c>
      <c r="F49" s="130">
        <v>32.0</v>
      </c>
      <c r="G49" s="131" t="s">
        <v>2604</v>
      </c>
      <c r="H49" s="132"/>
      <c r="I49" s="133" t="s">
        <v>3273</v>
      </c>
      <c r="J49" s="134" t="s">
        <v>2862</v>
      </c>
      <c r="K49" s="132" t="s">
        <v>3274</v>
      </c>
      <c r="L49" s="134" t="s">
        <v>2862</v>
      </c>
      <c r="M49" s="132" t="s">
        <v>3275</v>
      </c>
      <c r="N49" s="134" t="s">
        <v>2862</v>
      </c>
      <c r="O49" s="132" t="s">
        <v>3276</v>
      </c>
      <c r="P49" s="134" t="s">
        <v>2862</v>
      </c>
      <c r="Q49" s="134" t="s">
        <v>3277</v>
      </c>
      <c r="R49" s="134" t="s">
        <v>2862</v>
      </c>
      <c r="S49" s="134" t="s">
        <v>3278</v>
      </c>
      <c r="T49" s="135" t="s">
        <v>3279</v>
      </c>
      <c r="U49" s="136" t="s">
        <v>3124</v>
      </c>
      <c r="V49" s="135" t="s">
        <v>3228</v>
      </c>
      <c r="W49" s="135" t="s">
        <v>2914</v>
      </c>
      <c r="X49" s="135" t="s">
        <v>3280</v>
      </c>
      <c r="Y49" s="135" t="s">
        <v>2873</v>
      </c>
      <c r="Z49" s="135" t="s">
        <v>2873</v>
      </c>
      <c r="AA49" s="135"/>
      <c r="AB49" s="135"/>
      <c r="AC49" s="135"/>
      <c r="AD49" s="135"/>
      <c r="AE49" s="135"/>
      <c r="AF49" s="135"/>
      <c r="AG49" s="135"/>
      <c r="AH49" s="135" t="s">
        <v>2873</v>
      </c>
      <c r="AI49" s="135" t="s">
        <v>2873</v>
      </c>
      <c r="AJ49" s="135"/>
      <c r="AK49" s="135" t="s">
        <v>2873</v>
      </c>
      <c r="AL49" s="135" t="s">
        <v>2873</v>
      </c>
      <c r="AM49" s="135"/>
      <c r="AN49" s="135"/>
      <c r="AO49" s="135" t="s">
        <v>2873</v>
      </c>
      <c r="AP49" s="135"/>
      <c r="AQ49" s="135"/>
      <c r="AR49" s="135"/>
      <c r="AS49" s="135" t="s">
        <v>2873</v>
      </c>
      <c r="AT49" s="135"/>
      <c r="AU49" s="135"/>
      <c r="AV49" s="135"/>
      <c r="AW49" s="135"/>
      <c r="AX49" s="135" t="s">
        <v>2873</v>
      </c>
      <c r="AY49" s="135"/>
      <c r="AZ49" s="135"/>
      <c r="BA49" s="135"/>
      <c r="BB49" s="135"/>
      <c r="BC49" s="135"/>
      <c r="BD49" s="135"/>
      <c r="BE49" s="135"/>
      <c r="BF49" s="135" t="s">
        <v>2873</v>
      </c>
      <c r="BG49" s="135"/>
      <c r="BH49" s="135"/>
      <c r="BI49" s="135" t="s">
        <v>2873</v>
      </c>
      <c r="BJ49" s="135"/>
      <c r="BK49" s="135" t="s">
        <v>2873</v>
      </c>
      <c r="BL49" s="135"/>
    </row>
    <row r="50">
      <c r="A50" s="128" t="s">
        <v>2778</v>
      </c>
      <c r="B50" s="129" t="s">
        <v>39</v>
      </c>
      <c r="C50" s="130" t="s">
        <v>38</v>
      </c>
      <c r="D50" s="130" t="s">
        <v>23</v>
      </c>
      <c r="E50" s="130">
        <v>2025.0</v>
      </c>
      <c r="F50" s="130">
        <f>-(823-840)</f>
        <v>17</v>
      </c>
      <c r="G50" s="131" t="s">
        <v>2604</v>
      </c>
      <c r="H50" s="132"/>
      <c r="I50" s="133" t="s">
        <v>3281</v>
      </c>
      <c r="J50" s="134" t="s">
        <v>2862</v>
      </c>
      <c r="K50" s="144" t="s">
        <v>3282</v>
      </c>
      <c r="L50" s="134" t="s">
        <v>2862</v>
      </c>
      <c r="M50" s="132" t="s">
        <v>3283</v>
      </c>
      <c r="N50" s="134" t="s">
        <v>2862</v>
      </c>
      <c r="O50" s="134" t="s">
        <v>3284</v>
      </c>
      <c r="P50" s="134" t="s">
        <v>2862</v>
      </c>
      <c r="Q50" s="134" t="s">
        <v>3285</v>
      </c>
      <c r="R50" s="134" t="s">
        <v>2877</v>
      </c>
      <c r="S50" s="134" t="s">
        <v>3286</v>
      </c>
      <c r="T50" s="135" t="s">
        <v>3287</v>
      </c>
      <c r="U50" s="136" t="s">
        <v>2903</v>
      </c>
      <c r="V50" s="135" t="s">
        <v>3288</v>
      </c>
      <c r="W50" s="135" t="s">
        <v>3238</v>
      </c>
      <c r="X50" s="135" t="s">
        <v>2982</v>
      </c>
      <c r="Y50" s="135"/>
      <c r="Z50" s="135"/>
      <c r="AA50" s="135" t="s">
        <v>2873</v>
      </c>
      <c r="AB50" s="135"/>
      <c r="AC50" s="135"/>
      <c r="AD50" s="135"/>
      <c r="AE50" s="135"/>
      <c r="AF50" s="135"/>
      <c r="AG50" s="135"/>
      <c r="AH50" s="135"/>
      <c r="AI50" s="135" t="s">
        <v>2873</v>
      </c>
      <c r="AJ50" s="135" t="s">
        <v>2873</v>
      </c>
      <c r="AK50" s="135"/>
      <c r="AL50" s="135" t="s">
        <v>2873</v>
      </c>
      <c r="AM50" s="135"/>
      <c r="AN50" s="135"/>
      <c r="AO50" s="135"/>
      <c r="AP50" s="135"/>
      <c r="AQ50" s="135"/>
      <c r="AR50" s="135"/>
      <c r="AS50" s="135"/>
      <c r="AT50" s="135"/>
      <c r="AU50" s="135" t="s">
        <v>2873</v>
      </c>
      <c r="AV50" s="135"/>
      <c r="AW50" s="135"/>
      <c r="AX50" s="135" t="s">
        <v>2873</v>
      </c>
      <c r="AY50" s="135"/>
      <c r="AZ50" s="135" t="s">
        <v>2873</v>
      </c>
      <c r="BA50" s="135"/>
      <c r="BB50" s="135"/>
      <c r="BC50" s="135"/>
      <c r="BD50" s="135"/>
      <c r="BE50" s="135"/>
      <c r="BF50" s="135"/>
      <c r="BG50" s="135" t="s">
        <v>2873</v>
      </c>
      <c r="BH50" s="135"/>
      <c r="BI50" s="135"/>
      <c r="BJ50" s="135"/>
      <c r="BK50" s="135"/>
      <c r="BL50" s="135"/>
    </row>
    <row r="51">
      <c r="A51" s="128" t="s">
        <v>2779</v>
      </c>
      <c r="B51" s="129" t="s">
        <v>258</v>
      </c>
      <c r="C51" s="130" t="s">
        <v>257</v>
      </c>
      <c r="D51" s="130" t="s">
        <v>23</v>
      </c>
      <c r="E51" s="130">
        <v>2025.0</v>
      </c>
      <c r="F51" s="130">
        <f>-(195-209)</f>
        <v>14</v>
      </c>
      <c r="G51" s="131" t="s">
        <v>2604</v>
      </c>
      <c r="H51" s="132"/>
      <c r="I51" s="133" t="s">
        <v>3289</v>
      </c>
      <c r="J51" s="134" t="s">
        <v>2862</v>
      </c>
      <c r="K51" s="134" t="s">
        <v>3290</v>
      </c>
      <c r="L51" s="134" t="s">
        <v>2862</v>
      </c>
      <c r="M51" s="134" t="s">
        <v>3291</v>
      </c>
      <c r="N51" s="134" t="s">
        <v>2862</v>
      </c>
      <c r="O51" s="134" t="s">
        <v>3292</v>
      </c>
      <c r="P51" s="134" t="s">
        <v>2862</v>
      </c>
      <c r="Q51" s="134" t="s">
        <v>3293</v>
      </c>
      <c r="R51" s="134" t="s">
        <v>2862</v>
      </c>
      <c r="S51" s="134" t="s">
        <v>3294</v>
      </c>
      <c r="T51" s="135" t="s">
        <v>3295</v>
      </c>
      <c r="U51" s="136" t="s">
        <v>3296</v>
      </c>
      <c r="V51" s="135" t="s">
        <v>3297</v>
      </c>
      <c r="W51" s="135" t="s">
        <v>3010</v>
      </c>
      <c r="X51" s="136" t="s">
        <v>2943</v>
      </c>
      <c r="Y51" s="135"/>
      <c r="Z51" s="135"/>
      <c r="AA51" s="135"/>
      <c r="AB51" s="135" t="s">
        <v>2873</v>
      </c>
      <c r="AC51" s="135" t="s">
        <v>2873</v>
      </c>
      <c r="AD51" s="135" t="s">
        <v>2873</v>
      </c>
      <c r="AE51" s="135"/>
      <c r="AF51" s="135"/>
      <c r="AG51" s="135"/>
      <c r="AH51" s="135"/>
      <c r="AI51" s="135" t="s">
        <v>2873</v>
      </c>
      <c r="AJ51" s="135" t="s">
        <v>2873</v>
      </c>
      <c r="AK51" s="135" t="s">
        <v>2873</v>
      </c>
      <c r="AL51" s="135"/>
      <c r="AM51" s="135"/>
      <c r="AN51" s="135"/>
      <c r="AO51" s="135" t="s">
        <v>2873</v>
      </c>
      <c r="AP51" s="135" t="s">
        <v>2873</v>
      </c>
      <c r="AQ51" s="135"/>
      <c r="AR51" s="135"/>
      <c r="AS51" s="135"/>
      <c r="AT51" s="135"/>
      <c r="AU51" s="135"/>
      <c r="AV51" s="135"/>
      <c r="AW51" s="135"/>
      <c r="AX51" s="135"/>
      <c r="AY51" s="135"/>
      <c r="AZ51" s="135"/>
      <c r="BA51" s="135"/>
      <c r="BB51" s="135"/>
      <c r="BC51" s="135" t="s">
        <v>2873</v>
      </c>
      <c r="BD51" s="135"/>
      <c r="BE51" s="135"/>
      <c r="BF51" s="135"/>
      <c r="BG51" s="135" t="s">
        <v>2873</v>
      </c>
      <c r="BH51" s="135" t="s">
        <v>2873</v>
      </c>
      <c r="BI51" s="135"/>
      <c r="BJ51" s="135"/>
      <c r="BK51" s="135" t="s">
        <v>2873</v>
      </c>
      <c r="BL51" s="135"/>
    </row>
    <row r="52">
      <c r="A52" s="128" t="s">
        <v>2780</v>
      </c>
      <c r="B52" s="129" t="s">
        <v>507</v>
      </c>
      <c r="C52" s="130" t="s">
        <v>506</v>
      </c>
      <c r="D52" s="130" t="s">
        <v>23</v>
      </c>
      <c r="E52" s="130">
        <v>2025.0</v>
      </c>
      <c r="F52" s="130">
        <v>23.0</v>
      </c>
      <c r="G52" s="131" t="s">
        <v>2604</v>
      </c>
      <c r="H52" s="132"/>
      <c r="I52" s="133" t="s">
        <v>3298</v>
      </c>
      <c r="J52" s="134" t="s">
        <v>2862</v>
      </c>
      <c r="K52" s="134" t="s">
        <v>3299</v>
      </c>
      <c r="L52" s="134" t="s">
        <v>2862</v>
      </c>
      <c r="M52" s="132" t="s">
        <v>3300</v>
      </c>
      <c r="N52" s="134" t="s">
        <v>2862</v>
      </c>
      <c r="O52" s="134" t="s">
        <v>3301</v>
      </c>
      <c r="P52" s="134" t="s">
        <v>2862</v>
      </c>
      <c r="Q52" s="134" t="s">
        <v>3302</v>
      </c>
      <c r="R52" s="134" t="s">
        <v>2862</v>
      </c>
      <c r="S52" s="134" t="s">
        <v>3303</v>
      </c>
      <c r="T52" s="135" t="s">
        <v>3304</v>
      </c>
      <c r="U52" s="135" t="s">
        <v>3305</v>
      </c>
      <c r="V52" s="135" t="s">
        <v>3306</v>
      </c>
      <c r="W52" s="135" t="s">
        <v>3010</v>
      </c>
      <c r="X52" s="136" t="s">
        <v>3307</v>
      </c>
      <c r="Y52" s="135"/>
      <c r="Z52" s="135"/>
      <c r="AA52" s="135"/>
      <c r="AB52" s="135" t="s">
        <v>2873</v>
      </c>
      <c r="AC52" s="135" t="s">
        <v>2873</v>
      </c>
      <c r="AD52" s="135"/>
      <c r="AE52" s="135"/>
      <c r="AF52" s="135"/>
      <c r="AG52" s="135"/>
      <c r="AH52" s="135"/>
      <c r="AI52" s="135"/>
      <c r="AJ52" s="135" t="s">
        <v>2873</v>
      </c>
      <c r="AK52" s="135" t="s">
        <v>2873</v>
      </c>
      <c r="AL52" s="135"/>
      <c r="AM52" s="135"/>
      <c r="AN52" s="135"/>
      <c r="AO52" s="135"/>
      <c r="AP52" s="135" t="s">
        <v>2873</v>
      </c>
      <c r="AQ52" s="135"/>
      <c r="AR52" s="135"/>
      <c r="AS52" s="135"/>
      <c r="AT52" s="135"/>
      <c r="AU52" s="135"/>
      <c r="AV52" s="135"/>
      <c r="AW52" s="135"/>
      <c r="AX52" s="135"/>
      <c r="AY52" s="135"/>
      <c r="AZ52" s="135"/>
      <c r="BA52" s="135"/>
      <c r="BB52" s="135"/>
      <c r="BC52" s="135" t="s">
        <v>2873</v>
      </c>
      <c r="BD52" s="135"/>
      <c r="BE52" s="135"/>
      <c r="BF52" s="135" t="s">
        <v>2873</v>
      </c>
      <c r="BG52" s="135" t="s">
        <v>2873</v>
      </c>
      <c r="BH52" s="135" t="s">
        <v>2873</v>
      </c>
      <c r="BI52" s="135"/>
      <c r="BJ52" s="135"/>
      <c r="BK52" s="135"/>
      <c r="BL52" s="135"/>
    </row>
    <row r="53">
      <c r="A53" s="128" t="s">
        <v>2781</v>
      </c>
      <c r="B53" s="129" t="s">
        <v>691</v>
      </c>
      <c r="C53" s="130" t="s">
        <v>690</v>
      </c>
      <c r="D53" s="130" t="s">
        <v>648</v>
      </c>
      <c r="E53" s="130">
        <v>2025.0</v>
      </c>
      <c r="F53" s="130">
        <f>-(175410-175426)</f>
        <v>16</v>
      </c>
      <c r="G53" s="131" t="s">
        <v>2605</v>
      </c>
      <c r="H53" s="132"/>
      <c r="I53" s="133" t="s">
        <v>3308</v>
      </c>
      <c r="J53" s="134" t="s">
        <v>2862</v>
      </c>
      <c r="K53" s="134" t="s">
        <v>3309</v>
      </c>
      <c r="L53" s="134" t="s">
        <v>2862</v>
      </c>
      <c r="M53" s="132" t="s">
        <v>3310</v>
      </c>
      <c r="N53" s="134" t="s">
        <v>2862</v>
      </c>
      <c r="O53" s="134" t="s">
        <v>3311</v>
      </c>
      <c r="P53" s="134" t="s">
        <v>2877</v>
      </c>
      <c r="Q53" s="134" t="s">
        <v>3312</v>
      </c>
      <c r="R53" s="134" t="s">
        <v>2862</v>
      </c>
      <c r="S53" s="134" t="s">
        <v>3313</v>
      </c>
      <c r="T53" s="135" t="s">
        <v>3208</v>
      </c>
      <c r="U53" s="136" t="s">
        <v>3314</v>
      </c>
      <c r="V53" s="135" t="s">
        <v>3315</v>
      </c>
      <c r="W53" s="135" t="s">
        <v>3316</v>
      </c>
      <c r="X53" s="136" t="s">
        <v>3317</v>
      </c>
      <c r="Y53" s="135" t="s">
        <v>2873</v>
      </c>
      <c r="Z53" s="135" t="s">
        <v>2873</v>
      </c>
      <c r="AA53" s="135" t="s">
        <v>2873</v>
      </c>
      <c r="AB53" s="135" t="s">
        <v>2873</v>
      </c>
      <c r="AC53" s="135" t="s">
        <v>2873</v>
      </c>
      <c r="AD53" s="135" t="s">
        <v>2873</v>
      </c>
      <c r="AE53" s="135"/>
      <c r="AF53" s="135"/>
      <c r="AG53" s="135"/>
      <c r="AH53" s="135" t="s">
        <v>2873</v>
      </c>
      <c r="AI53" s="135" t="s">
        <v>2873</v>
      </c>
      <c r="AJ53" s="135" t="s">
        <v>2873</v>
      </c>
      <c r="AK53" s="135"/>
      <c r="AL53" s="135" t="s">
        <v>2873</v>
      </c>
      <c r="AM53" s="135" t="s">
        <v>2873</v>
      </c>
      <c r="AN53" s="135"/>
      <c r="AO53" s="135" t="s">
        <v>2873</v>
      </c>
      <c r="AP53" s="135" t="s">
        <v>2873</v>
      </c>
      <c r="AQ53" s="135"/>
      <c r="AR53" s="135" t="s">
        <v>2873</v>
      </c>
      <c r="AS53" s="135"/>
      <c r="AT53" s="135"/>
      <c r="AU53" s="135"/>
      <c r="AV53" s="135" t="s">
        <v>2873</v>
      </c>
      <c r="AW53" s="135"/>
      <c r="AX53" s="135" t="s">
        <v>2873</v>
      </c>
      <c r="AY53" s="135"/>
      <c r="AZ53" s="135" t="s">
        <v>2873</v>
      </c>
      <c r="BA53" s="135" t="s">
        <v>2873</v>
      </c>
      <c r="BB53" s="135"/>
      <c r="BC53" s="135" t="s">
        <v>2873</v>
      </c>
      <c r="BD53" s="135"/>
      <c r="BE53" s="135"/>
      <c r="BF53" s="135" t="s">
        <v>2873</v>
      </c>
      <c r="BG53" s="135" t="s">
        <v>2873</v>
      </c>
      <c r="BH53" s="135"/>
      <c r="BI53" s="135" t="s">
        <v>2873</v>
      </c>
      <c r="BJ53" s="135"/>
      <c r="BK53" s="135" t="s">
        <v>2873</v>
      </c>
      <c r="BL53" s="135"/>
    </row>
    <row r="54">
      <c r="A54" s="128" t="s">
        <v>2782</v>
      </c>
      <c r="B54" s="129" t="s">
        <v>708</v>
      </c>
      <c r="C54" s="130" t="s">
        <v>707</v>
      </c>
      <c r="D54" s="130" t="s">
        <v>648</v>
      </c>
      <c r="E54" s="130">
        <v>2025.0</v>
      </c>
      <c r="F54" s="130">
        <f>-(117385-117403)</f>
        <v>18</v>
      </c>
      <c r="G54" s="131" t="s">
        <v>2605</v>
      </c>
      <c r="H54" s="132"/>
      <c r="I54" s="133" t="s">
        <v>3318</v>
      </c>
      <c r="J54" s="134" t="s">
        <v>2862</v>
      </c>
      <c r="K54" s="134" t="s">
        <v>3319</v>
      </c>
      <c r="L54" s="134" t="s">
        <v>2862</v>
      </c>
      <c r="M54" s="132" t="s">
        <v>3320</v>
      </c>
      <c r="N54" s="134" t="s">
        <v>2862</v>
      </c>
      <c r="O54" s="134" t="s">
        <v>3321</v>
      </c>
      <c r="P54" s="134" t="s">
        <v>2862</v>
      </c>
      <c r="Q54" s="134" t="s">
        <v>3322</v>
      </c>
      <c r="R54" s="134" t="s">
        <v>2862</v>
      </c>
      <c r="S54" s="134" t="s">
        <v>3323</v>
      </c>
      <c r="T54" s="135" t="s">
        <v>3208</v>
      </c>
      <c r="U54" s="136" t="s">
        <v>2869</v>
      </c>
      <c r="V54" s="135" t="s">
        <v>2870</v>
      </c>
      <c r="W54" s="136" t="s">
        <v>3010</v>
      </c>
      <c r="X54" s="136" t="s">
        <v>3324</v>
      </c>
      <c r="Y54" s="135" t="s">
        <v>2873</v>
      </c>
      <c r="Z54" s="135" t="s">
        <v>2873</v>
      </c>
      <c r="AA54" s="135" t="s">
        <v>2873</v>
      </c>
      <c r="AB54" s="135" t="s">
        <v>2873</v>
      </c>
      <c r="AC54" s="135" t="s">
        <v>2873</v>
      </c>
      <c r="AD54" s="135" t="s">
        <v>2873</v>
      </c>
      <c r="AE54" s="135"/>
      <c r="AF54" s="135"/>
      <c r="AG54" s="135"/>
      <c r="AH54" s="135" t="s">
        <v>2873</v>
      </c>
      <c r="AI54" s="135" t="s">
        <v>2873</v>
      </c>
      <c r="AJ54" s="135" t="s">
        <v>2873</v>
      </c>
      <c r="AK54" s="135" t="s">
        <v>2873</v>
      </c>
      <c r="AL54" s="135" t="s">
        <v>2873</v>
      </c>
      <c r="AM54" s="135"/>
      <c r="AN54" s="135"/>
      <c r="AO54" s="135" t="s">
        <v>2873</v>
      </c>
      <c r="AP54" s="135" t="s">
        <v>2873</v>
      </c>
      <c r="AQ54" s="135"/>
      <c r="AR54" s="135" t="s">
        <v>2873</v>
      </c>
      <c r="AS54" s="135"/>
      <c r="AT54" s="135"/>
      <c r="AU54" s="135"/>
      <c r="AV54" s="135"/>
      <c r="AW54" s="135"/>
      <c r="AX54" s="135"/>
      <c r="AY54" s="135"/>
      <c r="AZ54" s="135"/>
      <c r="BA54" s="135"/>
      <c r="BB54" s="135"/>
      <c r="BC54" s="135" t="s">
        <v>2873</v>
      </c>
      <c r="BD54" s="135"/>
      <c r="BE54" s="135"/>
      <c r="BF54" s="135"/>
      <c r="BG54" s="135" t="s">
        <v>2873</v>
      </c>
      <c r="BH54" s="135" t="s">
        <v>2873</v>
      </c>
      <c r="BI54" s="135"/>
      <c r="BJ54" s="135" t="s">
        <v>2873</v>
      </c>
      <c r="BK54" s="135"/>
      <c r="BL54" s="135"/>
    </row>
    <row r="55">
      <c r="A55" s="128" t="s">
        <v>2783</v>
      </c>
      <c r="B55" s="129" t="s">
        <v>859</v>
      </c>
      <c r="C55" s="130" t="s">
        <v>857</v>
      </c>
      <c r="D55" s="130" t="s">
        <v>858</v>
      </c>
      <c r="E55" s="130">
        <v>2025.0</v>
      </c>
      <c r="F55" s="130">
        <v>5.0</v>
      </c>
      <c r="G55" s="131" t="s">
        <v>2605</v>
      </c>
      <c r="H55" s="132"/>
      <c r="I55" s="133" t="s">
        <v>3325</v>
      </c>
      <c r="J55" s="134" t="s">
        <v>2862</v>
      </c>
      <c r="K55" s="134" t="s">
        <v>3326</v>
      </c>
      <c r="L55" s="134" t="s">
        <v>2862</v>
      </c>
      <c r="M55" s="132" t="s">
        <v>3327</v>
      </c>
      <c r="N55" s="134" t="s">
        <v>2862</v>
      </c>
      <c r="O55" s="144" t="s">
        <v>3328</v>
      </c>
      <c r="P55" s="134" t="s">
        <v>2862</v>
      </c>
      <c r="Q55" s="134" t="s">
        <v>3329</v>
      </c>
      <c r="R55" s="134" t="s">
        <v>2862</v>
      </c>
      <c r="S55" s="134" t="s">
        <v>3330</v>
      </c>
      <c r="T55" s="135" t="s">
        <v>3331</v>
      </c>
      <c r="U55" s="136" t="s">
        <v>2930</v>
      </c>
      <c r="V55" s="135" t="s">
        <v>3096</v>
      </c>
      <c r="W55" s="135" t="s">
        <v>3108</v>
      </c>
      <c r="X55" s="136" t="s">
        <v>3332</v>
      </c>
      <c r="Y55" s="135" t="s">
        <v>2873</v>
      </c>
      <c r="Z55" s="135"/>
      <c r="AA55" s="135"/>
      <c r="AB55" s="135" t="s">
        <v>2873</v>
      </c>
      <c r="AC55" s="135" t="s">
        <v>2873</v>
      </c>
      <c r="AD55" s="135"/>
      <c r="AE55" s="135"/>
      <c r="AF55" s="135"/>
      <c r="AG55" s="135"/>
      <c r="AH55" s="135"/>
      <c r="AI55" s="135" t="s">
        <v>2873</v>
      </c>
      <c r="AJ55" s="135" t="s">
        <v>2873</v>
      </c>
      <c r="AK55" s="135" t="s">
        <v>2873</v>
      </c>
      <c r="AL55" s="135" t="s">
        <v>2873</v>
      </c>
      <c r="AM55" s="135"/>
      <c r="AN55" s="135"/>
      <c r="AO55" s="135" t="s">
        <v>2873</v>
      </c>
      <c r="AP55" s="135"/>
      <c r="AQ55" s="135" t="s">
        <v>2873</v>
      </c>
      <c r="AR55" s="135"/>
      <c r="AS55" s="135" t="s">
        <v>2873</v>
      </c>
      <c r="AT55" s="135"/>
      <c r="AU55" s="135"/>
      <c r="AV55" s="135"/>
      <c r="AW55" s="135"/>
      <c r="AX55" s="135" t="s">
        <v>2873</v>
      </c>
      <c r="AY55" s="135" t="s">
        <v>2873</v>
      </c>
      <c r="AZ55" s="135"/>
      <c r="BA55" s="135"/>
      <c r="BB55" s="135"/>
      <c r="BC55" s="135" t="s">
        <v>2873</v>
      </c>
      <c r="BD55" s="135"/>
      <c r="BE55" s="135"/>
      <c r="BF55" s="135" t="s">
        <v>2873</v>
      </c>
      <c r="BG55" s="135" t="s">
        <v>2873</v>
      </c>
      <c r="BH55" s="135"/>
      <c r="BI55" s="135"/>
      <c r="BJ55" s="135"/>
      <c r="BK55" s="135"/>
      <c r="BL55" s="135"/>
    </row>
    <row r="56">
      <c r="A56" s="128" t="s">
        <v>2784</v>
      </c>
      <c r="B56" s="129" t="s">
        <v>883</v>
      </c>
      <c r="C56" s="130" t="s">
        <v>881</v>
      </c>
      <c r="D56" s="130" t="s">
        <v>882</v>
      </c>
      <c r="E56" s="130">
        <v>2025.0</v>
      </c>
      <c r="F56" s="130">
        <f>-(166-170)</f>
        <v>4</v>
      </c>
      <c r="G56" s="131" t="s">
        <v>2605</v>
      </c>
      <c r="H56" s="132"/>
      <c r="I56" s="133" t="s">
        <v>3333</v>
      </c>
      <c r="J56" s="134" t="s">
        <v>2877</v>
      </c>
      <c r="K56" s="134" t="s">
        <v>3334</v>
      </c>
      <c r="L56" s="134" t="s">
        <v>2875</v>
      </c>
      <c r="M56" s="134" t="s">
        <v>2876</v>
      </c>
      <c r="N56" s="134" t="s">
        <v>2877</v>
      </c>
      <c r="O56" s="134" t="s">
        <v>3335</v>
      </c>
      <c r="P56" s="134" t="s">
        <v>2875</v>
      </c>
      <c r="Q56" s="134" t="s">
        <v>2876</v>
      </c>
      <c r="R56" s="134" t="s">
        <v>2877</v>
      </c>
      <c r="S56" s="134" t="s">
        <v>3336</v>
      </c>
      <c r="T56" s="135" t="s">
        <v>3337</v>
      </c>
      <c r="U56" s="135" t="s">
        <v>2881</v>
      </c>
      <c r="V56" s="135" t="s">
        <v>2981</v>
      </c>
      <c r="W56" s="135" t="s">
        <v>2881</v>
      </c>
      <c r="X56" s="135" t="s">
        <v>3338</v>
      </c>
      <c r="Y56" s="135" t="s">
        <v>2873</v>
      </c>
      <c r="Z56" s="135"/>
      <c r="AA56" s="135" t="s">
        <v>2873</v>
      </c>
      <c r="AB56" s="135"/>
      <c r="AC56" s="135"/>
      <c r="AD56" s="135" t="s">
        <v>2873</v>
      </c>
      <c r="AE56" s="135"/>
      <c r="AF56" s="135"/>
      <c r="AG56" s="135"/>
      <c r="AH56" s="135"/>
      <c r="AI56" s="135"/>
      <c r="AJ56" s="135"/>
      <c r="AK56" s="135"/>
      <c r="AL56" s="135"/>
      <c r="AM56" s="135"/>
      <c r="AN56" s="135" t="s">
        <v>2873</v>
      </c>
      <c r="AO56" s="135" t="s">
        <v>2873</v>
      </c>
      <c r="AP56" s="135"/>
      <c r="AQ56" s="135"/>
      <c r="AR56" s="135" t="s">
        <v>2873</v>
      </c>
      <c r="AS56" s="135"/>
      <c r="AT56" s="135"/>
      <c r="AU56" s="135" t="s">
        <v>2873</v>
      </c>
      <c r="AV56" s="135"/>
      <c r="AW56" s="135"/>
      <c r="AX56" s="135"/>
      <c r="AY56" s="135"/>
      <c r="AZ56" s="135"/>
      <c r="BA56" s="135"/>
      <c r="BB56" s="135"/>
      <c r="BC56" s="135"/>
      <c r="BD56" s="135"/>
      <c r="BE56" s="135" t="s">
        <v>2873</v>
      </c>
      <c r="BF56" s="135"/>
      <c r="BG56" s="135"/>
      <c r="BH56" s="135"/>
      <c r="BI56" s="135" t="s">
        <v>2873</v>
      </c>
      <c r="BJ56" s="135"/>
      <c r="BK56" s="135"/>
      <c r="BL56" s="135"/>
    </row>
    <row r="57">
      <c r="A57" s="128" t="s">
        <v>2785</v>
      </c>
      <c r="B57" s="129" t="s">
        <v>944</v>
      </c>
      <c r="C57" s="130" t="s">
        <v>942</v>
      </c>
      <c r="D57" s="130" t="s">
        <v>943</v>
      </c>
      <c r="E57" s="130">
        <v>2025.0</v>
      </c>
      <c r="F57" s="130">
        <v>6.0</v>
      </c>
      <c r="G57" s="131" t="s">
        <v>2605</v>
      </c>
      <c r="H57" s="132"/>
      <c r="I57" s="133" t="s">
        <v>3339</v>
      </c>
      <c r="J57" s="134" t="s">
        <v>2862</v>
      </c>
      <c r="K57" s="134" t="s">
        <v>3340</v>
      </c>
      <c r="L57" s="134" t="s">
        <v>2862</v>
      </c>
      <c r="M57" s="132" t="s">
        <v>3341</v>
      </c>
      <c r="N57" s="134" t="s">
        <v>2862</v>
      </c>
      <c r="O57" s="134" t="s">
        <v>3342</v>
      </c>
      <c r="P57" s="134" t="s">
        <v>2862</v>
      </c>
      <c r="Q57" s="134" t="s">
        <v>3343</v>
      </c>
      <c r="R57" s="134" t="s">
        <v>2862</v>
      </c>
      <c r="S57" s="134" t="s">
        <v>3344</v>
      </c>
      <c r="T57" s="135" t="s">
        <v>2868</v>
      </c>
      <c r="U57" s="135"/>
      <c r="V57" s="135" t="s">
        <v>3345</v>
      </c>
      <c r="W57" s="135" t="s">
        <v>3020</v>
      </c>
      <c r="X57" s="136" t="s">
        <v>3037</v>
      </c>
      <c r="Y57" s="135" t="s">
        <v>2873</v>
      </c>
      <c r="Z57" s="135"/>
      <c r="AA57" s="135" t="s">
        <v>2873</v>
      </c>
      <c r="AB57" s="135"/>
      <c r="AC57" s="135"/>
      <c r="AD57" s="135"/>
      <c r="AE57" s="135"/>
      <c r="AF57" s="135"/>
      <c r="AG57" s="135"/>
      <c r="AH57" s="135"/>
      <c r="AI57" s="135"/>
      <c r="AJ57" s="135"/>
      <c r="AK57" s="135"/>
      <c r="AL57" s="135"/>
      <c r="AM57" s="135"/>
      <c r="AN57" s="135"/>
      <c r="AO57" s="135" t="s">
        <v>2873</v>
      </c>
      <c r="AP57" s="135"/>
      <c r="AQ57" s="135"/>
      <c r="AR57" s="135" t="s">
        <v>2873</v>
      </c>
      <c r="AS57" s="135" t="s">
        <v>2873</v>
      </c>
      <c r="AT57" s="135"/>
      <c r="AU57" s="135"/>
      <c r="AV57" s="135" t="s">
        <v>2873</v>
      </c>
      <c r="AW57" s="135"/>
      <c r="AX57" s="135" t="s">
        <v>2873</v>
      </c>
      <c r="AY57" s="135"/>
      <c r="AZ57" s="135" t="s">
        <v>2873</v>
      </c>
      <c r="BA57" s="135"/>
      <c r="BB57" s="135"/>
      <c r="BC57" s="135" t="s">
        <v>2873</v>
      </c>
      <c r="BD57" s="135"/>
      <c r="BE57" s="135"/>
      <c r="BF57" s="135"/>
      <c r="BG57" s="135"/>
      <c r="BH57" s="135"/>
      <c r="BI57" s="135" t="s">
        <v>2873</v>
      </c>
      <c r="BJ57" s="135"/>
      <c r="BK57" s="135"/>
      <c r="BL57" s="135"/>
    </row>
    <row r="58">
      <c r="A58" s="128" t="s">
        <v>2786</v>
      </c>
      <c r="B58" s="129" t="s">
        <v>962</v>
      </c>
      <c r="C58" s="130" t="s">
        <v>960</v>
      </c>
      <c r="D58" s="130" t="s">
        <v>961</v>
      </c>
      <c r="E58" s="130">
        <v>2025.0</v>
      </c>
      <c r="F58" s="130">
        <f>-(1004-1010)</f>
        <v>6</v>
      </c>
      <c r="G58" s="131" t="s">
        <v>2605</v>
      </c>
      <c r="H58" s="132"/>
      <c r="I58" s="133" t="s">
        <v>3346</v>
      </c>
      <c r="J58" s="134" t="s">
        <v>2877</v>
      </c>
      <c r="K58" s="134" t="s">
        <v>3347</v>
      </c>
      <c r="L58" s="134" t="s">
        <v>2877</v>
      </c>
      <c r="M58" s="132" t="s">
        <v>3348</v>
      </c>
      <c r="N58" s="134" t="s">
        <v>2877</v>
      </c>
      <c r="O58" s="134" t="s">
        <v>3349</v>
      </c>
      <c r="P58" s="134" t="s">
        <v>2877</v>
      </c>
      <c r="Q58" s="134" t="s">
        <v>3350</v>
      </c>
      <c r="R58" s="134" t="s">
        <v>2875</v>
      </c>
      <c r="S58" s="134" t="s">
        <v>2876</v>
      </c>
      <c r="T58" s="135" t="s">
        <v>2964</v>
      </c>
      <c r="U58" s="136" t="s">
        <v>2869</v>
      </c>
      <c r="V58" s="135" t="s">
        <v>3055</v>
      </c>
      <c r="W58" s="135" t="s">
        <v>3238</v>
      </c>
      <c r="X58" s="135" t="s">
        <v>2881</v>
      </c>
      <c r="Y58" s="135"/>
      <c r="Z58" s="135"/>
      <c r="AA58" s="135"/>
      <c r="AB58" s="135"/>
      <c r="AC58" s="135"/>
      <c r="AD58" s="135"/>
      <c r="AE58" s="135"/>
      <c r="AF58" s="135" t="s">
        <v>2873</v>
      </c>
      <c r="AG58" s="135"/>
      <c r="AH58" s="135" t="s">
        <v>2873</v>
      </c>
      <c r="AI58" s="135" t="s">
        <v>2873</v>
      </c>
      <c r="AJ58" s="135" t="s">
        <v>2873</v>
      </c>
      <c r="AK58" s="135" t="s">
        <v>2873</v>
      </c>
      <c r="AL58" s="135" t="s">
        <v>2873</v>
      </c>
      <c r="AM58" s="135"/>
      <c r="AN58" s="135"/>
      <c r="AO58" s="135" t="s">
        <v>2873</v>
      </c>
      <c r="AP58" s="135"/>
      <c r="AQ58" s="135" t="s">
        <v>2873</v>
      </c>
      <c r="AR58" s="135"/>
      <c r="AS58" s="135"/>
      <c r="AT58" s="135"/>
      <c r="AU58" s="135"/>
      <c r="AV58" s="135"/>
      <c r="AW58" s="135"/>
      <c r="AX58" s="135" t="s">
        <v>2873</v>
      </c>
      <c r="AY58" s="135"/>
      <c r="AZ58" s="135" t="s">
        <v>2873</v>
      </c>
      <c r="BA58" s="135"/>
      <c r="BB58" s="135"/>
      <c r="BC58" s="135"/>
      <c r="BD58" s="135"/>
      <c r="BE58" s="135"/>
      <c r="BF58" s="135"/>
      <c r="BG58" s="135"/>
      <c r="BH58" s="135"/>
      <c r="BI58" s="135"/>
      <c r="BJ58" s="135"/>
      <c r="BK58" s="135"/>
      <c r="BL58" s="135" t="s">
        <v>2873</v>
      </c>
    </row>
    <row r="59">
      <c r="A59" s="128" t="s">
        <v>2787</v>
      </c>
      <c r="B59" s="129" t="s">
        <v>1253</v>
      </c>
      <c r="C59" s="130" t="s">
        <v>1252</v>
      </c>
      <c r="D59" s="130" t="s">
        <v>648</v>
      </c>
      <c r="E59" s="130">
        <v>2025.0</v>
      </c>
      <c r="F59" s="130">
        <f>-(166241-166253)</f>
        <v>12</v>
      </c>
      <c r="G59" s="131" t="s">
        <v>2605</v>
      </c>
      <c r="H59" s="132"/>
      <c r="I59" s="133" t="s">
        <v>3351</v>
      </c>
      <c r="J59" s="134" t="s">
        <v>2877</v>
      </c>
      <c r="K59" s="134" t="s">
        <v>3352</v>
      </c>
      <c r="L59" s="134" t="s">
        <v>2862</v>
      </c>
      <c r="M59" s="134" t="s">
        <v>3353</v>
      </c>
      <c r="N59" s="134" t="s">
        <v>2877</v>
      </c>
      <c r="O59" s="134" t="s">
        <v>3354</v>
      </c>
      <c r="P59" s="134" t="s">
        <v>2862</v>
      </c>
      <c r="Q59" s="134" t="s">
        <v>3355</v>
      </c>
      <c r="R59" s="134" t="s">
        <v>2862</v>
      </c>
      <c r="S59" s="134" t="s">
        <v>3356</v>
      </c>
      <c r="T59" s="135" t="s">
        <v>3253</v>
      </c>
      <c r="U59" s="136" t="s">
        <v>2930</v>
      </c>
      <c r="V59" s="135" t="s">
        <v>3200</v>
      </c>
      <c r="W59" s="135" t="s">
        <v>2894</v>
      </c>
      <c r="X59" s="136" t="s">
        <v>2943</v>
      </c>
      <c r="Y59" s="135"/>
      <c r="Z59" s="135"/>
      <c r="AA59" s="135" t="s">
        <v>2873</v>
      </c>
      <c r="AB59" s="135" t="s">
        <v>2873</v>
      </c>
      <c r="AC59" s="135" t="s">
        <v>2873</v>
      </c>
      <c r="AD59" s="135" t="s">
        <v>2873</v>
      </c>
      <c r="AE59" s="135"/>
      <c r="AF59" s="135"/>
      <c r="AG59" s="135"/>
      <c r="AH59" s="135"/>
      <c r="AI59" s="135" t="s">
        <v>2873</v>
      </c>
      <c r="AJ59" s="135" t="s">
        <v>2873</v>
      </c>
      <c r="AK59" s="135" t="s">
        <v>2873</v>
      </c>
      <c r="AL59" s="135" t="s">
        <v>2873</v>
      </c>
      <c r="AM59" s="135"/>
      <c r="AN59" s="135"/>
      <c r="AO59" s="135" t="s">
        <v>2873</v>
      </c>
      <c r="AP59" s="135"/>
      <c r="AQ59" s="135"/>
      <c r="AR59" s="135" t="s">
        <v>2873</v>
      </c>
      <c r="AS59" s="135"/>
      <c r="AT59" s="135" t="s">
        <v>2873</v>
      </c>
      <c r="AU59" s="135"/>
      <c r="AV59" s="135"/>
      <c r="AW59" s="135"/>
      <c r="AX59" s="135" t="s">
        <v>2873</v>
      </c>
      <c r="AY59" s="135"/>
      <c r="AZ59" s="135"/>
      <c r="BA59" s="135"/>
      <c r="BB59" s="135"/>
      <c r="BC59" s="135" t="s">
        <v>2873</v>
      </c>
      <c r="BD59" s="135"/>
      <c r="BE59" s="135"/>
      <c r="BF59" s="135"/>
      <c r="BG59" s="135" t="s">
        <v>2873</v>
      </c>
      <c r="BH59" s="135" t="s">
        <v>2873</v>
      </c>
      <c r="BI59" s="135"/>
      <c r="BJ59" s="135"/>
      <c r="BK59" s="135" t="s">
        <v>2873</v>
      </c>
      <c r="BL59" s="135"/>
    </row>
    <row r="60">
      <c r="A60" s="128" t="s">
        <v>2788</v>
      </c>
      <c r="B60" s="137" t="s">
        <v>1367</v>
      </c>
      <c r="C60" s="130" t="s">
        <v>1366</v>
      </c>
      <c r="D60" s="130" t="s">
        <v>23</v>
      </c>
      <c r="E60" s="138">
        <v>2025.0</v>
      </c>
      <c r="F60" s="130">
        <v>18.0</v>
      </c>
      <c r="G60" s="131" t="s">
        <v>2678</v>
      </c>
      <c r="H60" s="132"/>
      <c r="I60" s="133" t="s">
        <v>3357</v>
      </c>
      <c r="J60" s="134" t="s">
        <v>2862</v>
      </c>
      <c r="K60" s="134" t="s">
        <v>3358</v>
      </c>
      <c r="L60" s="134" t="s">
        <v>2862</v>
      </c>
      <c r="M60" s="132" t="s">
        <v>3359</v>
      </c>
      <c r="N60" s="134" t="s">
        <v>2862</v>
      </c>
      <c r="O60" s="134" t="s">
        <v>3360</v>
      </c>
      <c r="P60" s="134" t="s">
        <v>2862</v>
      </c>
      <c r="Q60" s="134" t="s">
        <v>3361</v>
      </c>
      <c r="R60" s="134" t="s">
        <v>2862</v>
      </c>
      <c r="S60" s="134" t="s">
        <v>3362</v>
      </c>
      <c r="T60" s="135" t="s">
        <v>2999</v>
      </c>
      <c r="U60" s="135" t="s">
        <v>3363</v>
      </c>
      <c r="V60" s="135" t="s">
        <v>3228</v>
      </c>
      <c r="W60" s="135" t="s">
        <v>3364</v>
      </c>
      <c r="X60" s="136" t="s">
        <v>2933</v>
      </c>
      <c r="Y60" s="135"/>
      <c r="Z60" s="135"/>
      <c r="AA60" s="135"/>
      <c r="AB60" s="135"/>
      <c r="AC60" s="135" t="s">
        <v>2873</v>
      </c>
      <c r="AD60" s="135"/>
      <c r="AE60" s="135"/>
      <c r="AF60" s="135"/>
      <c r="AG60" s="135"/>
      <c r="AH60" s="135"/>
      <c r="AI60" s="135" t="s">
        <v>2873</v>
      </c>
      <c r="AJ60" s="135"/>
      <c r="AK60" s="135" t="s">
        <v>2873</v>
      </c>
      <c r="AL60" s="135"/>
      <c r="AM60" s="135"/>
      <c r="AN60" s="135"/>
      <c r="AO60" s="135" t="s">
        <v>2873</v>
      </c>
      <c r="AP60" s="135"/>
      <c r="AQ60" s="135"/>
      <c r="AR60" s="135"/>
      <c r="AS60" s="135" t="s">
        <v>2873</v>
      </c>
      <c r="AT60" s="135"/>
      <c r="AU60" s="135"/>
      <c r="AV60" s="135"/>
      <c r="AW60" s="135"/>
      <c r="AX60" s="135"/>
      <c r="AY60" s="135"/>
      <c r="AZ60" s="135"/>
      <c r="BA60" s="135" t="s">
        <v>2873</v>
      </c>
      <c r="BB60" s="135"/>
      <c r="BC60" s="135" t="s">
        <v>2873</v>
      </c>
      <c r="BD60" s="135"/>
      <c r="BE60" s="135"/>
      <c r="BF60" s="135"/>
      <c r="BG60" s="135" t="s">
        <v>2873</v>
      </c>
      <c r="BH60" s="135"/>
      <c r="BI60" s="135"/>
      <c r="BJ60" s="135"/>
      <c r="BK60" s="135" t="s">
        <v>2873</v>
      </c>
      <c r="BL60" s="135"/>
    </row>
    <row r="61">
      <c r="A61" s="128" t="s">
        <v>2789</v>
      </c>
      <c r="B61" s="137" t="s">
        <v>1599</v>
      </c>
      <c r="C61" s="130" t="s">
        <v>1598</v>
      </c>
      <c r="D61" s="130" t="s">
        <v>23</v>
      </c>
      <c r="E61" s="138">
        <v>2025.0</v>
      </c>
      <c r="F61" s="130">
        <f>-(54-59)</f>
        <v>5</v>
      </c>
      <c r="G61" s="131" t="s">
        <v>2678</v>
      </c>
      <c r="H61" s="132"/>
      <c r="I61" s="133" t="s">
        <v>3365</v>
      </c>
      <c r="J61" s="134" t="s">
        <v>2862</v>
      </c>
      <c r="K61" s="134" t="s">
        <v>3366</v>
      </c>
      <c r="L61" s="134" t="s">
        <v>2862</v>
      </c>
      <c r="M61" s="132" t="s">
        <v>3367</v>
      </c>
      <c r="N61" s="134" t="s">
        <v>2862</v>
      </c>
      <c r="O61" s="134" t="s">
        <v>3368</v>
      </c>
      <c r="P61" s="134" t="s">
        <v>2877</v>
      </c>
      <c r="Q61" s="134" t="s">
        <v>3369</v>
      </c>
      <c r="R61" s="134" t="s">
        <v>2862</v>
      </c>
      <c r="S61" s="134" t="s">
        <v>3370</v>
      </c>
      <c r="T61" s="135" t="s">
        <v>2920</v>
      </c>
      <c r="U61" s="136" t="s">
        <v>3183</v>
      </c>
      <c r="V61" s="135" t="s">
        <v>3371</v>
      </c>
      <c r="W61" s="136" t="s">
        <v>3372</v>
      </c>
      <c r="X61" s="136" t="s">
        <v>3373</v>
      </c>
      <c r="Y61" s="135" t="s">
        <v>2873</v>
      </c>
      <c r="Z61" s="135"/>
      <c r="AA61" s="135" t="s">
        <v>2873</v>
      </c>
      <c r="AB61" s="135" t="s">
        <v>2873</v>
      </c>
      <c r="AC61" s="135"/>
      <c r="AD61" s="135" t="s">
        <v>2873</v>
      </c>
      <c r="AE61" s="135"/>
      <c r="AF61" s="135"/>
      <c r="AG61" s="135"/>
      <c r="AH61" s="135"/>
      <c r="AI61" s="135"/>
      <c r="AJ61" s="135" t="s">
        <v>2873</v>
      </c>
      <c r="AK61" s="135" t="s">
        <v>2873</v>
      </c>
      <c r="AL61" s="135" t="s">
        <v>2873</v>
      </c>
      <c r="AM61" s="135"/>
      <c r="AN61" s="135"/>
      <c r="AO61" s="135" t="s">
        <v>2873</v>
      </c>
      <c r="AP61" s="135"/>
      <c r="AQ61" s="135"/>
      <c r="AR61" s="135"/>
      <c r="AS61" s="135"/>
      <c r="AT61" s="135"/>
      <c r="AU61" s="135" t="s">
        <v>2873</v>
      </c>
      <c r="AV61" s="135"/>
      <c r="AW61" s="135"/>
      <c r="AX61" s="135" t="s">
        <v>2873</v>
      </c>
      <c r="AY61" s="135" t="s">
        <v>2873</v>
      </c>
      <c r="AZ61" s="135" t="s">
        <v>2873</v>
      </c>
      <c r="BA61" s="135"/>
      <c r="BB61" s="135"/>
      <c r="BC61" s="135"/>
      <c r="BD61" s="135" t="s">
        <v>2873</v>
      </c>
      <c r="BE61" s="135"/>
      <c r="BF61" s="135"/>
      <c r="BG61" s="135"/>
      <c r="BH61" s="135" t="s">
        <v>2873</v>
      </c>
      <c r="BI61" s="135"/>
      <c r="BJ61" s="135" t="s">
        <v>2873</v>
      </c>
      <c r="BK61" s="135"/>
      <c r="BL61" s="135"/>
    </row>
    <row r="62">
      <c r="A62" s="128" t="s">
        <v>2790</v>
      </c>
      <c r="B62" s="129" t="s">
        <v>1359</v>
      </c>
      <c r="C62" s="130" t="s">
        <v>1358</v>
      </c>
      <c r="D62" s="130" t="s">
        <v>23</v>
      </c>
      <c r="E62" s="138">
        <v>2025.0</v>
      </c>
      <c r="F62" s="130">
        <f>-(244-266)</f>
        <v>22</v>
      </c>
      <c r="G62" s="140" t="s">
        <v>2607</v>
      </c>
      <c r="H62" s="132"/>
      <c r="I62" s="133" t="s">
        <v>3374</v>
      </c>
      <c r="J62" s="134" t="s">
        <v>2877</v>
      </c>
      <c r="K62" s="134" t="s">
        <v>3375</v>
      </c>
      <c r="L62" s="134" t="s">
        <v>2877</v>
      </c>
      <c r="M62" s="132" t="s">
        <v>3376</v>
      </c>
      <c r="N62" s="134" t="s">
        <v>2862</v>
      </c>
      <c r="O62" s="134" t="s">
        <v>3377</v>
      </c>
      <c r="P62" s="134" t="s">
        <v>2877</v>
      </c>
      <c r="Q62" s="134" t="s">
        <v>3378</v>
      </c>
      <c r="R62" s="134" t="s">
        <v>2862</v>
      </c>
      <c r="S62" s="134" t="s">
        <v>3379</v>
      </c>
      <c r="T62" s="135" t="s">
        <v>3380</v>
      </c>
      <c r="U62" s="136" t="s">
        <v>2930</v>
      </c>
      <c r="V62" s="135" t="s">
        <v>3381</v>
      </c>
      <c r="W62" s="135" t="s">
        <v>3078</v>
      </c>
      <c r="X62" s="136" t="s">
        <v>3160</v>
      </c>
      <c r="Y62" s="135" t="s">
        <v>2873</v>
      </c>
      <c r="Z62" s="135" t="s">
        <v>2873</v>
      </c>
      <c r="AA62" s="135"/>
      <c r="AB62" s="135"/>
      <c r="AC62" s="135"/>
      <c r="AD62" s="135" t="s">
        <v>2873</v>
      </c>
      <c r="AE62" s="135"/>
      <c r="AF62" s="135"/>
      <c r="AG62" s="135"/>
      <c r="AH62" s="135"/>
      <c r="AI62" s="135" t="s">
        <v>2873</v>
      </c>
      <c r="AJ62" s="135" t="s">
        <v>2873</v>
      </c>
      <c r="AK62" s="135" t="s">
        <v>2873</v>
      </c>
      <c r="AL62" s="135" t="s">
        <v>2873</v>
      </c>
      <c r="AM62" s="135"/>
      <c r="AN62" s="135"/>
      <c r="AO62" s="135"/>
      <c r="AP62" s="135" t="s">
        <v>2873</v>
      </c>
      <c r="AQ62" s="135" t="s">
        <v>2873</v>
      </c>
      <c r="AR62" s="135"/>
      <c r="AS62" s="135"/>
      <c r="AT62" s="135"/>
      <c r="AU62" s="135" t="s">
        <v>2873</v>
      </c>
      <c r="AV62" s="135"/>
      <c r="AW62" s="135"/>
      <c r="AX62" s="135" t="s">
        <v>2873</v>
      </c>
      <c r="AY62" s="135"/>
      <c r="AZ62" s="135"/>
      <c r="BA62" s="135"/>
      <c r="BB62" s="135"/>
      <c r="BC62" s="135" t="s">
        <v>2873</v>
      </c>
      <c r="BD62" s="135" t="s">
        <v>2873</v>
      </c>
      <c r="BE62" s="135"/>
      <c r="BF62" s="135"/>
      <c r="BG62" s="135" t="s">
        <v>2873</v>
      </c>
      <c r="BH62" s="135"/>
      <c r="BI62" s="135" t="s">
        <v>2873</v>
      </c>
      <c r="BJ62" s="135"/>
      <c r="BK62" s="135"/>
      <c r="BL62" s="135"/>
    </row>
    <row r="63">
      <c r="A63" s="128" t="s">
        <v>2791</v>
      </c>
      <c r="B63" s="129" t="s">
        <v>1832</v>
      </c>
      <c r="C63" s="130" t="s">
        <v>1831</v>
      </c>
      <c r="D63" s="130" t="s">
        <v>23</v>
      </c>
      <c r="E63" s="138">
        <v>2025.0</v>
      </c>
      <c r="F63" s="147">
        <f>-(1-26)</f>
        <v>25</v>
      </c>
      <c r="G63" s="140" t="s">
        <v>2607</v>
      </c>
      <c r="H63" s="132"/>
      <c r="I63" s="133" t="s">
        <v>3382</v>
      </c>
      <c r="J63" s="134" t="s">
        <v>2862</v>
      </c>
      <c r="K63" s="134" t="s">
        <v>3383</v>
      </c>
      <c r="L63" s="134" t="s">
        <v>2862</v>
      </c>
      <c r="M63" s="132" t="s">
        <v>3384</v>
      </c>
      <c r="N63" s="134" t="s">
        <v>2862</v>
      </c>
      <c r="O63" s="134" t="s">
        <v>3385</v>
      </c>
      <c r="P63" s="134" t="s">
        <v>2862</v>
      </c>
      <c r="Q63" s="134" t="s">
        <v>3386</v>
      </c>
      <c r="R63" s="134" t="s">
        <v>2862</v>
      </c>
      <c r="S63" s="134" t="s">
        <v>3387</v>
      </c>
      <c r="T63" s="135" t="s">
        <v>3388</v>
      </c>
      <c r="U63" s="136" t="s">
        <v>2930</v>
      </c>
      <c r="V63" s="135" t="s">
        <v>3389</v>
      </c>
      <c r="W63" s="135" t="s">
        <v>3390</v>
      </c>
      <c r="X63" s="136" t="s">
        <v>2923</v>
      </c>
      <c r="Y63" s="135"/>
      <c r="Z63" s="135"/>
      <c r="AA63" s="135" t="s">
        <v>2873</v>
      </c>
      <c r="AB63" s="135" t="s">
        <v>2873</v>
      </c>
      <c r="AC63" s="135" t="s">
        <v>2873</v>
      </c>
      <c r="AD63" s="135"/>
      <c r="AE63" s="135"/>
      <c r="AF63" s="135"/>
      <c r="AG63" s="135"/>
      <c r="AH63" s="135"/>
      <c r="AI63" s="135" t="s">
        <v>2873</v>
      </c>
      <c r="AJ63" s="135" t="s">
        <v>2873</v>
      </c>
      <c r="AK63" s="135" t="s">
        <v>2873</v>
      </c>
      <c r="AL63" s="135" t="s">
        <v>2873</v>
      </c>
      <c r="AM63" s="135"/>
      <c r="AN63" s="135"/>
      <c r="AO63" s="135" t="s">
        <v>2873</v>
      </c>
      <c r="AP63" s="135" t="s">
        <v>2873</v>
      </c>
      <c r="AQ63" s="135" t="s">
        <v>2873</v>
      </c>
      <c r="AR63" s="135"/>
      <c r="AS63" s="135"/>
      <c r="AT63" s="135" t="s">
        <v>2873</v>
      </c>
      <c r="AU63" s="135" t="s">
        <v>2873</v>
      </c>
      <c r="AV63" s="135"/>
      <c r="AW63" s="135"/>
      <c r="AX63" s="135"/>
      <c r="AY63" s="135" t="s">
        <v>2873</v>
      </c>
      <c r="AZ63" s="135" t="s">
        <v>2873</v>
      </c>
      <c r="BA63" s="135"/>
      <c r="BB63" s="135" t="s">
        <v>2873</v>
      </c>
      <c r="BC63" s="135" t="s">
        <v>2873</v>
      </c>
      <c r="BD63" s="135"/>
      <c r="BE63" s="135"/>
      <c r="BF63" s="135"/>
      <c r="BG63" s="135"/>
      <c r="BH63" s="135"/>
      <c r="BI63" s="135"/>
      <c r="BJ63" s="135"/>
      <c r="BK63" s="135" t="s">
        <v>2873</v>
      </c>
      <c r="BL63" s="135"/>
    </row>
    <row r="64">
      <c r="A64" s="128" t="s">
        <v>2792</v>
      </c>
      <c r="B64" s="129" t="s">
        <v>1864</v>
      </c>
      <c r="C64" s="130" t="s">
        <v>1863</v>
      </c>
      <c r="D64" s="130" t="s">
        <v>23</v>
      </c>
      <c r="E64" s="138">
        <v>2025.0</v>
      </c>
      <c r="F64" s="147">
        <f>-(1663-1683)</f>
        <v>20</v>
      </c>
      <c r="G64" s="140" t="s">
        <v>2607</v>
      </c>
      <c r="H64" s="132"/>
      <c r="I64" s="133" t="s">
        <v>3391</v>
      </c>
      <c r="J64" s="134" t="s">
        <v>2877</v>
      </c>
      <c r="K64" s="134" t="s">
        <v>3392</v>
      </c>
      <c r="L64" s="134" t="s">
        <v>2877</v>
      </c>
      <c r="M64" s="132" t="s">
        <v>3393</v>
      </c>
      <c r="N64" s="134" t="s">
        <v>2862</v>
      </c>
      <c r="O64" s="134" t="s">
        <v>3394</v>
      </c>
      <c r="P64" s="134" t="s">
        <v>2862</v>
      </c>
      <c r="Q64" s="134" t="s">
        <v>3395</v>
      </c>
      <c r="R64" s="134" t="s">
        <v>2862</v>
      </c>
      <c r="S64" s="134" t="s">
        <v>3396</v>
      </c>
      <c r="T64" s="135" t="s">
        <v>2868</v>
      </c>
      <c r="U64" s="136" t="s">
        <v>3095</v>
      </c>
      <c r="V64" s="135" t="s">
        <v>3397</v>
      </c>
      <c r="W64" s="135" t="s">
        <v>3398</v>
      </c>
      <c r="X64" s="136" t="s">
        <v>2895</v>
      </c>
      <c r="Y64" s="135" t="s">
        <v>2873</v>
      </c>
      <c r="Z64" s="135"/>
      <c r="AA64" s="135" t="s">
        <v>2873</v>
      </c>
      <c r="AB64" s="135"/>
      <c r="AC64" s="135"/>
      <c r="AD64" s="135"/>
      <c r="AE64" s="135"/>
      <c r="AF64" s="135"/>
      <c r="AG64" s="135"/>
      <c r="AH64" s="135"/>
      <c r="AI64" s="135" t="s">
        <v>2873</v>
      </c>
      <c r="AJ64" s="135" t="s">
        <v>2873</v>
      </c>
      <c r="AK64" s="135" t="s">
        <v>2873</v>
      </c>
      <c r="AL64" s="135" t="s">
        <v>2873</v>
      </c>
      <c r="AM64" s="135" t="s">
        <v>2873</v>
      </c>
      <c r="AN64" s="135"/>
      <c r="AO64" s="135" t="s">
        <v>2873</v>
      </c>
      <c r="AP64" s="135"/>
      <c r="AQ64" s="135"/>
      <c r="AR64" s="135" t="s">
        <v>2873</v>
      </c>
      <c r="AS64" s="135" t="s">
        <v>2873</v>
      </c>
      <c r="AT64" s="135"/>
      <c r="AU64" s="135" t="s">
        <v>2873</v>
      </c>
      <c r="AV64" s="135"/>
      <c r="AW64" s="135"/>
      <c r="AX64" s="135" t="s">
        <v>2873</v>
      </c>
      <c r="AY64" s="135"/>
      <c r="AZ64" s="135"/>
      <c r="BA64" s="135" t="s">
        <v>2873</v>
      </c>
      <c r="BB64" s="135" t="s">
        <v>2873</v>
      </c>
      <c r="BC64" s="135"/>
      <c r="BD64" s="135"/>
      <c r="BE64" s="135"/>
      <c r="BF64" s="135"/>
      <c r="BG64" s="135" t="s">
        <v>2873</v>
      </c>
      <c r="BH64" s="135"/>
      <c r="BI64" s="135"/>
      <c r="BJ64" s="135"/>
      <c r="BK64" s="135"/>
      <c r="BL64" s="135"/>
    </row>
    <row r="65">
      <c r="A65" s="128" t="s">
        <v>2793</v>
      </c>
      <c r="B65" s="129" t="s">
        <v>1690</v>
      </c>
      <c r="C65" s="130" t="s">
        <v>1689</v>
      </c>
      <c r="D65" s="130" t="s">
        <v>23</v>
      </c>
      <c r="E65" s="138">
        <v>2025.0</v>
      </c>
      <c r="F65" s="147">
        <f>-(67-103)</f>
        <v>36</v>
      </c>
      <c r="G65" s="140" t="s">
        <v>2607</v>
      </c>
      <c r="H65" s="132"/>
      <c r="I65" s="133" t="s">
        <v>3399</v>
      </c>
      <c r="J65" s="134" t="s">
        <v>2877</v>
      </c>
      <c r="K65" s="134" t="s">
        <v>3400</v>
      </c>
      <c r="L65" s="134" t="s">
        <v>2877</v>
      </c>
      <c r="M65" s="132" t="s">
        <v>3401</v>
      </c>
      <c r="N65" s="134" t="s">
        <v>2862</v>
      </c>
      <c r="O65" s="134" t="s">
        <v>3402</v>
      </c>
      <c r="P65" s="134" t="s">
        <v>2862</v>
      </c>
      <c r="Q65" s="134" t="s">
        <v>3403</v>
      </c>
      <c r="R65" s="134" t="s">
        <v>2862</v>
      </c>
      <c r="S65" s="134" t="s">
        <v>3404</v>
      </c>
      <c r="T65" s="136" t="s">
        <v>3337</v>
      </c>
      <c r="U65" s="136" t="s">
        <v>2869</v>
      </c>
      <c r="V65" s="136" t="s">
        <v>3405</v>
      </c>
      <c r="W65" s="135" t="s">
        <v>2914</v>
      </c>
      <c r="X65" s="136" t="s">
        <v>2982</v>
      </c>
      <c r="Y65" s="135" t="s">
        <v>2873</v>
      </c>
      <c r="Z65" s="135"/>
      <c r="AA65" s="135" t="s">
        <v>2873</v>
      </c>
      <c r="AB65" s="135"/>
      <c r="AC65" s="135"/>
      <c r="AD65" s="135" t="s">
        <v>2873</v>
      </c>
      <c r="AE65" s="135"/>
      <c r="AF65" s="135"/>
      <c r="AG65" s="135"/>
      <c r="AH65" s="135" t="s">
        <v>2873</v>
      </c>
      <c r="AI65" s="135" t="s">
        <v>2873</v>
      </c>
      <c r="AJ65" s="135" t="s">
        <v>2873</v>
      </c>
      <c r="AK65" s="135" t="s">
        <v>2873</v>
      </c>
      <c r="AL65" s="135" t="s">
        <v>2873</v>
      </c>
      <c r="AM65" s="135"/>
      <c r="AN65" s="135"/>
      <c r="AO65" s="135" t="s">
        <v>2873</v>
      </c>
      <c r="AP65" s="135" t="s">
        <v>2873</v>
      </c>
      <c r="AQ65" s="135"/>
      <c r="AR65" s="135"/>
      <c r="AS65" s="135" t="s">
        <v>2873</v>
      </c>
      <c r="AT65" s="135" t="s">
        <v>2873</v>
      </c>
      <c r="AU65" s="135" t="s">
        <v>2873</v>
      </c>
      <c r="AV65" s="135"/>
      <c r="AW65" s="135"/>
      <c r="AX65" s="135" t="s">
        <v>2873</v>
      </c>
      <c r="AY65" s="135"/>
      <c r="AZ65" s="135"/>
      <c r="BA65" s="135"/>
      <c r="BB65" s="135"/>
      <c r="BC65" s="135"/>
      <c r="BD65" s="135"/>
      <c r="BE65" s="135"/>
      <c r="BF65" s="135"/>
      <c r="BG65" s="136" t="s">
        <v>3135</v>
      </c>
      <c r="BH65" s="135"/>
      <c r="BI65" s="135"/>
      <c r="BJ65" s="135"/>
      <c r="BK65" s="135"/>
      <c r="BL65" s="135"/>
    </row>
    <row r="66">
      <c r="A66" s="128" t="s">
        <v>2794</v>
      </c>
      <c r="B66" s="129" t="s">
        <v>1896</v>
      </c>
      <c r="C66" s="130" t="s">
        <v>1895</v>
      </c>
      <c r="D66" s="130" t="s">
        <v>23</v>
      </c>
      <c r="E66" s="138">
        <v>2025.0</v>
      </c>
      <c r="F66" s="147">
        <f>-(198-219)</f>
        <v>21</v>
      </c>
      <c r="G66" s="140" t="s">
        <v>2607</v>
      </c>
      <c r="H66" s="132"/>
      <c r="I66" s="133" t="s">
        <v>3406</v>
      </c>
      <c r="J66" s="134" t="s">
        <v>2862</v>
      </c>
      <c r="K66" s="134" t="s">
        <v>3407</v>
      </c>
      <c r="L66" s="134" t="s">
        <v>2862</v>
      </c>
      <c r="M66" s="132" t="s">
        <v>3408</v>
      </c>
      <c r="N66" s="134" t="s">
        <v>2862</v>
      </c>
      <c r="O66" s="134" t="s">
        <v>3409</v>
      </c>
      <c r="P66" s="134" t="s">
        <v>2877</v>
      </c>
      <c r="Q66" s="134" t="s">
        <v>3410</v>
      </c>
      <c r="R66" s="134" t="s">
        <v>2862</v>
      </c>
      <c r="S66" s="134" t="s">
        <v>3411</v>
      </c>
      <c r="T66" s="135" t="s">
        <v>3412</v>
      </c>
      <c r="U66" s="136" t="s">
        <v>3413</v>
      </c>
      <c r="V66" s="135" t="s">
        <v>3414</v>
      </c>
      <c r="W66" s="135" t="s">
        <v>3415</v>
      </c>
      <c r="X66" s="136" t="s">
        <v>3160</v>
      </c>
      <c r="Y66" s="135"/>
      <c r="Z66" s="135" t="s">
        <v>2873</v>
      </c>
      <c r="AA66" s="135" t="s">
        <v>2873</v>
      </c>
      <c r="AB66" s="135" t="s">
        <v>2873</v>
      </c>
      <c r="AC66" s="135"/>
      <c r="AD66" s="135" t="s">
        <v>2873</v>
      </c>
      <c r="AE66" s="135"/>
      <c r="AF66" s="135"/>
      <c r="AG66" s="135"/>
      <c r="AH66" s="135" t="s">
        <v>2873</v>
      </c>
      <c r="AI66" s="135" t="s">
        <v>2873</v>
      </c>
      <c r="AJ66" s="135" t="s">
        <v>2873</v>
      </c>
      <c r="AK66" s="135" t="s">
        <v>2873</v>
      </c>
      <c r="AL66" s="135"/>
      <c r="AM66" s="135"/>
      <c r="AN66" s="135"/>
      <c r="AO66" s="135" t="s">
        <v>2873</v>
      </c>
      <c r="AP66" s="135"/>
      <c r="AQ66" s="135"/>
      <c r="AR66" s="135"/>
      <c r="AS66" s="135"/>
      <c r="AT66" s="135"/>
      <c r="AU66" s="135"/>
      <c r="AV66" s="135" t="s">
        <v>2873</v>
      </c>
      <c r="AW66" s="135"/>
      <c r="AX66" s="135" t="s">
        <v>2873</v>
      </c>
      <c r="AY66" s="135"/>
      <c r="AZ66" s="135"/>
      <c r="BA66" s="135"/>
      <c r="BB66" s="135"/>
      <c r="BC66" s="135"/>
      <c r="BD66" s="135" t="s">
        <v>2873</v>
      </c>
      <c r="BE66" s="135"/>
      <c r="BF66" s="135"/>
      <c r="BG66" s="135" t="s">
        <v>2873</v>
      </c>
      <c r="BH66" s="135"/>
      <c r="BI66" s="135" t="s">
        <v>2873</v>
      </c>
      <c r="BJ66" s="135"/>
      <c r="BK66" s="135"/>
      <c r="BL66" s="135"/>
    </row>
    <row r="67">
      <c r="A67" s="128" t="s">
        <v>2795</v>
      </c>
      <c r="B67" s="129" t="s">
        <v>2147</v>
      </c>
      <c r="C67" s="142" t="s">
        <v>2146</v>
      </c>
      <c r="D67" s="130" t="s">
        <v>2117</v>
      </c>
      <c r="E67" s="130">
        <v>2025.0</v>
      </c>
      <c r="F67" s="148">
        <v>10.0</v>
      </c>
      <c r="G67" s="140" t="s">
        <v>2608</v>
      </c>
      <c r="H67" s="132"/>
      <c r="I67" s="133" t="s">
        <v>3416</v>
      </c>
      <c r="J67" s="134" t="s">
        <v>2862</v>
      </c>
      <c r="K67" s="134" t="s">
        <v>3417</v>
      </c>
      <c r="L67" s="134" t="s">
        <v>2862</v>
      </c>
      <c r="M67" s="132" t="s">
        <v>3418</v>
      </c>
      <c r="N67" s="134" t="s">
        <v>2862</v>
      </c>
      <c r="O67" s="134" t="s">
        <v>3419</v>
      </c>
      <c r="P67" s="134" t="s">
        <v>2862</v>
      </c>
      <c r="Q67" s="134" t="s">
        <v>3420</v>
      </c>
      <c r="R67" s="134" t="s">
        <v>2862</v>
      </c>
      <c r="S67" s="134" t="s">
        <v>3421</v>
      </c>
      <c r="T67" s="135" t="s">
        <v>3094</v>
      </c>
      <c r="U67" s="136" t="s">
        <v>3422</v>
      </c>
      <c r="V67" s="135" t="s">
        <v>3071</v>
      </c>
      <c r="W67" s="135" t="s">
        <v>3423</v>
      </c>
      <c r="X67" s="135" t="s">
        <v>3046</v>
      </c>
      <c r="Y67" s="135"/>
      <c r="Z67" s="135"/>
      <c r="AA67" s="135"/>
      <c r="AB67" s="135" t="s">
        <v>2873</v>
      </c>
      <c r="AC67" s="135"/>
      <c r="AD67" s="135" t="s">
        <v>2873</v>
      </c>
      <c r="AE67" s="135"/>
      <c r="AF67" s="135"/>
      <c r="AG67" s="135"/>
      <c r="AH67" s="135" t="s">
        <v>2873</v>
      </c>
      <c r="AI67" s="135" t="s">
        <v>2873</v>
      </c>
      <c r="AJ67" s="135" t="s">
        <v>2873</v>
      </c>
      <c r="AK67" s="135" t="s">
        <v>2873</v>
      </c>
      <c r="AL67" s="135"/>
      <c r="AM67" s="135" t="s">
        <v>2873</v>
      </c>
      <c r="AN67" s="135"/>
      <c r="AO67" s="135" t="s">
        <v>2873</v>
      </c>
      <c r="AP67" s="135" t="s">
        <v>2873</v>
      </c>
      <c r="AQ67" s="135"/>
      <c r="AR67" s="135" t="s">
        <v>2873</v>
      </c>
      <c r="AS67" s="135" t="s">
        <v>2873</v>
      </c>
      <c r="AT67" s="135"/>
      <c r="AU67" s="135"/>
      <c r="AV67" s="135"/>
      <c r="AW67" s="135"/>
      <c r="AX67" s="135" t="s">
        <v>2873</v>
      </c>
      <c r="AY67" s="135" t="s">
        <v>2873</v>
      </c>
      <c r="AZ67" s="135" t="s">
        <v>2873</v>
      </c>
      <c r="BA67" s="135" t="s">
        <v>2873</v>
      </c>
      <c r="BB67" s="135"/>
      <c r="BC67" s="135"/>
      <c r="BD67" s="135"/>
      <c r="BE67" s="135"/>
      <c r="BF67" s="135"/>
      <c r="BG67" s="135"/>
      <c r="BH67" s="135" t="s">
        <v>2873</v>
      </c>
      <c r="BI67" s="135"/>
      <c r="BJ67" s="135"/>
      <c r="BK67" s="135" t="s">
        <v>2873</v>
      </c>
      <c r="BL67" s="135"/>
    </row>
    <row r="68">
      <c r="A68" s="128" t="s">
        <v>2796</v>
      </c>
      <c r="B68" s="129" t="s">
        <v>2220</v>
      </c>
      <c r="C68" s="142" t="s">
        <v>2219</v>
      </c>
      <c r="D68" s="130" t="s">
        <v>2124</v>
      </c>
      <c r="E68" s="130">
        <v>2025.0</v>
      </c>
      <c r="F68" s="148">
        <v>35.0</v>
      </c>
      <c r="G68" s="140" t="s">
        <v>2608</v>
      </c>
      <c r="H68" s="132"/>
      <c r="I68" s="133" t="s">
        <v>3424</v>
      </c>
      <c r="J68" s="134" t="s">
        <v>2862</v>
      </c>
      <c r="K68" s="134" t="s">
        <v>3425</v>
      </c>
      <c r="L68" s="134" t="s">
        <v>2862</v>
      </c>
      <c r="M68" s="134" t="s">
        <v>3426</v>
      </c>
      <c r="N68" s="134" t="s">
        <v>2862</v>
      </c>
      <c r="O68" s="134" t="s">
        <v>3427</v>
      </c>
      <c r="P68" s="134" t="s">
        <v>2877</v>
      </c>
      <c r="Q68" s="134" t="s">
        <v>3428</v>
      </c>
      <c r="R68" s="134" t="s">
        <v>2862</v>
      </c>
      <c r="S68" s="134" t="s">
        <v>3429</v>
      </c>
      <c r="T68" s="135" t="s">
        <v>3430</v>
      </c>
      <c r="U68" s="136" t="s">
        <v>2869</v>
      </c>
      <c r="V68" s="135" t="s">
        <v>3431</v>
      </c>
      <c r="W68" s="135" t="s">
        <v>3143</v>
      </c>
      <c r="X68" s="136" t="s">
        <v>3432</v>
      </c>
      <c r="Y68" s="135"/>
      <c r="Z68" s="135" t="s">
        <v>2873</v>
      </c>
      <c r="AA68" s="135"/>
      <c r="AB68" s="135"/>
      <c r="AC68" s="135"/>
      <c r="AD68" s="135" t="s">
        <v>2873</v>
      </c>
      <c r="AE68" s="135"/>
      <c r="AF68" s="135"/>
      <c r="AG68" s="135"/>
      <c r="AH68" s="135" t="s">
        <v>2873</v>
      </c>
      <c r="AI68" s="135" t="s">
        <v>2873</v>
      </c>
      <c r="AJ68" s="135" t="s">
        <v>2873</v>
      </c>
      <c r="AK68" s="135" t="s">
        <v>2873</v>
      </c>
      <c r="AL68" s="135" t="s">
        <v>2873</v>
      </c>
      <c r="AM68" s="135"/>
      <c r="AN68" s="135"/>
      <c r="AO68" s="135" t="s">
        <v>2873</v>
      </c>
      <c r="AP68" s="135"/>
      <c r="AQ68" s="135"/>
      <c r="AR68" s="135"/>
      <c r="AS68" s="135" t="s">
        <v>2873</v>
      </c>
      <c r="AT68" s="135"/>
      <c r="AU68" s="135"/>
      <c r="AV68" s="135" t="s">
        <v>2873</v>
      </c>
      <c r="AW68" s="135"/>
      <c r="AX68" s="135" t="s">
        <v>2873</v>
      </c>
      <c r="AY68" s="135" t="s">
        <v>2873</v>
      </c>
      <c r="AZ68" s="135"/>
      <c r="BA68" s="135"/>
      <c r="BB68" s="135"/>
      <c r="BC68" s="135"/>
      <c r="BD68" s="135"/>
      <c r="BE68" s="135"/>
      <c r="BF68" s="135"/>
      <c r="BG68" s="135" t="s">
        <v>2873</v>
      </c>
      <c r="BH68" s="135"/>
      <c r="BI68" s="135" t="s">
        <v>2873</v>
      </c>
      <c r="BJ68" s="135" t="s">
        <v>2873</v>
      </c>
      <c r="BK68" s="135" t="s">
        <v>2873</v>
      </c>
      <c r="BL68" s="135"/>
    </row>
    <row r="69">
      <c r="A69" s="128" t="s">
        <v>2797</v>
      </c>
      <c r="B69" s="129" t="s">
        <v>2385</v>
      </c>
      <c r="C69" s="142" t="s">
        <v>2384</v>
      </c>
      <c r="D69" s="130" t="s">
        <v>2124</v>
      </c>
      <c r="E69" s="130">
        <v>2025.0</v>
      </c>
      <c r="F69" s="148">
        <v>15.0</v>
      </c>
      <c r="G69" s="140" t="s">
        <v>2608</v>
      </c>
      <c r="H69" s="132"/>
      <c r="I69" s="133" t="s">
        <v>3433</v>
      </c>
      <c r="J69" s="134" t="s">
        <v>2862</v>
      </c>
      <c r="K69" s="134" t="s">
        <v>3434</v>
      </c>
      <c r="L69" s="134" t="s">
        <v>2877</v>
      </c>
      <c r="M69" s="132" t="s">
        <v>3435</v>
      </c>
      <c r="N69" s="134" t="s">
        <v>2862</v>
      </c>
      <c r="O69" s="134" t="s">
        <v>3436</v>
      </c>
      <c r="P69" s="134" t="s">
        <v>2877</v>
      </c>
      <c r="Q69" s="134" t="s">
        <v>3437</v>
      </c>
      <c r="R69" s="134" t="s">
        <v>2862</v>
      </c>
      <c r="S69" s="134" t="s">
        <v>3438</v>
      </c>
      <c r="T69" s="135" t="s">
        <v>2920</v>
      </c>
      <c r="U69" s="136" t="s">
        <v>2930</v>
      </c>
      <c r="V69" s="135" t="s">
        <v>3439</v>
      </c>
      <c r="W69" s="135" t="s">
        <v>3440</v>
      </c>
      <c r="X69" s="136" t="s">
        <v>3160</v>
      </c>
      <c r="Y69" s="135" t="s">
        <v>2873</v>
      </c>
      <c r="Z69" s="135"/>
      <c r="AA69" s="135" t="s">
        <v>2873</v>
      </c>
      <c r="AB69" s="135" t="s">
        <v>2873</v>
      </c>
      <c r="AC69" s="135"/>
      <c r="AD69" s="135" t="s">
        <v>2873</v>
      </c>
      <c r="AE69" s="135"/>
      <c r="AF69" s="135"/>
      <c r="AG69" s="135"/>
      <c r="AH69" s="135"/>
      <c r="AI69" s="135" t="s">
        <v>2873</v>
      </c>
      <c r="AJ69" s="135" t="s">
        <v>2873</v>
      </c>
      <c r="AK69" s="135" t="s">
        <v>2873</v>
      </c>
      <c r="AL69" s="135" t="s">
        <v>2873</v>
      </c>
      <c r="AM69" s="135"/>
      <c r="AN69" s="135"/>
      <c r="AO69" s="135" t="s">
        <v>2873</v>
      </c>
      <c r="AP69" s="135"/>
      <c r="AQ69" s="135"/>
      <c r="AR69" s="135" t="s">
        <v>2873</v>
      </c>
      <c r="AS69" s="135"/>
      <c r="AT69" s="135"/>
      <c r="AU69" s="135" t="s">
        <v>2873</v>
      </c>
      <c r="AV69" s="135" t="s">
        <v>2873</v>
      </c>
      <c r="AW69" s="135"/>
      <c r="AX69" s="135" t="s">
        <v>2873</v>
      </c>
      <c r="AY69" s="135"/>
      <c r="AZ69" s="135" t="s">
        <v>2873</v>
      </c>
      <c r="BA69" s="135"/>
      <c r="BB69" s="135"/>
      <c r="BC69" s="135" t="s">
        <v>2873</v>
      </c>
      <c r="BD69" s="135" t="s">
        <v>2873</v>
      </c>
      <c r="BE69" s="135"/>
      <c r="BF69" s="135"/>
      <c r="BG69" s="135" t="s">
        <v>2873</v>
      </c>
      <c r="BH69" s="135"/>
      <c r="BI69" s="135" t="s">
        <v>2873</v>
      </c>
      <c r="BJ69" s="135"/>
      <c r="BK69" s="135"/>
      <c r="BL69" s="135"/>
    </row>
    <row r="70">
      <c r="A70" s="128" t="s">
        <v>2798</v>
      </c>
      <c r="B70" s="129" t="s">
        <v>2519</v>
      </c>
      <c r="C70" s="142" t="s">
        <v>2518</v>
      </c>
      <c r="D70" s="130" t="s">
        <v>2124</v>
      </c>
      <c r="E70" s="130">
        <v>2025.0</v>
      </c>
      <c r="F70" s="148">
        <v>15.0</v>
      </c>
      <c r="G70" s="140" t="s">
        <v>2608</v>
      </c>
      <c r="I70" s="133" t="s">
        <v>3441</v>
      </c>
      <c r="J70" s="134" t="s">
        <v>2877</v>
      </c>
      <c r="K70" s="140" t="s">
        <v>3442</v>
      </c>
      <c r="L70" s="134" t="s">
        <v>2877</v>
      </c>
      <c r="M70" s="140" t="s">
        <v>3443</v>
      </c>
      <c r="N70" s="134" t="s">
        <v>2862</v>
      </c>
      <c r="O70" s="140" t="s">
        <v>3444</v>
      </c>
      <c r="P70" s="134" t="s">
        <v>2877</v>
      </c>
      <c r="Q70" s="140" t="s">
        <v>3445</v>
      </c>
      <c r="R70" s="134" t="s">
        <v>2877</v>
      </c>
      <c r="S70" s="140" t="s">
        <v>3446</v>
      </c>
      <c r="T70" s="135" t="s">
        <v>3337</v>
      </c>
      <c r="U70" s="136" t="s">
        <v>2930</v>
      </c>
      <c r="V70" s="135" t="s">
        <v>3345</v>
      </c>
      <c r="W70" s="135" t="s">
        <v>2894</v>
      </c>
      <c r="X70" s="136" t="s">
        <v>3447</v>
      </c>
      <c r="Y70" s="135" t="s">
        <v>2873</v>
      </c>
      <c r="Z70" s="135"/>
      <c r="AA70" s="135" t="s">
        <v>2873</v>
      </c>
      <c r="AB70" s="135"/>
      <c r="AC70" s="135"/>
      <c r="AD70" s="135" t="s">
        <v>2873</v>
      </c>
      <c r="AE70" s="135"/>
      <c r="AF70" s="135"/>
      <c r="AG70" s="135"/>
      <c r="AH70" s="135"/>
      <c r="AI70" s="135" t="s">
        <v>2873</v>
      </c>
      <c r="AJ70" s="135" t="s">
        <v>2873</v>
      </c>
      <c r="AK70" s="135" t="s">
        <v>2873</v>
      </c>
      <c r="AL70" s="135" t="s">
        <v>2873</v>
      </c>
      <c r="AM70" s="135"/>
      <c r="AN70" s="135"/>
      <c r="AO70" s="135" t="s">
        <v>2873</v>
      </c>
      <c r="AP70" s="135"/>
      <c r="AQ70" s="135"/>
      <c r="AR70" s="135" t="s">
        <v>2873</v>
      </c>
      <c r="AS70" s="135" t="s">
        <v>2873</v>
      </c>
      <c r="AT70" s="135"/>
      <c r="AU70" s="135"/>
      <c r="AV70" s="135" t="s">
        <v>2873</v>
      </c>
      <c r="AW70" s="135"/>
      <c r="AX70" s="135" t="s">
        <v>2873</v>
      </c>
      <c r="AY70" s="135"/>
      <c r="AZ70" s="135"/>
      <c r="BA70" s="135"/>
      <c r="BB70" s="135"/>
      <c r="BC70" s="135" t="s">
        <v>2873</v>
      </c>
      <c r="BD70" s="135"/>
      <c r="BE70" s="135"/>
      <c r="BF70" s="135"/>
      <c r="BG70" s="135"/>
      <c r="BH70" s="135" t="s">
        <v>2873</v>
      </c>
      <c r="BI70" s="135" t="s">
        <v>2873</v>
      </c>
      <c r="BJ70" s="135" t="s">
        <v>2873</v>
      </c>
      <c r="BK70" s="135"/>
      <c r="BL70" s="135"/>
    </row>
    <row r="71">
      <c r="A71" s="128" t="s">
        <v>2799</v>
      </c>
      <c r="B71" s="129" t="s">
        <v>226</v>
      </c>
      <c r="C71" s="130" t="s">
        <v>225</v>
      </c>
      <c r="D71" s="130" t="s">
        <v>23</v>
      </c>
      <c r="E71" s="130">
        <v>2026.0</v>
      </c>
      <c r="F71" s="147">
        <f>-(95-122)</f>
        <v>27</v>
      </c>
      <c r="G71" s="131" t="s">
        <v>2604</v>
      </c>
      <c r="H71" s="132"/>
      <c r="I71" s="133" t="s">
        <v>3448</v>
      </c>
      <c r="J71" s="134" t="s">
        <v>2877</v>
      </c>
      <c r="K71" s="134" t="s">
        <v>3449</v>
      </c>
      <c r="L71" s="134" t="s">
        <v>2875</v>
      </c>
      <c r="M71" s="134" t="s">
        <v>2876</v>
      </c>
      <c r="N71" s="134" t="s">
        <v>2877</v>
      </c>
      <c r="O71" s="134" t="s">
        <v>3450</v>
      </c>
      <c r="P71" s="134" t="s">
        <v>2862</v>
      </c>
      <c r="Q71" s="134" t="s">
        <v>3451</v>
      </c>
      <c r="R71" s="134" t="s">
        <v>2877</v>
      </c>
      <c r="S71" s="134" t="s">
        <v>3452</v>
      </c>
      <c r="T71" s="135" t="s">
        <v>3453</v>
      </c>
      <c r="U71" s="135" t="s">
        <v>2881</v>
      </c>
      <c r="V71" s="135" t="s">
        <v>2870</v>
      </c>
      <c r="W71" s="135" t="s">
        <v>2914</v>
      </c>
      <c r="X71" s="135" t="s">
        <v>3087</v>
      </c>
      <c r="Y71" s="135"/>
      <c r="Z71" s="135"/>
      <c r="AA71" s="135"/>
      <c r="AB71" s="135"/>
      <c r="AC71" s="135"/>
      <c r="AD71" s="135" t="s">
        <v>2873</v>
      </c>
      <c r="AE71" s="135"/>
      <c r="AF71" s="135"/>
      <c r="AG71" s="135"/>
      <c r="AH71" s="135"/>
      <c r="AI71" s="135"/>
      <c r="AJ71" s="135"/>
      <c r="AK71" s="135"/>
      <c r="AL71" s="135"/>
      <c r="AM71" s="135"/>
      <c r="AN71" s="135" t="s">
        <v>2873</v>
      </c>
      <c r="AO71" s="135" t="s">
        <v>2873</v>
      </c>
      <c r="AP71" s="135" t="s">
        <v>2873</v>
      </c>
      <c r="AQ71" s="135"/>
      <c r="AR71" s="135" t="s">
        <v>2873</v>
      </c>
      <c r="AS71" s="135"/>
      <c r="AT71" s="135"/>
      <c r="AU71" s="135"/>
      <c r="AV71" s="135"/>
      <c r="AW71" s="135"/>
      <c r="AX71" s="135" t="s">
        <v>2873</v>
      </c>
      <c r="AY71" s="135"/>
      <c r="AZ71" s="135"/>
      <c r="BA71" s="135"/>
      <c r="BB71" s="135"/>
      <c r="BC71" s="135"/>
      <c r="BD71" s="135"/>
      <c r="BE71" s="135"/>
      <c r="BF71" s="135"/>
      <c r="BG71" s="135" t="s">
        <v>2873</v>
      </c>
      <c r="BH71" s="135"/>
      <c r="BI71" s="135" t="s">
        <v>2873</v>
      </c>
      <c r="BJ71" s="135"/>
      <c r="BK71" s="135" t="s">
        <v>2873</v>
      </c>
      <c r="BL71" s="135"/>
    </row>
    <row r="72">
      <c r="A72" s="128" t="s">
        <v>2800</v>
      </c>
      <c r="B72" s="129" t="s">
        <v>356</v>
      </c>
      <c r="C72" s="130" t="s">
        <v>355</v>
      </c>
      <c r="D72" s="130" t="s">
        <v>23</v>
      </c>
      <c r="E72" s="130">
        <v>2026.0</v>
      </c>
      <c r="F72" s="147">
        <v>36.0</v>
      </c>
      <c r="G72" s="131" t="s">
        <v>2604</v>
      </c>
      <c r="H72" s="132"/>
      <c r="I72" s="133" t="s">
        <v>3454</v>
      </c>
      <c r="J72" s="134" t="s">
        <v>2862</v>
      </c>
      <c r="K72" s="134" t="s">
        <v>3455</v>
      </c>
      <c r="L72" s="134" t="s">
        <v>2862</v>
      </c>
      <c r="M72" s="132" t="s">
        <v>3456</v>
      </c>
      <c r="N72" s="134" t="s">
        <v>2862</v>
      </c>
      <c r="O72" s="134" t="s">
        <v>3457</v>
      </c>
      <c r="P72" s="134" t="s">
        <v>2862</v>
      </c>
      <c r="Q72" s="134" t="s">
        <v>3458</v>
      </c>
      <c r="R72" s="134" t="s">
        <v>2862</v>
      </c>
      <c r="S72" s="134" t="s">
        <v>3459</v>
      </c>
      <c r="T72" s="135" t="s">
        <v>3460</v>
      </c>
      <c r="U72" s="135" t="s">
        <v>3461</v>
      </c>
      <c r="V72" s="135" t="s">
        <v>3371</v>
      </c>
      <c r="W72" s="135" t="s">
        <v>2914</v>
      </c>
      <c r="X72" s="136" t="s">
        <v>3160</v>
      </c>
      <c r="Y72" s="135"/>
      <c r="Z72" s="135" t="s">
        <v>2873</v>
      </c>
      <c r="AA72" s="135"/>
      <c r="AB72" s="135"/>
      <c r="AC72" s="135"/>
      <c r="AD72" s="135"/>
      <c r="AE72" s="135"/>
      <c r="AF72" s="135"/>
      <c r="AG72" s="135"/>
      <c r="AH72" s="135" t="s">
        <v>2873</v>
      </c>
      <c r="AI72" s="135"/>
      <c r="AJ72" s="135"/>
      <c r="AK72" s="135"/>
      <c r="AL72" s="135" t="s">
        <v>2873</v>
      </c>
      <c r="AM72" s="135"/>
      <c r="AN72" s="135"/>
      <c r="AO72" s="135" t="s">
        <v>2873</v>
      </c>
      <c r="AP72" s="135"/>
      <c r="AQ72" s="135"/>
      <c r="AR72" s="135"/>
      <c r="AS72" s="135"/>
      <c r="AT72" s="135"/>
      <c r="AU72" s="135" t="s">
        <v>2873</v>
      </c>
      <c r="AV72" s="135"/>
      <c r="AW72" s="135"/>
      <c r="AX72" s="135" t="s">
        <v>2873</v>
      </c>
      <c r="AY72" s="135"/>
      <c r="AZ72" s="135"/>
      <c r="BA72" s="135"/>
      <c r="BB72" s="135"/>
      <c r="BC72" s="135"/>
      <c r="BD72" s="135"/>
      <c r="BE72" s="135"/>
      <c r="BF72" s="135"/>
      <c r="BG72" s="135" t="s">
        <v>2873</v>
      </c>
      <c r="BH72" s="135"/>
      <c r="BI72" s="135" t="s">
        <v>2873</v>
      </c>
      <c r="BJ72" s="135"/>
      <c r="BK72" s="135"/>
      <c r="BL72" s="135"/>
    </row>
    <row r="73">
      <c r="A73" s="128" t="s">
        <v>2801</v>
      </c>
      <c r="B73" s="129" t="s">
        <v>439</v>
      </c>
      <c r="C73" s="130" t="s">
        <v>438</v>
      </c>
      <c r="D73" s="130" t="s">
        <v>23</v>
      </c>
      <c r="E73" s="130">
        <v>2026.0</v>
      </c>
      <c r="F73" s="147">
        <f>-(7-33)</f>
        <v>26</v>
      </c>
      <c r="G73" s="131" t="s">
        <v>2604</v>
      </c>
      <c r="H73" s="132"/>
      <c r="I73" s="133" t="s">
        <v>3462</v>
      </c>
      <c r="J73" s="134" t="s">
        <v>2862</v>
      </c>
      <c r="K73" s="134" t="s">
        <v>3463</v>
      </c>
      <c r="L73" s="134" t="s">
        <v>2862</v>
      </c>
      <c r="M73" s="132" t="s">
        <v>3464</v>
      </c>
      <c r="N73" s="134" t="s">
        <v>2862</v>
      </c>
      <c r="O73" s="134" t="s">
        <v>3465</v>
      </c>
      <c r="P73" s="134" t="s">
        <v>2862</v>
      </c>
      <c r="Q73" s="134" t="s">
        <v>3466</v>
      </c>
      <c r="R73" s="134" t="s">
        <v>2862</v>
      </c>
      <c r="S73" s="134" t="s">
        <v>3467</v>
      </c>
      <c r="T73" s="135" t="s">
        <v>3044</v>
      </c>
      <c r="U73" s="136" t="s">
        <v>3468</v>
      </c>
      <c r="V73" s="135" t="s">
        <v>3371</v>
      </c>
      <c r="W73" s="135" t="s">
        <v>3020</v>
      </c>
      <c r="X73" s="135" t="s">
        <v>3469</v>
      </c>
      <c r="Y73" s="135"/>
      <c r="Z73" s="135"/>
      <c r="AA73" s="135"/>
      <c r="AB73" s="135"/>
      <c r="AC73" s="135" t="s">
        <v>2873</v>
      </c>
      <c r="AD73" s="135" t="s">
        <v>2873</v>
      </c>
      <c r="AE73" s="135"/>
      <c r="AF73" s="135"/>
      <c r="AG73" s="135"/>
      <c r="AH73" s="135" t="s">
        <v>2873</v>
      </c>
      <c r="AI73" s="135" t="s">
        <v>2873</v>
      </c>
      <c r="AJ73" s="135"/>
      <c r="AK73" s="135"/>
      <c r="AL73" s="135"/>
      <c r="AM73" s="135"/>
      <c r="AN73" s="135"/>
      <c r="AO73" s="135" t="s">
        <v>2873</v>
      </c>
      <c r="AP73" s="135"/>
      <c r="AQ73" s="135"/>
      <c r="AR73" s="135"/>
      <c r="AS73" s="135"/>
      <c r="AT73" s="135"/>
      <c r="AU73" s="135" t="s">
        <v>2873</v>
      </c>
      <c r="AV73" s="135"/>
      <c r="AW73" s="135"/>
      <c r="AX73" s="135" t="s">
        <v>2873</v>
      </c>
      <c r="AY73" s="135"/>
      <c r="AZ73" s="135" t="s">
        <v>2873</v>
      </c>
      <c r="BA73" s="135"/>
      <c r="BB73" s="135"/>
      <c r="BC73" s="135" t="s">
        <v>2873</v>
      </c>
      <c r="BD73" s="135"/>
      <c r="BE73" s="135"/>
      <c r="BF73" s="135"/>
      <c r="BG73" s="135" t="s">
        <v>2873</v>
      </c>
      <c r="BH73" s="135" t="s">
        <v>2873</v>
      </c>
      <c r="BI73" s="135" t="s">
        <v>2873</v>
      </c>
      <c r="BJ73" s="135"/>
      <c r="BK73" s="135"/>
      <c r="BL73" s="135"/>
    </row>
    <row r="74">
      <c r="A74" s="128" t="s">
        <v>2802</v>
      </c>
      <c r="B74" s="129" t="s">
        <v>997</v>
      </c>
      <c r="C74" s="130" t="s">
        <v>996</v>
      </c>
      <c r="D74" s="130" t="s">
        <v>648</v>
      </c>
      <c r="E74" s="130">
        <v>2026.0</v>
      </c>
      <c r="F74" s="147">
        <f>-(45882-45895)</f>
        <v>13</v>
      </c>
      <c r="G74" s="131" t="s">
        <v>2605</v>
      </c>
      <c r="H74" s="132"/>
      <c r="I74" s="133" t="s">
        <v>3470</v>
      </c>
      <c r="J74" s="134" t="s">
        <v>2875</v>
      </c>
      <c r="K74" s="134" t="s">
        <v>2876</v>
      </c>
      <c r="L74" s="134" t="s">
        <v>2875</v>
      </c>
      <c r="M74" s="134" t="s">
        <v>2876</v>
      </c>
      <c r="N74" s="134" t="s">
        <v>2875</v>
      </c>
      <c r="O74" s="134" t="s">
        <v>2876</v>
      </c>
      <c r="P74" s="134" t="s">
        <v>2877</v>
      </c>
      <c r="Q74" s="134" t="s">
        <v>3471</v>
      </c>
      <c r="R74" s="134" t="s">
        <v>2862</v>
      </c>
      <c r="S74" s="134" t="s">
        <v>3472</v>
      </c>
      <c r="T74" s="135" t="s">
        <v>2881</v>
      </c>
      <c r="U74" s="135" t="s">
        <v>2881</v>
      </c>
      <c r="V74" s="135" t="s">
        <v>2881</v>
      </c>
      <c r="W74" s="135" t="s">
        <v>3143</v>
      </c>
      <c r="X74" s="136" t="s">
        <v>3160</v>
      </c>
      <c r="Y74" s="135"/>
      <c r="Z74" s="135"/>
      <c r="AA74" s="135"/>
      <c r="AB74" s="135"/>
      <c r="AC74" s="135"/>
      <c r="AD74" s="135"/>
      <c r="AE74" s="135"/>
      <c r="AF74" s="135"/>
      <c r="AG74" s="135" t="s">
        <v>2873</v>
      </c>
      <c r="AH74" s="135"/>
      <c r="AI74" s="135"/>
      <c r="AJ74" s="135"/>
      <c r="AK74" s="135"/>
      <c r="AL74" s="135"/>
      <c r="AM74" s="135"/>
      <c r="AN74" s="135" t="s">
        <v>2873</v>
      </c>
      <c r="AO74" s="135"/>
      <c r="AP74" s="135"/>
      <c r="AQ74" s="135"/>
      <c r="AR74" s="135"/>
      <c r="AS74" s="135"/>
      <c r="AT74" s="135"/>
      <c r="AU74" s="135"/>
      <c r="AV74" s="135"/>
      <c r="AW74" s="135" t="s">
        <v>2873</v>
      </c>
      <c r="AX74" s="135" t="s">
        <v>2873</v>
      </c>
      <c r="AY74" s="135" t="s">
        <v>2873</v>
      </c>
      <c r="AZ74" s="135"/>
      <c r="BA74" s="135"/>
      <c r="BB74" s="135"/>
      <c r="BC74" s="135"/>
      <c r="BD74" s="135"/>
      <c r="BE74" s="135"/>
      <c r="BF74" s="135"/>
      <c r="BG74" s="135" t="s">
        <v>2873</v>
      </c>
      <c r="BH74" s="135"/>
      <c r="BI74" s="135" t="s">
        <v>2873</v>
      </c>
      <c r="BJ74" s="135"/>
      <c r="BK74" s="135"/>
      <c r="BL74" s="135"/>
    </row>
    <row r="75">
      <c r="A75" s="128" t="s">
        <v>2803</v>
      </c>
      <c r="B75" s="137" t="s">
        <v>1552</v>
      </c>
      <c r="C75" s="130" t="s">
        <v>1551</v>
      </c>
      <c r="D75" s="130" t="s">
        <v>23</v>
      </c>
      <c r="E75" s="138">
        <v>2026.0</v>
      </c>
      <c r="F75" s="147">
        <f>-(366-375)</f>
        <v>9</v>
      </c>
      <c r="G75" s="131" t="s">
        <v>2678</v>
      </c>
      <c r="H75" s="132"/>
      <c r="I75" s="133" t="s">
        <v>3473</v>
      </c>
      <c r="J75" s="134" t="s">
        <v>2862</v>
      </c>
      <c r="K75" s="134" t="s">
        <v>3474</v>
      </c>
      <c r="L75" s="134" t="s">
        <v>2862</v>
      </c>
      <c r="M75" s="134" t="s">
        <v>3475</v>
      </c>
      <c r="N75" s="134" t="s">
        <v>2862</v>
      </c>
      <c r="O75" s="134" t="s">
        <v>3476</v>
      </c>
      <c r="P75" s="134" t="s">
        <v>2862</v>
      </c>
      <c r="Q75" s="134" t="s">
        <v>3477</v>
      </c>
      <c r="R75" s="134" t="s">
        <v>2862</v>
      </c>
      <c r="S75" s="134" t="s">
        <v>3478</v>
      </c>
      <c r="T75" s="135" t="s">
        <v>2912</v>
      </c>
      <c r="U75" s="135" t="s">
        <v>3305</v>
      </c>
      <c r="V75" s="135" t="s">
        <v>3479</v>
      </c>
      <c r="W75" s="135" t="s">
        <v>2894</v>
      </c>
      <c r="X75" s="136" t="s">
        <v>3480</v>
      </c>
      <c r="Y75" s="135" t="s">
        <v>2873</v>
      </c>
      <c r="Z75" s="135" t="s">
        <v>2873</v>
      </c>
      <c r="AA75" s="135"/>
      <c r="AB75" s="135" t="s">
        <v>2873</v>
      </c>
      <c r="AC75" s="135"/>
      <c r="AD75" s="135"/>
      <c r="AE75" s="135"/>
      <c r="AF75" s="135"/>
      <c r="AG75" s="135"/>
      <c r="AH75" s="135"/>
      <c r="AI75" s="135"/>
      <c r="AJ75" s="135" t="s">
        <v>2873</v>
      </c>
      <c r="AK75" s="135" t="s">
        <v>2873</v>
      </c>
      <c r="AL75" s="135"/>
      <c r="AM75" s="135"/>
      <c r="AN75" s="135"/>
      <c r="AO75" s="135" t="s">
        <v>2873</v>
      </c>
      <c r="AP75" s="135" t="s">
        <v>2873</v>
      </c>
      <c r="AQ75" s="135" t="s">
        <v>2873</v>
      </c>
      <c r="AR75" s="135" t="s">
        <v>2873</v>
      </c>
      <c r="AS75" s="135"/>
      <c r="AT75" s="135" t="s">
        <v>2873</v>
      </c>
      <c r="AU75" s="135"/>
      <c r="AV75" s="135"/>
      <c r="AW75" s="135"/>
      <c r="AX75" s="135" t="s">
        <v>2873</v>
      </c>
      <c r="AY75" s="135"/>
      <c r="AZ75" s="135"/>
      <c r="BA75" s="135"/>
      <c r="BB75" s="135"/>
      <c r="BC75" s="135" t="s">
        <v>2873</v>
      </c>
      <c r="BD75" s="135"/>
      <c r="BE75" s="135"/>
      <c r="BF75" s="135" t="s">
        <v>2873</v>
      </c>
      <c r="BG75" s="135"/>
      <c r="BH75" s="135"/>
      <c r="BI75" s="135" t="s">
        <v>2873</v>
      </c>
      <c r="BJ75" s="135"/>
      <c r="BK75" s="135" t="s">
        <v>2873</v>
      </c>
      <c r="BL75" s="135"/>
    </row>
    <row r="76">
      <c r="A76" s="128" t="s">
        <v>2804</v>
      </c>
      <c r="B76" s="129" t="s">
        <v>1727</v>
      </c>
      <c r="C76" s="130" t="s">
        <v>1726</v>
      </c>
      <c r="D76" s="130" t="s">
        <v>23</v>
      </c>
      <c r="E76" s="138">
        <v>2026.0</v>
      </c>
      <c r="F76" s="147">
        <f>-(1-24)</f>
        <v>23</v>
      </c>
      <c r="G76" s="140" t="s">
        <v>2607</v>
      </c>
      <c r="H76" s="132"/>
      <c r="I76" s="133" t="s">
        <v>3481</v>
      </c>
      <c r="J76" s="134" t="s">
        <v>2877</v>
      </c>
      <c r="K76" s="134" t="s">
        <v>3482</v>
      </c>
      <c r="L76" s="134" t="s">
        <v>2875</v>
      </c>
      <c r="M76" s="134" t="s">
        <v>2876</v>
      </c>
      <c r="N76" s="134" t="s">
        <v>2862</v>
      </c>
      <c r="O76" s="134" t="s">
        <v>3483</v>
      </c>
      <c r="P76" s="134" t="s">
        <v>2877</v>
      </c>
      <c r="Q76" s="134" t="s">
        <v>3484</v>
      </c>
      <c r="R76" s="134" t="s">
        <v>2862</v>
      </c>
      <c r="S76" s="134" t="s">
        <v>3485</v>
      </c>
      <c r="T76" s="135" t="s">
        <v>3227</v>
      </c>
      <c r="U76" s="135" t="s">
        <v>2881</v>
      </c>
      <c r="V76" s="135" t="s">
        <v>3486</v>
      </c>
      <c r="W76" s="135" t="s">
        <v>3238</v>
      </c>
      <c r="X76" s="136" t="s">
        <v>3487</v>
      </c>
      <c r="Y76" s="135" t="s">
        <v>2873</v>
      </c>
      <c r="Z76" s="135"/>
      <c r="AA76" s="135" t="s">
        <v>2873</v>
      </c>
      <c r="AB76" s="135"/>
      <c r="AC76" s="135"/>
      <c r="AD76" s="135" t="s">
        <v>2873</v>
      </c>
      <c r="AE76" s="135" t="s">
        <v>2873</v>
      </c>
      <c r="AF76" s="135"/>
      <c r="AG76" s="135"/>
      <c r="AH76" s="135"/>
      <c r="AI76" s="135"/>
      <c r="AJ76" s="135"/>
      <c r="AK76" s="135"/>
      <c r="AL76" s="135"/>
      <c r="AM76" s="135"/>
      <c r="AN76" s="135" t="s">
        <v>2873</v>
      </c>
      <c r="AO76" s="135" t="s">
        <v>2873</v>
      </c>
      <c r="AP76" s="135"/>
      <c r="AQ76" s="135" t="s">
        <v>2873</v>
      </c>
      <c r="AR76" s="135" t="s">
        <v>2873</v>
      </c>
      <c r="AS76" s="135"/>
      <c r="AT76" s="135" t="s">
        <v>2873</v>
      </c>
      <c r="AU76" s="135"/>
      <c r="AV76" s="135"/>
      <c r="AW76" s="135"/>
      <c r="AX76" s="135" t="s">
        <v>2873</v>
      </c>
      <c r="AY76" s="135"/>
      <c r="AZ76" s="135" t="s">
        <v>2873</v>
      </c>
      <c r="BA76" s="135"/>
      <c r="BB76" s="135"/>
      <c r="BC76" s="135"/>
      <c r="BD76" s="135"/>
      <c r="BE76" s="135"/>
      <c r="BF76" s="135"/>
      <c r="BG76" s="135"/>
      <c r="BH76" s="135"/>
      <c r="BI76" s="135" t="s">
        <v>2873</v>
      </c>
      <c r="BJ76" s="135" t="s">
        <v>2873</v>
      </c>
      <c r="BK76" s="135"/>
      <c r="BL76" s="135"/>
    </row>
    <row r="77">
      <c r="A77" s="128" t="s">
        <v>2805</v>
      </c>
      <c r="B77" s="129" t="s">
        <v>1735</v>
      </c>
      <c r="C77" s="130" t="s">
        <v>1734</v>
      </c>
      <c r="D77" s="130" t="s">
        <v>23</v>
      </c>
      <c r="E77" s="138">
        <v>2026.0</v>
      </c>
      <c r="F77" s="130">
        <f>-(1-23)</f>
        <v>22</v>
      </c>
      <c r="G77" s="140" t="s">
        <v>2607</v>
      </c>
      <c r="H77" s="132"/>
      <c r="I77" s="133" t="s">
        <v>3488</v>
      </c>
      <c r="J77" s="134" t="s">
        <v>2862</v>
      </c>
      <c r="K77" s="134" t="s">
        <v>3489</v>
      </c>
      <c r="L77" s="134" t="s">
        <v>2862</v>
      </c>
      <c r="M77" s="132" t="s">
        <v>3490</v>
      </c>
      <c r="N77" s="134" t="s">
        <v>2862</v>
      </c>
      <c r="O77" s="134" t="s">
        <v>3491</v>
      </c>
      <c r="P77" s="134" t="s">
        <v>2862</v>
      </c>
      <c r="Q77" s="134" t="s">
        <v>3492</v>
      </c>
      <c r="R77" s="134" t="s">
        <v>2862</v>
      </c>
      <c r="S77" s="134" t="s">
        <v>3493</v>
      </c>
      <c r="T77" s="135" t="s">
        <v>3287</v>
      </c>
      <c r="U77" s="136" t="s">
        <v>3095</v>
      </c>
      <c r="V77" s="135" t="s">
        <v>3371</v>
      </c>
      <c r="W77" s="135" t="s">
        <v>2932</v>
      </c>
      <c r="X77" s="136" t="s">
        <v>3494</v>
      </c>
      <c r="Y77" s="135"/>
      <c r="Z77" s="135"/>
      <c r="AA77" s="135" t="s">
        <v>2873</v>
      </c>
      <c r="AB77" s="135"/>
      <c r="AC77" s="135"/>
      <c r="AD77" s="135"/>
      <c r="AE77" s="135"/>
      <c r="AF77" s="135"/>
      <c r="AG77" s="135"/>
      <c r="AH77" s="135"/>
      <c r="AI77" s="135" t="s">
        <v>2873</v>
      </c>
      <c r="AJ77" s="135" t="s">
        <v>2873</v>
      </c>
      <c r="AK77" s="135" t="s">
        <v>2873</v>
      </c>
      <c r="AL77" s="135" t="s">
        <v>2873</v>
      </c>
      <c r="AM77" s="135" t="s">
        <v>2873</v>
      </c>
      <c r="AN77" s="135"/>
      <c r="AO77" s="135" t="s">
        <v>2873</v>
      </c>
      <c r="AP77" s="135"/>
      <c r="AQ77" s="135"/>
      <c r="AR77" s="135"/>
      <c r="AS77" s="135"/>
      <c r="AT77" s="135"/>
      <c r="AU77" s="135" t="s">
        <v>2873</v>
      </c>
      <c r="AV77" s="135"/>
      <c r="AW77" s="135"/>
      <c r="AX77" s="135"/>
      <c r="AY77" s="135"/>
      <c r="AZ77" s="135"/>
      <c r="BA77" s="135"/>
      <c r="BB77" s="135"/>
      <c r="BC77" s="135"/>
      <c r="BD77" s="135" t="s">
        <v>2873</v>
      </c>
      <c r="BE77" s="135"/>
      <c r="BF77" s="135" t="s">
        <v>2873</v>
      </c>
      <c r="BG77" s="135" t="s">
        <v>2873</v>
      </c>
      <c r="BH77" s="135"/>
      <c r="BI77" s="135" t="s">
        <v>2873</v>
      </c>
      <c r="BJ77" s="135"/>
      <c r="BK77" s="135"/>
      <c r="BL77" s="135"/>
    </row>
    <row r="78">
      <c r="A78" s="128" t="s">
        <v>2806</v>
      </c>
      <c r="B78" s="129" t="s">
        <v>1767</v>
      </c>
      <c r="C78" s="130" t="s">
        <v>1766</v>
      </c>
      <c r="D78" s="130" t="s">
        <v>23</v>
      </c>
      <c r="E78" s="138">
        <v>2026.0</v>
      </c>
      <c r="F78" s="147">
        <f>-(1-34)</f>
        <v>33</v>
      </c>
      <c r="G78" s="140" t="s">
        <v>2607</v>
      </c>
      <c r="H78" s="132"/>
      <c r="I78" s="133" t="s">
        <v>3495</v>
      </c>
      <c r="J78" s="134" t="s">
        <v>2862</v>
      </c>
      <c r="K78" s="134" t="s">
        <v>3496</v>
      </c>
      <c r="L78" s="134" t="s">
        <v>2862</v>
      </c>
      <c r="M78" s="132" t="s">
        <v>3497</v>
      </c>
      <c r="N78" s="134" t="s">
        <v>2862</v>
      </c>
      <c r="O78" s="134" t="s">
        <v>3498</v>
      </c>
      <c r="P78" s="134" t="s">
        <v>2862</v>
      </c>
      <c r="Q78" s="134" t="s">
        <v>3499</v>
      </c>
      <c r="R78" s="134" t="s">
        <v>2862</v>
      </c>
      <c r="S78" s="134" t="s">
        <v>3500</v>
      </c>
      <c r="T78" s="135" t="s">
        <v>3501</v>
      </c>
      <c r="U78" s="135" t="s">
        <v>3167</v>
      </c>
      <c r="V78" s="136" t="s">
        <v>3502</v>
      </c>
      <c r="W78" s="135" t="s">
        <v>3108</v>
      </c>
      <c r="X78" s="136" t="s">
        <v>3220</v>
      </c>
      <c r="Y78" s="135" t="s">
        <v>2873</v>
      </c>
      <c r="Z78" s="135"/>
      <c r="AA78" s="135" t="s">
        <v>2873</v>
      </c>
      <c r="AB78" s="135"/>
      <c r="AC78" s="135" t="s">
        <v>2873</v>
      </c>
      <c r="AD78" s="135"/>
      <c r="AE78" s="135"/>
      <c r="AF78" s="135"/>
      <c r="AG78" s="135"/>
      <c r="AH78" s="135" t="s">
        <v>2873</v>
      </c>
      <c r="AI78" s="135"/>
      <c r="AJ78" s="135"/>
      <c r="AK78" s="135" t="s">
        <v>2873</v>
      </c>
      <c r="AL78" s="135"/>
      <c r="AM78" s="135"/>
      <c r="AN78" s="135"/>
      <c r="AO78" s="135"/>
      <c r="AP78" s="135" t="s">
        <v>2873</v>
      </c>
      <c r="AQ78" s="135" t="s">
        <v>2873</v>
      </c>
      <c r="AR78" s="135"/>
      <c r="AS78" s="135"/>
      <c r="AT78" s="135"/>
      <c r="AU78" s="135"/>
      <c r="AV78" s="135"/>
      <c r="AW78" s="135"/>
      <c r="AX78" s="135" t="s">
        <v>2873</v>
      </c>
      <c r="AY78" s="135" t="s">
        <v>2873</v>
      </c>
      <c r="AZ78" s="135"/>
      <c r="BA78" s="135"/>
      <c r="BB78" s="135"/>
      <c r="BC78" s="135" t="s">
        <v>2873</v>
      </c>
      <c r="BD78" s="135"/>
      <c r="BE78" s="135"/>
      <c r="BF78" s="135"/>
      <c r="BG78" s="135" t="s">
        <v>2873</v>
      </c>
      <c r="BH78" s="135" t="s">
        <v>2873</v>
      </c>
      <c r="BI78" s="135"/>
      <c r="BJ78" s="135"/>
      <c r="BK78" s="135" t="s">
        <v>2873</v>
      </c>
      <c r="BL78" s="135"/>
    </row>
    <row r="79">
      <c r="A79" s="128" t="s">
        <v>2807</v>
      </c>
      <c r="B79" s="129" t="s">
        <v>2269</v>
      </c>
      <c r="C79" s="142" t="s">
        <v>2268</v>
      </c>
      <c r="D79" s="130" t="s">
        <v>2124</v>
      </c>
      <c r="E79" s="130">
        <v>2026.0</v>
      </c>
      <c r="F79" s="148">
        <v>34.0</v>
      </c>
      <c r="G79" s="140" t="s">
        <v>2608</v>
      </c>
      <c r="H79" s="132"/>
      <c r="I79" s="133" t="s">
        <v>3503</v>
      </c>
      <c r="J79" s="134" t="s">
        <v>2862</v>
      </c>
      <c r="K79" s="134" t="s">
        <v>3504</v>
      </c>
      <c r="L79" s="134" t="s">
        <v>2862</v>
      </c>
      <c r="M79" s="132" t="s">
        <v>3505</v>
      </c>
      <c r="N79" s="134" t="s">
        <v>2862</v>
      </c>
      <c r="O79" s="134" t="s">
        <v>3506</v>
      </c>
      <c r="P79" s="134" t="s">
        <v>2862</v>
      </c>
      <c r="Q79" s="134" t="s">
        <v>3507</v>
      </c>
      <c r="R79" s="134" t="s">
        <v>2862</v>
      </c>
      <c r="S79" s="134" t="s">
        <v>3508</v>
      </c>
      <c r="T79" s="135" t="s">
        <v>3107</v>
      </c>
      <c r="U79" s="135" t="s">
        <v>3509</v>
      </c>
      <c r="V79" s="135" t="s">
        <v>3219</v>
      </c>
      <c r="W79" s="135" t="s">
        <v>3010</v>
      </c>
      <c r="X79" s="135" t="s">
        <v>2905</v>
      </c>
      <c r="Y79" s="135"/>
      <c r="Z79" s="135"/>
      <c r="AA79" s="135" t="s">
        <v>2873</v>
      </c>
      <c r="AB79" s="135"/>
      <c r="AC79" s="135" t="s">
        <v>2873</v>
      </c>
      <c r="AD79" s="135"/>
      <c r="AE79" s="135"/>
      <c r="AF79" s="135"/>
      <c r="AG79" s="135"/>
      <c r="AH79" s="135"/>
      <c r="AI79" s="135" t="s">
        <v>2873</v>
      </c>
      <c r="AJ79" s="135"/>
      <c r="AK79" s="135"/>
      <c r="AL79" s="135"/>
      <c r="AM79" s="135" t="s">
        <v>2873</v>
      </c>
      <c r="AN79" s="135"/>
      <c r="AO79" s="135" t="s">
        <v>2873</v>
      </c>
      <c r="AP79" s="135"/>
      <c r="AQ79" s="135" t="s">
        <v>2873</v>
      </c>
      <c r="AR79" s="135" t="s">
        <v>2873</v>
      </c>
      <c r="AS79" s="135"/>
      <c r="AT79" s="135"/>
      <c r="AU79" s="135"/>
      <c r="AV79" s="135"/>
      <c r="AW79" s="135"/>
      <c r="AX79" s="135"/>
      <c r="AY79" s="135"/>
      <c r="AZ79" s="135"/>
      <c r="BA79" s="135"/>
      <c r="BB79" s="135"/>
      <c r="BC79" s="135" t="s">
        <v>2873</v>
      </c>
      <c r="BD79" s="135"/>
      <c r="BE79" s="135"/>
      <c r="BF79" s="135"/>
      <c r="BG79" s="135" t="s">
        <v>2873</v>
      </c>
      <c r="BH79" s="135"/>
      <c r="BI79" s="135" t="s">
        <v>2873</v>
      </c>
      <c r="BJ79" s="135"/>
      <c r="BK79" s="135"/>
      <c r="BL79" s="135"/>
    </row>
    <row r="80">
      <c r="A80" s="128" t="s">
        <v>2808</v>
      </c>
      <c r="B80" s="129" t="s">
        <v>2404</v>
      </c>
      <c r="C80" s="142" t="s">
        <v>2403</v>
      </c>
      <c r="D80" s="130" t="s">
        <v>2124</v>
      </c>
      <c r="E80" s="130">
        <v>2026.0</v>
      </c>
      <c r="F80" s="148">
        <v>19.0</v>
      </c>
      <c r="G80" s="140" t="s">
        <v>2608</v>
      </c>
      <c r="I80" s="133" t="s">
        <v>3510</v>
      </c>
      <c r="J80" s="134" t="s">
        <v>2877</v>
      </c>
      <c r="K80" s="140" t="s">
        <v>3511</v>
      </c>
      <c r="L80" s="134" t="s">
        <v>2862</v>
      </c>
      <c r="M80" s="140" t="s">
        <v>3512</v>
      </c>
      <c r="N80" s="134" t="s">
        <v>2862</v>
      </c>
      <c r="O80" s="140" t="s">
        <v>3513</v>
      </c>
      <c r="P80" s="134" t="s">
        <v>2862</v>
      </c>
      <c r="Q80" s="140" t="s">
        <v>3514</v>
      </c>
      <c r="R80" s="134" t="s">
        <v>2862</v>
      </c>
      <c r="S80" s="140" t="s">
        <v>3515</v>
      </c>
      <c r="T80" s="135" t="s">
        <v>2920</v>
      </c>
      <c r="U80" s="136" t="s">
        <v>3095</v>
      </c>
      <c r="V80" s="135" t="s">
        <v>3516</v>
      </c>
      <c r="W80" s="136" t="s">
        <v>2922</v>
      </c>
      <c r="X80" s="136" t="s">
        <v>2895</v>
      </c>
      <c r="Y80" s="135" t="s">
        <v>2873</v>
      </c>
      <c r="Z80" s="135"/>
      <c r="AA80" s="135" t="s">
        <v>2873</v>
      </c>
      <c r="AB80" s="135" t="s">
        <v>2873</v>
      </c>
      <c r="AC80" s="135"/>
      <c r="AD80" s="135" t="s">
        <v>2873</v>
      </c>
      <c r="AE80" s="135"/>
      <c r="AF80" s="135"/>
      <c r="AG80" s="135"/>
      <c r="AH80" s="135"/>
      <c r="AI80" s="135" t="s">
        <v>2873</v>
      </c>
      <c r="AJ80" s="135" t="s">
        <v>2873</v>
      </c>
      <c r="AK80" s="135" t="s">
        <v>2873</v>
      </c>
      <c r="AL80" s="135" t="s">
        <v>2873</v>
      </c>
      <c r="AM80" s="135" t="s">
        <v>2873</v>
      </c>
      <c r="AN80" s="135"/>
      <c r="AO80" s="135"/>
      <c r="AP80" s="135" t="s">
        <v>2873</v>
      </c>
      <c r="AQ80" s="135" t="s">
        <v>2873</v>
      </c>
      <c r="AR80" s="135"/>
      <c r="AS80" s="135"/>
      <c r="AT80" s="135" t="s">
        <v>2873</v>
      </c>
      <c r="AU80" s="135"/>
      <c r="AV80" s="135"/>
      <c r="AW80" s="135"/>
      <c r="AX80" s="135"/>
      <c r="AY80" s="135"/>
      <c r="AZ80" s="135"/>
      <c r="BA80" s="135"/>
      <c r="BB80" s="135" t="s">
        <v>2873</v>
      </c>
      <c r="BC80" s="135"/>
      <c r="BD80" s="135"/>
      <c r="BE80" s="135"/>
      <c r="BF80" s="135"/>
      <c r="BG80" s="135" t="s">
        <v>2873</v>
      </c>
      <c r="BH80" s="135"/>
      <c r="BI80" s="135"/>
      <c r="BJ80" s="135"/>
      <c r="BK80" s="135"/>
      <c r="BL80" s="135"/>
    </row>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5">
    <mergeCell ref="J1:K1"/>
    <mergeCell ref="L1:M1"/>
    <mergeCell ref="N1:O1"/>
    <mergeCell ref="P1:Q1"/>
    <mergeCell ref="R1:S1"/>
  </mergeCells>
  <conditionalFormatting sqref="B76 B80">
    <cfRule type="expression" dxfId="1" priority="1">
      <formula>COUNTIF($J:$J, $J76) &gt; 1</formula>
    </cfRule>
  </conditionalFormatting>
  <conditionalFormatting sqref="B75">
    <cfRule type="expression" dxfId="1" priority="2">
      <formula>COUNTIF($J:$J, $J75) &gt; 1</formula>
    </cfRule>
  </conditionalFormatting>
  <conditionalFormatting sqref="B72:B74">
    <cfRule type="expression" dxfId="1" priority="3">
      <formula>COUNTIF($J:$J, $J72) &gt; 1</formula>
    </cfRule>
  </conditionalFormatting>
  <conditionalFormatting sqref="B66:B71">
    <cfRule type="expression" dxfId="1" priority="4">
      <formula>COUNTIF($J:$J, $J66) &gt; 1</formula>
    </cfRule>
  </conditionalFormatting>
  <conditionalFormatting sqref="B63:B65">
    <cfRule type="expression" dxfId="1" priority="5">
      <formula>COUNTIF($J:$J, $J63) &gt; 1</formula>
    </cfRule>
  </conditionalFormatting>
  <conditionalFormatting sqref="B62:F62 I62">
    <cfRule type="expression" dxfId="0" priority="6">
      <formula>COUNTIF($D62,"Conforme")</formula>
    </cfRule>
  </conditionalFormatting>
  <conditionalFormatting sqref="B62:F62 I62">
    <cfRule type="expression" dxfId="1" priority="7">
      <formula>COUNTIF($D62,"Inconforme")</formula>
    </cfRule>
  </conditionalFormatting>
  <conditionalFormatting sqref="B60:F62 I60:I62">
    <cfRule type="expression" dxfId="0" priority="8">
      <formula>COUNTIF($A60,"Conforme")&gt;=2</formula>
    </cfRule>
  </conditionalFormatting>
  <conditionalFormatting sqref="B60:F62 I60:I62">
    <cfRule type="expression" dxfId="1" priority="9">
      <formula>COUNTIF($A60,"Inconforme")&gt;=2</formula>
    </cfRule>
  </conditionalFormatting>
  <conditionalFormatting sqref="B40:B62">
    <cfRule type="expression" dxfId="1" priority="10">
      <formula>COUNTIF($J:$J, $J40) &gt; 1</formula>
    </cfRule>
  </conditionalFormatting>
  <conditionalFormatting sqref="B35:F36 I35:I36">
    <cfRule type="expression" dxfId="0" priority="11">
      <formula>COUNTIF($D35,"Conforme")</formula>
    </cfRule>
  </conditionalFormatting>
  <conditionalFormatting sqref="B35:F36 I35:I36">
    <cfRule type="expression" dxfId="1" priority="12">
      <formula>COUNTIF($D35,"Inconforme")</formula>
    </cfRule>
  </conditionalFormatting>
  <conditionalFormatting sqref="B22:B39">
    <cfRule type="expression" dxfId="1" priority="13">
      <formula>COUNTIF($J:$J, $J22) &gt; 1</formula>
    </cfRule>
  </conditionalFormatting>
  <conditionalFormatting sqref="B18:B21">
    <cfRule type="expression" dxfId="1" priority="14">
      <formula>COUNTIF($J:$J, $J18) &gt; 1</formula>
    </cfRule>
  </conditionalFormatting>
  <conditionalFormatting sqref="B17">
    <cfRule type="expression" dxfId="1" priority="15">
      <formula>COUNTIF($J:$J, $J17) &gt; 1</formula>
    </cfRule>
  </conditionalFormatting>
  <conditionalFormatting sqref="B16:F16 I16">
    <cfRule type="expression" dxfId="0" priority="16">
      <formula>COUNTIF($D16,"Conforme")</formula>
    </cfRule>
  </conditionalFormatting>
  <conditionalFormatting sqref="B16:F16 I16">
    <cfRule type="expression" dxfId="1" priority="17">
      <formula>COUNTIF($D16,"Inconforme")</formula>
    </cfRule>
  </conditionalFormatting>
  <conditionalFormatting sqref="B16:F16 I16">
    <cfRule type="expression" dxfId="2" priority="18">
      <formula>$C16= "Duvida"</formula>
    </cfRule>
  </conditionalFormatting>
  <conditionalFormatting sqref="B14:F15 I14:I15">
    <cfRule type="expression" dxfId="0" priority="19">
      <formula>COUNTIF($D14,"Conforme")</formula>
    </cfRule>
  </conditionalFormatting>
  <conditionalFormatting sqref="B14:F15 I14:I15">
    <cfRule type="expression" dxfId="1" priority="20">
      <formula>COUNTIF($D14,"Inconforme")</formula>
    </cfRule>
  </conditionalFormatting>
  <conditionalFormatting sqref="B14:F15 I14:I15">
    <cfRule type="expression" dxfId="2" priority="21">
      <formula>$C14= "Duvida"</formula>
    </cfRule>
  </conditionalFormatting>
  <conditionalFormatting sqref="B13:F13 I13">
    <cfRule type="expression" dxfId="0" priority="22">
      <formula>COUNTIF($D13,"Conforme")</formula>
    </cfRule>
  </conditionalFormatting>
  <conditionalFormatting sqref="B13:F13 I13">
    <cfRule type="expression" dxfId="1" priority="23">
      <formula>COUNTIF($D13,"Inconforme")</formula>
    </cfRule>
  </conditionalFormatting>
  <conditionalFormatting sqref="B13:F13 I13">
    <cfRule type="expression" dxfId="2" priority="24">
      <formula>$C13= "Duvida"</formula>
    </cfRule>
  </conditionalFormatting>
  <conditionalFormatting sqref="B12:F12 I12">
    <cfRule type="expression" dxfId="0" priority="25">
      <formula>COUNTIF($D12,"Conforme")</formula>
    </cfRule>
  </conditionalFormatting>
  <conditionalFormatting sqref="B12:F12 I12">
    <cfRule type="expression" dxfId="1" priority="26">
      <formula>COUNTIF($D12,"Inconforme")</formula>
    </cfRule>
  </conditionalFormatting>
  <conditionalFormatting sqref="B12:F12 I12">
    <cfRule type="expression" dxfId="2" priority="27">
      <formula>$C12= "Duvida"</formula>
    </cfRule>
  </conditionalFormatting>
  <conditionalFormatting sqref="B11:F11 I11">
    <cfRule type="expression" dxfId="0" priority="28">
      <formula>COUNTIF($D11,"Conforme")</formula>
    </cfRule>
  </conditionalFormatting>
  <conditionalFormatting sqref="B11:F11 I11">
    <cfRule type="expression" dxfId="1" priority="29">
      <formula>COUNTIF($D11,"Inconforme")</formula>
    </cfRule>
  </conditionalFormatting>
  <conditionalFormatting sqref="B11:F11 I11">
    <cfRule type="expression" dxfId="2" priority="30">
      <formula>$C11= "Duvida"</formula>
    </cfRule>
  </conditionalFormatting>
  <conditionalFormatting sqref="B9:F10 I9:I10">
    <cfRule type="expression" dxfId="0" priority="31">
      <formula>COUNTIF($D9,"Conforme")</formula>
    </cfRule>
  </conditionalFormatting>
  <conditionalFormatting sqref="B9:F10 I9:I10">
    <cfRule type="expression" dxfId="1" priority="32">
      <formula>COUNTIF($D9,"Inconforme")</formula>
    </cfRule>
  </conditionalFormatting>
  <conditionalFormatting sqref="B9:F10 I9:I10">
    <cfRule type="expression" dxfId="2" priority="33">
      <formula>$C9= "Duvida"</formula>
    </cfRule>
  </conditionalFormatting>
  <conditionalFormatting sqref="B7:F8 I7:I8">
    <cfRule type="expression" dxfId="0" priority="34">
      <formula>COUNTIF($D7,"Conforme")</formula>
    </cfRule>
  </conditionalFormatting>
  <conditionalFormatting sqref="B7:F8 I7:I8">
    <cfRule type="expression" dxfId="1" priority="35">
      <formula>COUNTIF($D7,"Inconforme")</formula>
    </cfRule>
  </conditionalFormatting>
  <conditionalFormatting sqref="B7:F8 I7:I8">
    <cfRule type="expression" dxfId="2" priority="36">
      <formula>$C7= "Duvida"</formula>
    </cfRule>
  </conditionalFormatting>
  <conditionalFormatting sqref="B6:F6 I6">
    <cfRule type="expression" dxfId="0" priority="37">
      <formula>COUNTIF($D6,"Conforme")</formula>
    </cfRule>
  </conditionalFormatting>
  <conditionalFormatting sqref="B6:F6 I6">
    <cfRule type="expression" dxfId="1" priority="38">
      <formula>COUNTIF($D6,"Inconforme")</formula>
    </cfRule>
  </conditionalFormatting>
  <conditionalFormatting sqref="B6:F6 I6">
    <cfRule type="expression" dxfId="2" priority="39">
      <formula>$C6= "Duvida"</formula>
    </cfRule>
  </conditionalFormatting>
  <conditionalFormatting sqref="B5:F5 I5">
    <cfRule type="expression" dxfId="0" priority="40">
      <formula>COUNTIF($D5,"Conforme")</formula>
    </cfRule>
  </conditionalFormatting>
  <conditionalFormatting sqref="B5:F5 I5">
    <cfRule type="expression" dxfId="1" priority="41">
      <formula>COUNTIF($D5,"Inconforme")</formula>
    </cfRule>
  </conditionalFormatting>
  <conditionalFormatting sqref="B5:F5 I5">
    <cfRule type="expression" dxfId="2" priority="42">
      <formula>$C5= "Duvida"</formula>
    </cfRule>
  </conditionalFormatting>
  <conditionalFormatting sqref="B2:F4 I2:I4">
    <cfRule type="expression" dxfId="0" priority="43">
      <formula>COUNTIF($D2,"Conforme")</formula>
    </cfRule>
  </conditionalFormatting>
  <conditionalFormatting sqref="B2:F4 I2:I4">
    <cfRule type="expression" dxfId="1" priority="44">
      <formula>COUNTIF($D2,"Inconforme")</formula>
    </cfRule>
  </conditionalFormatting>
  <conditionalFormatting sqref="B2:F4 I2:I4">
    <cfRule type="expression" dxfId="2" priority="45">
      <formula>$C2= "Duvida"</formula>
    </cfRule>
  </conditionalFormatting>
  <conditionalFormatting sqref="B16:F16 I16">
    <cfRule type="expression" dxfId="0" priority="46">
      <formula>COUNTIF($A16,"Conforme")&gt;=2</formula>
    </cfRule>
  </conditionalFormatting>
  <conditionalFormatting sqref="B16:E16 I16">
    <cfRule type="expression" dxfId="1" priority="47">
      <formula>COUNTIF($A16,"Inconforme")&gt;=2</formula>
    </cfRule>
  </conditionalFormatting>
  <conditionalFormatting sqref="B16:F16 I16">
    <cfRule type="expression" dxfId="2" priority="48">
      <formula>$I16= "Duvida"</formula>
    </cfRule>
  </conditionalFormatting>
  <conditionalFormatting sqref="B15:F15 I15">
    <cfRule type="expression" dxfId="0" priority="49">
      <formula>COUNTIF($A15,"Conforme")&gt;=2</formula>
    </cfRule>
  </conditionalFormatting>
  <conditionalFormatting sqref="B15:E15 I15">
    <cfRule type="expression" dxfId="1" priority="50">
      <formula>COUNTIF($A15,"Inconforme")&gt;=2</formula>
    </cfRule>
  </conditionalFormatting>
  <conditionalFormatting sqref="B15:F15 I15">
    <cfRule type="expression" dxfId="2" priority="51">
      <formula>$I15= "Duvida"</formula>
    </cfRule>
  </conditionalFormatting>
  <conditionalFormatting sqref="B14:F14 I14">
    <cfRule type="expression" dxfId="0" priority="52">
      <formula>COUNTIF($A14,"Conforme")&gt;=2</formula>
    </cfRule>
  </conditionalFormatting>
  <conditionalFormatting sqref="B14:E14 I14">
    <cfRule type="expression" dxfId="1" priority="53">
      <formula>COUNTIF($A14,"Inconforme")&gt;=2</formula>
    </cfRule>
  </conditionalFormatting>
  <conditionalFormatting sqref="B14:F14 I14">
    <cfRule type="expression" dxfId="2" priority="54">
      <formula>$I14= "Duvida"</formula>
    </cfRule>
  </conditionalFormatting>
  <conditionalFormatting sqref="B13:F13 I13">
    <cfRule type="expression" dxfId="0" priority="55">
      <formula>COUNTIF($A13,"Conforme")&gt;=2</formula>
    </cfRule>
  </conditionalFormatting>
  <conditionalFormatting sqref="B13:E13 I13">
    <cfRule type="expression" dxfId="1" priority="56">
      <formula>COUNTIF($A13,"Inconforme")&gt;=2</formula>
    </cfRule>
  </conditionalFormatting>
  <conditionalFormatting sqref="B13:F13 I13">
    <cfRule type="expression" dxfId="2" priority="57">
      <formula>$I13= "Duvida"</formula>
    </cfRule>
  </conditionalFormatting>
  <conditionalFormatting sqref="B12:F12 I12">
    <cfRule type="expression" dxfId="0" priority="58">
      <formula>COUNTIF($A12,"Conforme")&gt;=2</formula>
    </cfRule>
  </conditionalFormatting>
  <conditionalFormatting sqref="B12:E12 I12">
    <cfRule type="expression" dxfId="1" priority="59">
      <formula>COUNTIF($A12,"Inconforme")&gt;=2</formula>
    </cfRule>
  </conditionalFormatting>
  <conditionalFormatting sqref="B12:F12 I12">
    <cfRule type="expression" dxfId="2" priority="60">
      <formula>$I12= "Duvida"</formula>
    </cfRule>
  </conditionalFormatting>
  <conditionalFormatting sqref="B11:F11 I11">
    <cfRule type="expression" dxfId="0" priority="61">
      <formula>COUNTIF($A11,"Conforme")&gt;=2</formula>
    </cfRule>
  </conditionalFormatting>
  <conditionalFormatting sqref="B11:E11 I11">
    <cfRule type="expression" dxfId="1" priority="62">
      <formula>COUNTIF($A11,"Inconforme")&gt;=2</formula>
    </cfRule>
  </conditionalFormatting>
  <conditionalFormatting sqref="B11:F11 I11">
    <cfRule type="expression" dxfId="2" priority="63">
      <formula>$I11= "Duvida"</formula>
    </cfRule>
  </conditionalFormatting>
  <conditionalFormatting sqref="B10:F10 I10">
    <cfRule type="expression" dxfId="0" priority="64">
      <formula>COUNTIF($A10,"Conforme")&gt;=2</formula>
    </cfRule>
  </conditionalFormatting>
  <conditionalFormatting sqref="B10:E10 I10">
    <cfRule type="expression" dxfId="1" priority="65">
      <formula>COUNTIF($A10,"Inconforme")&gt;=2</formula>
    </cfRule>
  </conditionalFormatting>
  <conditionalFormatting sqref="B10:F10 I10">
    <cfRule type="expression" dxfId="2" priority="66">
      <formula>$I10= "Duvida"</formula>
    </cfRule>
  </conditionalFormatting>
  <conditionalFormatting sqref="B9:F9 I9">
    <cfRule type="expression" dxfId="0" priority="67">
      <formula>COUNTIF($A9,"Conforme")&gt;=2</formula>
    </cfRule>
  </conditionalFormatting>
  <conditionalFormatting sqref="B9:E9 I9">
    <cfRule type="expression" dxfId="1" priority="68">
      <formula>COUNTIF($A9,"Inconforme")&gt;=2</formula>
    </cfRule>
  </conditionalFormatting>
  <conditionalFormatting sqref="B9:F9 I9">
    <cfRule type="expression" dxfId="2" priority="69">
      <formula>$I9= "Duvida"</formula>
    </cfRule>
  </conditionalFormatting>
  <conditionalFormatting sqref="B8:F8 I8">
    <cfRule type="expression" dxfId="0" priority="70">
      <formula>COUNTIF($A8,"Conforme")&gt;=2</formula>
    </cfRule>
  </conditionalFormatting>
  <conditionalFormatting sqref="B8:E8 I8">
    <cfRule type="expression" dxfId="1" priority="71">
      <formula>COUNTIF($A8,"Inconforme")&gt;=2</formula>
    </cfRule>
  </conditionalFormatting>
  <conditionalFormatting sqref="B8:F8 I8">
    <cfRule type="expression" dxfId="2" priority="72">
      <formula>$I8= "Duvida"</formula>
    </cfRule>
  </conditionalFormatting>
  <conditionalFormatting sqref="B7:F7 I7">
    <cfRule type="expression" dxfId="0" priority="73">
      <formula>COUNTIF($A7,"Conforme")&gt;=2</formula>
    </cfRule>
  </conditionalFormatting>
  <conditionalFormatting sqref="B7:E7 I7">
    <cfRule type="expression" dxfId="1" priority="74">
      <formula>COUNTIF($A7,"Inconforme")&gt;=2</formula>
    </cfRule>
  </conditionalFormatting>
  <conditionalFormatting sqref="B7:F7 I7">
    <cfRule type="expression" dxfId="2" priority="75">
      <formula>$I7= "Duvida"</formula>
    </cfRule>
  </conditionalFormatting>
  <conditionalFormatting sqref="B6:F6 I6">
    <cfRule type="expression" dxfId="0" priority="76">
      <formula>COUNTIF($A6,"Conforme")&gt;=2</formula>
    </cfRule>
  </conditionalFormatting>
  <conditionalFormatting sqref="B6:E6 I6">
    <cfRule type="expression" dxfId="1" priority="77">
      <formula>COUNTIF($A6,"Inconforme")&gt;=2</formula>
    </cfRule>
  </conditionalFormatting>
  <conditionalFormatting sqref="B6:F6 I6">
    <cfRule type="expression" dxfId="2" priority="78">
      <formula>$I6= "Duvida"</formula>
    </cfRule>
  </conditionalFormatting>
  <conditionalFormatting sqref="B5:F5 I5">
    <cfRule type="expression" dxfId="0" priority="79">
      <formula>COUNTIF($A5,"Conforme")&gt;=2</formula>
    </cfRule>
  </conditionalFormatting>
  <conditionalFormatting sqref="B5:E5 I5">
    <cfRule type="expression" dxfId="1" priority="80">
      <formula>COUNTIF($A5,"Inconforme")&gt;=2</formula>
    </cfRule>
  </conditionalFormatting>
  <conditionalFormatting sqref="B5:F5 I5">
    <cfRule type="expression" dxfId="2" priority="81">
      <formula>$I5= "Duvida"</formula>
    </cfRule>
  </conditionalFormatting>
  <conditionalFormatting sqref="B4:F4 I4">
    <cfRule type="expression" dxfId="0" priority="82">
      <formula>COUNTIF($A4,"Conforme")&gt;=2</formula>
    </cfRule>
  </conditionalFormatting>
  <conditionalFormatting sqref="B4:E4 I4">
    <cfRule type="expression" dxfId="1" priority="83">
      <formula>COUNTIF($A4,"Inconforme")&gt;=2</formula>
    </cfRule>
  </conditionalFormatting>
  <conditionalFormatting sqref="B4:F4 I4">
    <cfRule type="expression" dxfId="2" priority="84">
      <formula>$I4= "Duvida"</formula>
    </cfRule>
  </conditionalFormatting>
  <conditionalFormatting sqref="B3:F3 I3">
    <cfRule type="expression" dxfId="0" priority="85">
      <formula>COUNTIF($A3,"Conforme")&gt;=2</formula>
    </cfRule>
  </conditionalFormatting>
  <conditionalFormatting sqref="B3:E3 I3">
    <cfRule type="expression" dxfId="1" priority="86">
      <formula>COUNTIF($A3,"Inconforme")&gt;=2</formula>
    </cfRule>
  </conditionalFormatting>
  <conditionalFormatting sqref="B3:F3 I3">
    <cfRule type="expression" dxfId="2" priority="87">
      <formula>$I3= "Duvida"</formula>
    </cfRule>
  </conditionalFormatting>
  <conditionalFormatting sqref="B2:F2 I2">
    <cfRule type="expression" dxfId="0" priority="88">
      <formula>COUNTIF($A2,"Conforme")&gt;=2</formula>
    </cfRule>
  </conditionalFormatting>
  <conditionalFormatting sqref="B2:E2 I2">
    <cfRule type="expression" dxfId="1" priority="89">
      <formula>COUNTIF($A2,"Inconforme")&gt;=2</formula>
    </cfRule>
  </conditionalFormatting>
  <conditionalFormatting sqref="B2:F2 I2">
    <cfRule type="expression" dxfId="2" priority="90">
      <formula>$I2= "Duvida"</formula>
    </cfRule>
  </conditionalFormatting>
  <conditionalFormatting sqref="B2:B16">
    <cfRule type="expression" dxfId="1" priority="91">
      <formula>COUNTIF($J:$J, $J2) &gt; 1</formula>
    </cfRule>
  </conditionalFormatting>
  <dataValidations>
    <dataValidation type="list" allowBlank="1" showErrorMessage="1" sqref="J2:J80 L2:L80 N2:N80 P2:P80 R2:R80">
      <formula1>"Responde,Responde parcialmente,Não responde"</formula1>
    </dataValidation>
  </dataValidations>
  <hyperlinks>
    <hyperlink r:id="rId1" ref="I7"/>
  </hyperlinks>
  <printOptions/>
  <pageMargins bottom="0.75" footer="0.0" header="0.0" left="0.7" right="0.7" top="0.75"/>
  <pageSetup orientation="landscape"/>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8"/>
    <col customWidth="1" min="2" max="2" width="34.0"/>
    <col customWidth="1" min="3" max="3" width="60.0"/>
    <col customWidth="1" min="4" max="4" width="13.0"/>
    <col customWidth="1" min="5" max="5" width="50.0"/>
    <col customWidth="1" min="6" max="6" width="55.0"/>
    <col customWidth="1" min="7" max="26" width="8.63"/>
  </cols>
  <sheetData>
    <row r="1" ht="22.5" customHeight="1">
      <c r="A1" s="149" t="s">
        <v>3517</v>
      </c>
      <c r="B1" s="149" t="s">
        <v>3518</v>
      </c>
      <c r="C1" s="149" t="s">
        <v>3519</v>
      </c>
      <c r="D1" s="149" t="s">
        <v>3520</v>
      </c>
      <c r="E1" s="149" t="s">
        <v>3521</v>
      </c>
      <c r="F1" s="149" t="s">
        <v>3522</v>
      </c>
    </row>
    <row r="2" ht="22.5" customHeight="1">
      <c r="A2" s="150" t="s">
        <v>3523</v>
      </c>
      <c r="B2" s="151" t="s">
        <v>3524</v>
      </c>
      <c r="C2" s="151" t="s">
        <v>3525</v>
      </c>
      <c r="D2" s="152">
        <v>41.0</v>
      </c>
      <c r="E2" s="151" t="s">
        <v>3526</v>
      </c>
      <c r="F2" s="151" t="s">
        <v>3527</v>
      </c>
    </row>
    <row r="3" ht="22.5" customHeight="1">
      <c r="A3" s="150" t="s">
        <v>3523</v>
      </c>
      <c r="B3" s="151" t="s">
        <v>3460</v>
      </c>
      <c r="C3" s="151" t="s">
        <v>3528</v>
      </c>
      <c r="D3" s="153">
        <v>21.0</v>
      </c>
      <c r="E3" s="151" t="s">
        <v>3526</v>
      </c>
      <c r="F3" s="151" t="s">
        <v>3527</v>
      </c>
    </row>
    <row r="4" ht="22.5" customHeight="1">
      <c r="A4" s="150" t="s">
        <v>3523</v>
      </c>
      <c r="B4" s="151" t="s">
        <v>3287</v>
      </c>
      <c r="C4" s="151" t="s">
        <v>3529</v>
      </c>
      <c r="D4" s="152">
        <v>45.0</v>
      </c>
      <c r="E4" s="151" t="s">
        <v>3526</v>
      </c>
      <c r="F4" s="151" t="s">
        <v>3527</v>
      </c>
    </row>
    <row r="5" ht="22.5" customHeight="1">
      <c r="A5" s="150" t="s">
        <v>3523</v>
      </c>
      <c r="B5" s="151" t="s">
        <v>3530</v>
      </c>
      <c r="C5" s="151" t="s">
        <v>3531</v>
      </c>
      <c r="D5" s="153">
        <v>43.0</v>
      </c>
      <c r="E5" s="151" t="s">
        <v>3526</v>
      </c>
      <c r="F5" s="151" t="s">
        <v>3527</v>
      </c>
    </row>
    <row r="6" ht="22.5" customHeight="1">
      <c r="A6" s="150" t="s">
        <v>3523</v>
      </c>
      <c r="B6" s="151" t="s">
        <v>2999</v>
      </c>
      <c r="C6" s="151" t="s">
        <v>3532</v>
      </c>
      <c r="D6" s="153">
        <v>24.0</v>
      </c>
      <c r="E6" s="151" t="s">
        <v>3526</v>
      </c>
      <c r="F6" s="151" t="s">
        <v>3527</v>
      </c>
    </row>
    <row r="7" ht="22.5" customHeight="1">
      <c r="A7" s="150" t="s">
        <v>3523</v>
      </c>
      <c r="B7" s="151" t="s">
        <v>3453</v>
      </c>
      <c r="C7" s="151" t="s">
        <v>3533</v>
      </c>
      <c r="D7" s="153">
        <v>40.0</v>
      </c>
      <c r="E7" s="151" t="s">
        <v>3526</v>
      </c>
      <c r="F7" s="151" t="s">
        <v>3527</v>
      </c>
      <c r="K7" s="1" t="s">
        <v>3534</v>
      </c>
    </row>
    <row r="8" ht="22.5" customHeight="1">
      <c r="A8" s="150" t="s">
        <v>3523</v>
      </c>
      <c r="B8" s="151" t="s">
        <v>2891</v>
      </c>
      <c r="C8" s="151" t="s">
        <v>3535</v>
      </c>
      <c r="D8" s="152">
        <v>5.0</v>
      </c>
      <c r="E8" s="151" t="s">
        <v>3526</v>
      </c>
      <c r="F8" s="151" t="s">
        <v>3527</v>
      </c>
    </row>
    <row r="9" ht="22.5" customHeight="1">
      <c r="A9" s="150" t="s">
        <v>3523</v>
      </c>
      <c r="B9" s="151" t="s">
        <v>2964</v>
      </c>
      <c r="C9" s="151" t="s">
        <v>3536</v>
      </c>
      <c r="D9" s="152">
        <v>3.0</v>
      </c>
      <c r="E9" s="151" t="s">
        <v>3526</v>
      </c>
      <c r="F9" s="151" t="s">
        <v>3527</v>
      </c>
    </row>
    <row r="10" ht="22.5" customHeight="1">
      <c r="A10" s="150" t="s">
        <v>3523</v>
      </c>
      <c r="B10" s="151" t="s">
        <v>2881</v>
      </c>
      <c r="C10" s="151" t="s">
        <v>3537</v>
      </c>
      <c r="D10" s="152">
        <v>3.0</v>
      </c>
      <c r="E10" s="151" t="s">
        <v>3526</v>
      </c>
      <c r="F10" s="151" t="s">
        <v>3527</v>
      </c>
    </row>
    <row r="11" ht="22.5" customHeight="1">
      <c r="A11" s="150" t="s">
        <v>3538</v>
      </c>
      <c r="B11" s="151" t="s">
        <v>3539</v>
      </c>
      <c r="C11" s="151" t="s">
        <v>3540</v>
      </c>
      <c r="D11" s="152">
        <v>38.0</v>
      </c>
      <c r="E11" s="151" t="s">
        <v>3526</v>
      </c>
      <c r="F11" s="151" t="s">
        <v>3527</v>
      </c>
    </row>
    <row r="12" ht="22.5" customHeight="1">
      <c r="A12" s="150" t="s">
        <v>3538</v>
      </c>
      <c r="B12" s="151" t="s">
        <v>3541</v>
      </c>
      <c r="C12" s="151" t="s">
        <v>3542</v>
      </c>
      <c r="D12" s="153">
        <v>55.0</v>
      </c>
      <c r="E12" s="151" t="s">
        <v>3526</v>
      </c>
      <c r="F12" s="151" t="s">
        <v>3527</v>
      </c>
    </row>
    <row r="13" ht="22.5" customHeight="1">
      <c r="A13" s="150" t="s">
        <v>3538</v>
      </c>
      <c r="B13" s="151" t="s">
        <v>3543</v>
      </c>
      <c r="C13" s="151" t="s">
        <v>3544</v>
      </c>
      <c r="D13" s="153">
        <v>52.0</v>
      </c>
      <c r="E13" s="151" t="s">
        <v>3526</v>
      </c>
      <c r="F13" s="151" t="s">
        <v>3527</v>
      </c>
    </row>
    <row r="14" ht="22.5" customHeight="1">
      <c r="A14" s="150" t="s">
        <v>3538</v>
      </c>
      <c r="B14" s="151" t="s">
        <v>3545</v>
      </c>
      <c r="C14" s="151" t="s">
        <v>3546</v>
      </c>
      <c r="D14" s="153">
        <v>55.0</v>
      </c>
      <c r="E14" s="151" t="s">
        <v>3526</v>
      </c>
      <c r="F14" s="151" t="s">
        <v>3527</v>
      </c>
    </row>
    <row r="15" ht="22.5" customHeight="1">
      <c r="A15" s="150" t="s">
        <v>3538</v>
      </c>
      <c r="B15" s="151" t="s">
        <v>3547</v>
      </c>
      <c r="C15" s="151" t="s">
        <v>3548</v>
      </c>
      <c r="D15" s="153">
        <v>54.0</v>
      </c>
      <c r="E15" s="151" t="s">
        <v>3526</v>
      </c>
      <c r="F15" s="151" t="s">
        <v>3527</v>
      </c>
    </row>
    <row r="16" ht="22.5" customHeight="1">
      <c r="A16" s="150" t="s">
        <v>3538</v>
      </c>
      <c r="B16" s="151" t="s">
        <v>3549</v>
      </c>
      <c r="C16" s="151" t="s">
        <v>3550</v>
      </c>
      <c r="D16" s="152">
        <v>10.0</v>
      </c>
      <c r="E16" s="151" t="s">
        <v>3526</v>
      </c>
      <c r="F16" s="151" t="s">
        <v>3527</v>
      </c>
    </row>
    <row r="17" ht="22.5" customHeight="1">
      <c r="A17" s="150" t="s">
        <v>3538</v>
      </c>
      <c r="B17" s="151" t="s">
        <v>2881</v>
      </c>
      <c r="C17" s="151" t="s">
        <v>3537</v>
      </c>
      <c r="D17" s="152">
        <v>9.0</v>
      </c>
      <c r="E17" s="151" t="s">
        <v>3526</v>
      </c>
      <c r="F17" s="151" t="s">
        <v>3527</v>
      </c>
    </row>
    <row r="18" ht="22.5" customHeight="1">
      <c r="A18" s="150" t="s">
        <v>3551</v>
      </c>
      <c r="B18" s="151" t="s">
        <v>3045</v>
      </c>
      <c r="C18" s="151" t="s">
        <v>3552</v>
      </c>
      <c r="D18" s="152">
        <v>58.0</v>
      </c>
      <c r="E18" s="151" t="s">
        <v>3526</v>
      </c>
      <c r="F18" s="151" t="s">
        <v>3527</v>
      </c>
    </row>
    <row r="19" ht="22.5" customHeight="1">
      <c r="A19" s="150" t="s">
        <v>3551</v>
      </c>
      <c r="B19" s="151" t="s">
        <v>3306</v>
      </c>
      <c r="C19" s="151" t="s">
        <v>3553</v>
      </c>
      <c r="D19" s="152">
        <v>29.0</v>
      </c>
      <c r="E19" s="151" t="s">
        <v>3526</v>
      </c>
      <c r="F19" s="151" t="s">
        <v>3527</v>
      </c>
    </row>
    <row r="20" ht="22.5" customHeight="1">
      <c r="A20" s="150" t="s">
        <v>3551</v>
      </c>
      <c r="B20" s="151" t="s">
        <v>2941</v>
      </c>
      <c r="C20" s="151" t="s">
        <v>3554</v>
      </c>
      <c r="D20" s="152">
        <v>29.0</v>
      </c>
      <c r="E20" s="151" t="s">
        <v>3526</v>
      </c>
      <c r="F20" s="151" t="s">
        <v>3527</v>
      </c>
    </row>
    <row r="21" ht="22.5" customHeight="1">
      <c r="A21" s="150" t="s">
        <v>3551</v>
      </c>
      <c r="B21" s="151" t="s">
        <v>2913</v>
      </c>
      <c r="C21" s="151" t="s">
        <v>3555</v>
      </c>
      <c r="D21" s="153">
        <v>38.0</v>
      </c>
      <c r="E21" s="151" t="s">
        <v>3526</v>
      </c>
      <c r="F21" s="151" t="s">
        <v>3527</v>
      </c>
    </row>
    <row r="22" ht="22.5" customHeight="1">
      <c r="A22" s="150" t="s">
        <v>3551</v>
      </c>
      <c r="B22" s="151" t="s">
        <v>3556</v>
      </c>
      <c r="C22" s="151" t="s">
        <v>3557</v>
      </c>
      <c r="D22" s="153">
        <v>26.0</v>
      </c>
      <c r="E22" s="151" t="s">
        <v>3526</v>
      </c>
      <c r="F22" s="151" t="s">
        <v>3527</v>
      </c>
    </row>
    <row r="23" ht="22.5" customHeight="1">
      <c r="A23" s="150" t="s">
        <v>3551</v>
      </c>
      <c r="B23" s="151" t="s">
        <v>3558</v>
      </c>
      <c r="C23" s="151" t="s">
        <v>3559</v>
      </c>
      <c r="D23" s="152">
        <v>12.0</v>
      </c>
      <c r="E23" s="151" t="s">
        <v>3526</v>
      </c>
      <c r="F23" s="151" t="s">
        <v>3527</v>
      </c>
    </row>
    <row r="24" ht="22.5" customHeight="1">
      <c r="A24" s="150" t="s">
        <v>3551</v>
      </c>
      <c r="B24" s="151" t="s">
        <v>3288</v>
      </c>
      <c r="C24" s="151" t="s">
        <v>3560</v>
      </c>
      <c r="D24" s="152">
        <v>26.0</v>
      </c>
      <c r="E24" s="151" t="s">
        <v>3526</v>
      </c>
      <c r="F24" s="151" t="s">
        <v>3527</v>
      </c>
    </row>
    <row r="25" ht="22.5" customHeight="1">
      <c r="A25" s="150" t="s">
        <v>3551</v>
      </c>
      <c r="B25" s="151" t="s">
        <v>3561</v>
      </c>
      <c r="C25" s="151" t="s">
        <v>3562</v>
      </c>
      <c r="D25" s="153">
        <v>8.0</v>
      </c>
      <c r="E25" s="151" t="s">
        <v>3526</v>
      </c>
      <c r="F25" s="151" t="s">
        <v>3527</v>
      </c>
    </row>
    <row r="26" ht="22.5" customHeight="1">
      <c r="A26" s="150" t="s">
        <v>3551</v>
      </c>
      <c r="B26" s="151" t="s">
        <v>2881</v>
      </c>
      <c r="C26" s="151" t="s">
        <v>3537</v>
      </c>
      <c r="D26" s="152">
        <v>3.0</v>
      </c>
      <c r="E26" s="151" t="s">
        <v>3526</v>
      </c>
      <c r="F26" s="151" t="s">
        <v>3527</v>
      </c>
    </row>
    <row r="27" ht="22.5" customHeight="1">
      <c r="A27" s="150" t="s">
        <v>3563</v>
      </c>
      <c r="B27" s="151" t="s">
        <v>2914</v>
      </c>
      <c r="C27" s="151" t="s">
        <v>3564</v>
      </c>
      <c r="D27" s="153">
        <v>45.0</v>
      </c>
      <c r="E27" s="151" t="s">
        <v>3526</v>
      </c>
      <c r="F27" s="151" t="s">
        <v>3527</v>
      </c>
    </row>
    <row r="28" ht="22.5" customHeight="1">
      <c r="A28" s="150" t="s">
        <v>3563</v>
      </c>
      <c r="B28" s="151" t="s">
        <v>3185</v>
      </c>
      <c r="C28" s="151" t="s">
        <v>3565</v>
      </c>
      <c r="D28" s="152">
        <v>17.0</v>
      </c>
      <c r="E28" s="151" t="s">
        <v>3526</v>
      </c>
      <c r="F28" s="151" t="s">
        <v>3527</v>
      </c>
    </row>
    <row r="29" ht="22.5" customHeight="1">
      <c r="A29" s="150" t="s">
        <v>3563</v>
      </c>
      <c r="B29" s="151" t="s">
        <v>3566</v>
      </c>
      <c r="C29" s="151" t="s">
        <v>3567</v>
      </c>
      <c r="D29" s="153">
        <v>19.0</v>
      </c>
      <c r="E29" s="151" t="s">
        <v>3526</v>
      </c>
      <c r="F29" s="151" t="s">
        <v>3527</v>
      </c>
    </row>
    <row r="30" ht="22.5" customHeight="1">
      <c r="A30" s="150" t="s">
        <v>3563</v>
      </c>
      <c r="B30" s="151" t="s">
        <v>3210</v>
      </c>
      <c r="C30" s="151" t="s">
        <v>3568</v>
      </c>
      <c r="D30" s="152">
        <v>11.0</v>
      </c>
      <c r="E30" s="151" t="s">
        <v>3526</v>
      </c>
      <c r="F30" s="151" t="s">
        <v>3527</v>
      </c>
    </row>
    <row r="31" ht="22.5" customHeight="1">
      <c r="A31" s="150" t="s">
        <v>3563</v>
      </c>
      <c r="B31" s="151" t="s">
        <v>2922</v>
      </c>
      <c r="C31" s="151" t="s">
        <v>3569</v>
      </c>
      <c r="D31" s="153">
        <v>9.0</v>
      </c>
      <c r="E31" s="151" t="s">
        <v>3526</v>
      </c>
      <c r="F31" s="151" t="s">
        <v>3527</v>
      </c>
    </row>
    <row r="32" ht="22.5" customHeight="1">
      <c r="A32" s="150" t="s">
        <v>3563</v>
      </c>
      <c r="B32" s="151" t="s">
        <v>3010</v>
      </c>
      <c r="C32" s="151" t="s">
        <v>3570</v>
      </c>
      <c r="D32" s="153">
        <v>40.0</v>
      </c>
      <c r="E32" s="151" t="s">
        <v>3526</v>
      </c>
      <c r="F32" s="151" t="s">
        <v>3527</v>
      </c>
    </row>
    <row r="33" ht="22.5" customHeight="1">
      <c r="A33" s="150" t="s">
        <v>3563</v>
      </c>
      <c r="B33" s="151" t="s">
        <v>2932</v>
      </c>
      <c r="C33" s="151" t="s">
        <v>3571</v>
      </c>
      <c r="D33" s="153">
        <v>20.0</v>
      </c>
      <c r="E33" s="151" t="s">
        <v>3526</v>
      </c>
      <c r="F33" s="151" t="s">
        <v>3527</v>
      </c>
    </row>
    <row r="34" ht="22.5" customHeight="1">
      <c r="A34" s="150" t="s">
        <v>3563</v>
      </c>
      <c r="B34" s="151" t="s">
        <v>2881</v>
      </c>
      <c r="C34" s="151" t="s">
        <v>3537</v>
      </c>
      <c r="D34" s="152">
        <v>2.0</v>
      </c>
      <c r="E34" s="151" t="s">
        <v>3526</v>
      </c>
      <c r="F34" s="151" t="s">
        <v>3527</v>
      </c>
    </row>
    <row r="35" ht="22.5" customHeight="1">
      <c r="A35" s="150" t="s">
        <v>3572</v>
      </c>
      <c r="B35" s="151" t="s">
        <v>3573</v>
      </c>
      <c r="C35" s="151" t="s">
        <v>3574</v>
      </c>
      <c r="D35" s="153">
        <v>10.0</v>
      </c>
      <c r="E35" s="151" t="s">
        <v>3526</v>
      </c>
      <c r="F35" s="151" t="s">
        <v>3527</v>
      </c>
    </row>
    <row r="36" ht="22.5" customHeight="1">
      <c r="A36" s="150" t="s">
        <v>3572</v>
      </c>
      <c r="B36" s="151" t="s">
        <v>2982</v>
      </c>
      <c r="C36" s="151" t="s">
        <v>3575</v>
      </c>
      <c r="D36" s="153">
        <v>49.0</v>
      </c>
      <c r="E36" s="151" t="s">
        <v>3526</v>
      </c>
      <c r="F36" s="151" t="s">
        <v>3527</v>
      </c>
    </row>
    <row r="37" ht="22.5" customHeight="1">
      <c r="A37" s="150" t="s">
        <v>3572</v>
      </c>
      <c r="B37" s="151" t="s">
        <v>3256</v>
      </c>
      <c r="C37" s="151" t="s">
        <v>3576</v>
      </c>
      <c r="D37" s="153">
        <v>21.0</v>
      </c>
      <c r="E37" s="151" t="s">
        <v>3526</v>
      </c>
      <c r="F37" s="151" t="s">
        <v>3527</v>
      </c>
    </row>
    <row r="38" ht="22.5" customHeight="1">
      <c r="A38" s="150" t="s">
        <v>3572</v>
      </c>
      <c r="B38" s="151" t="s">
        <v>3338</v>
      </c>
      <c r="C38" s="151" t="s">
        <v>3577</v>
      </c>
      <c r="D38" s="153">
        <v>33.0</v>
      </c>
      <c r="E38" s="151" t="s">
        <v>3526</v>
      </c>
      <c r="F38" s="151" t="s">
        <v>3527</v>
      </c>
    </row>
    <row r="39" ht="22.5" customHeight="1">
      <c r="A39" s="150" t="s">
        <v>3572</v>
      </c>
      <c r="B39" s="151" t="s">
        <v>3578</v>
      </c>
      <c r="C39" s="151" t="s">
        <v>3579</v>
      </c>
      <c r="D39" s="152">
        <v>10.0</v>
      </c>
      <c r="E39" s="151" t="s">
        <v>3526</v>
      </c>
      <c r="F39" s="151" t="s">
        <v>3527</v>
      </c>
    </row>
    <row r="40" ht="22.5" customHeight="1">
      <c r="A40" s="150" t="s">
        <v>3572</v>
      </c>
      <c r="B40" s="151" t="s">
        <v>3011</v>
      </c>
      <c r="C40" s="151" t="s">
        <v>3580</v>
      </c>
      <c r="D40" s="153">
        <v>30.0</v>
      </c>
      <c r="E40" s="151" t="s">
        <v>3526</v>
      </c>
      <c r="F40" s="151" t="s">
        <v>3527</v>
      </c>
    </row>
    <row r="41" ht="22.5" customHeight="1">
      <c r="A41" s="150" t="s">
        <v>3572</v>
      </c>
      <c r="B41" s="151" t="s">
        <v>2881</v>
      </c>
      <c r="C41" s="151" t="s">
        <v>3537</v>
      </c>
      <c r="D41" s="152">
        <v>2.0</v>
      </c>
      <c r="E41" s="151" t="s">
        <v>3526</v>
      </c>
      <c r="F41" s="151" t="s">
        <v>3527</v>
      </c>
    </row>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sheetData>
  <dataValidations>
    <dataValidation type="list" allowBlank="1" showDropDown="1" showErrorMessage="1" sqref="A2:A41">
      <formula1>"Q1,Q2,Q3,Q4,Q5"</formula1>
    </dataValidation>
    <dataValidation type="custom" allowBlank="1" showDropDown="1" sqref="D2:D41">
      <formula1>AND(ISNUMBER(D2),(NOT(OR(NOT(ISERROR(DATEVALUE(D2))), AND(ISNUMBER(D2), LEFT(CELL("format", D2))="D")))))</formula1>
    </dataValidation>
  </dataValidations>
  <printOptions/>
  <pageMargins bottom="0.75" footer="0.0" header="0.0" left="0.7" right="0.7" top="0.75"/>
  <pageSetup orientation="landscape"/>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2.0"/>
    <col customWidth="1" min="2" max="3" width="60.0"/>
    <col customWidth="1" min="4" max="4" width="45.0"/>
    <col customWidth="1" min="5" max="26" width="8.63"/>
  </cols>
  <sheetData>
    <row r="1">
      <c r="A1" s="154" t="s">
        <v>3581</v>
      </c>
      <c r="B1" s="154" t="s">
        <v>3519</v>
      </c>
      <c r="C1" s="154" t="s">
        <v>3582</v>
      </c>
      <c r="D1" s="154" t="s">
        <v>3583</v>
      </c>
    </row>
    <row r="2">
      <c r="A2" s="155" t="s">
        <v>3584</v>
      </c>
      <c r="B2" s="155" t="s">
        <v>3585</v>
      </c>
      <c r="C2" s="155" t="s">
        <v>3586</v>
      </c>
      <c r="D2" s="155" t="s">
        <v>3587</v>
      </c>
    </row>
    <row r="3">
      <c r="A3" s="155" t="s">
        <v>3588</v>
      </c>
      <c r="B3" s="155" t="s">
        <v>3589</v>
      </c>
      <c r="C3" s="155" t="s">
        <v>3590</v>
      </c>
      <c r="D3" s="155" t="s">
        <v>3591</v>
      </c>
    </row>
    <row r="4">
      <c r="A4" s="155" t="s">
        <v>2881</v>
      </c>
      <c r="B4" s="155" t="s">
        <v>3592</v>
      </c>
      <c r="C4" s="155" t="s">
        <v>3593</v>
      </c>
      <c r="D4" s="155" t="s">
        <v>3594</v>
      </c>
    </row>
    <row r="5">
      <c r="A5" s="155" t="s">
        <v>3595</v>
      </c>
      <c r="B5" s="155" t="s">
        <v>3596</v>
      </c>
      <c r="C5" s="155" t="s">
        <v>3597</v>
      </c>
      <c r="D5" s="155" t="s">
        <v>3598</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5" footer="0.0" header="0.0" left="0.7" right="0.7" top="0.75"/>
  <pageSetup orientation="landscape"/>
  <drawing r:id="rId1"/>
</worksheet>
</file>